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8"/>
  </bookViews>
  <sheets>
    <sheet name="README" sheetId="1" r:id="rId1"/>
    <sheet name="Social_Pre" sheetId="2" r:id="rId2"/>
    <sheet name="Social_Post" sheetId="3" r:id="rId3"/>
    <sheet name="Seminar_Pre" sheetId="4" r:id="rId4"/>
    <sheet name="Seminar_Post" sheetId="5" r:id="rId5"/>
    <sheet name="Question_Bank" sheetId="6" r:id="rId6"/>
    <sheet name="Social_Analysis" sheetId="7" r:id="rId7"/>
    <sheet name="Seminar_Analysis" sheetId="8" r:id="rId8"/>
    <sheet name="Impact_Dashboard" sheetId="9" r:id="rId9"/>
  </sheets>
  <definedNames>
    <definedName name="_xlnm._FilterDatabase" localSheetId="4" hidden="1">Seminar_Post!$A$2:$M$518</definedName>
    <definedName name="_xlnm._FilterDatabase" localSheetId="3" hidden="1">Seminar_Pre!$A$2:$M$518</definedName>
    <definedName name="_xlnm._FilterDatabase" localSheetId="2" hidden="1">Social_Post!$A$2:$M$566</definedName>
    <definedName name="_xlnm._FilterDatabase" localSheetId="1" hidden="1">Social_Pre!$A$2:$M$566</definedName>
  </definedNames>
  <calcPr calcId="124519" fullCalcOnLoad="1"/>
</workbook>
</file>

<file path=xl/sharedStrings.xml><?xml version="1.0" encoding="utf-8"?>
<sst xmlns="http://schemas.openxmlformats.org/spreadsheetml/2006/main" count="15718" uniqueCount="387">
  <si>
    <t>Scam Shield - cybersecurity awareness impact evaluation</t>
  </si>
  <si>
    <t>Question_ID</t>
  </si>
  <si>
    <t>Topic</t>
  </si>
  <si>
    <t>Objective</t>
  </si>
  <si>
    <t>Type</t>
  </si>
  <si>
    <t>Pre_Question</t>
  </si>
  <si>
    <t>Pre_Options</t>
  </si>
  <si>
    <t>Pre_Correct</t>
  </si>
  <si>
    <t>Post_Question</t>
  </si>
  <si>
    <t>Post_Options</t>
  </si>
  <si>
    <t>Post_Correct</t>
  </si>
  <si>
    <t>Explanation_Pre</t>
  </si>
  <si>
    <t>Explanation_Post</t>
  </si>
  <si>
    <t>Points</t>
  </si>
  <si>
    <t>Q01</t>
  </si>
  <si>
    <t>WhatsApp Scams</t>
  </si>
  <si>
    <t>Impersonation of family or boss</t>
  </si>
  <si>
    <t>scenario</t>
  </si>
  <si>
    <t>"Hi Mum, I dropped my phone, this is my new number. Please pay this bill urgently, I'll explain later." The profile photo is your child's. What first?</t>
  </si>
  <si>
    <t>A) Call your child on their old, saved number to confirm  B) Send the money, it's an emergency  C) Ask them to send a selfie  D) Reply asking them to share the bank details</t>
  </si>
  <si>
    <t>A</t>
  </si>
  <si>
    <t>Your 'manager' messages from an unsaved number: "In a meeting, can't talk. Buy 5 gift cards for a client and send me the codes." What do you do?</t>
  </si>
  <si>
    <t>A) Buy them, then confirm later  B) Ask for the codes to be sent to a company email first  C) Verify with your manager via a known number or in person before doing anything  D) Buy just one card to be safe</t>
  </si>
  <si>
    <t>C</t>
  </si>
  <si>
    <t>Scammers copy public photos. Confirm through a channel you already trust, like the old number, before sending anything.</t>
  </si>
  <si>
    <t>Boss impersonation relies on secrecy and urgency. Gift-card codes are untraceable, so verify first through a trusted channel.</t>
  </si>
  <si>
    <t>Q02</t>
  </si>
  <si>
    <t>Account takeover via verification code</t>
  </si>
  <si>
    <t>mcq</t>
  </si>
  <si>
    <t>A friend's WhatsApp asks: "I sent you a 6-digit code by mistake, please forward it to me." What is this?</t>
  </si>
  <si>
    <t>A) A harmless mix-up, forward the code  B) An attempt to take over your WhatsApp account  C) A bug in WhatsApp  D) A way to verify the friend's identity</t>
  </si>
  <si>
    <t>B</t>
  </si>
  <si>
    <t>You receive an unexpected WhatsApp verification SMS, then a contact messages: "Sorry, wrong number, can you read me the code?" What should you do?</t>
  </si>
  <si>
    <t>A) Read it out, it's polite  B) Share it but change your password afterwards  C) Reply with only the last 3 digits  D) Never share it, and tell the contact to use another route</t>
  </si>
  <si>
    <t>D</t>
  </si>
  <si>
    <t>That code is your own WhatsApp login code. Anyone holding it can register your number on their device.</t>
  </si>
  <si>
    <t>Verification codes must never be shared, in full or in part. A contact asking is likely already compromised.</t>
  </si>
  <si>
    <t>Q03</t>
  </si>
  <si>
    <t>Fraudulent investment groups</t>
  </si>
  <si>
    <t>You're added to a WhatsApp group where members post screenshots of daily stock profits and an 'expert' urges you to install an app to join an IPO quota. What's the smartest move?</t>
  </si>
  <si>
    <t>A) Join with a small amount  B) Ask the expert for their experience  C) Leave the group, don't install the app, and report it  D) Wait to see if members really profit</t>
  </si>
  <si>
    <t>A 'crypto signals' group promises guaranteed 3x returns in 30 days if you deposit through their platform. Which fact most clearly marks this as a scam?</t>
  </si>
  <si>
    <t>A) Guaranteed high returns  B) The group has many members  C) The admin is friendly  D) Payments are made online</t>
  </si>
  <si>
    <t>Fake members and fabricated screenshots create social proof. Unregistered apps let scammers show fake gains while taking your deposits.</t>
  </si>
  <si>
    <t>No legitimate investment can guarantee high returns. Guarantees, pressure and pooled unregulated platforms signal fraud.</t>
  </si>
  <si>
    <t>Q04</t>
  </si>
  <si>
    <t>Phishing</t>
  </si>
  <si>
    <t>Spotting a genuine URL</t>
  </si>
  <si>
    <t>Which of these is most likely the genuine Amazon India website?</t>
  </si>
  <si>
    <t>A) amazon-in-support.com  B) amazon.in.secure-login.net  C) arnazon.in  D) amazon.in</t>
  </si>
  <si>
    <t>Which URL is most likely the genuine Flipkart site?</t>
  </si>
  <si>
    <t>A) flipkart-offers.shop  B) flipkart.com  C) flipkart.com.deals-today.in  D) fIipkart.com</t>
  </si>
  <si>
    <t>Read the domain from right to left up to the first slash. The brand must be the registered domain, and lookalikes like 'arnazon' swap characters.</t>
  </si>
  <si>
    <t>Extra words, odd endings or subdomain tricks can hide a fake registered domain. Stick to the exact brand domain.</t>
  </si>
  <si>
    <t>Q05</t>
  </si>
  <si>
    <t>QR-code phishing (quishing)</t>
  </si>
  <si>
    <t>At a café you notice the payment QR code is a sticker placed over the original one. What should you do?</t>
  </si>
  <si>
    <t>A) Ask the staff to confirm and check the merchant name shown before paying  B) Scan it, since it's the café's code  C) Pay a small test amount  D) Scan it with a different app</t>
  </si>
  <si>
    <t>An email says: "Scan the QR code to re-enable your account's two-factor authentication." What do you do?</t>
  </si>
  <si>
    <t>A) Scan with your phone's camera  B) Scan but don't log in  C) Don't scan, and check settings in the official app instead  D) Print it and scan on another phone</t>
  </si>
  <si>
    <t>Scammers paste their own QR codes over genuine ones. Confirm with staff and check the payee name before paying.</t>
  </si>
  <si>
    <t>QR codes hide the destination from email filters and from you. Make security changes only inside the official app or site.</t>
  </si>
  <si>
    <t>Q06</t>
  </si>
  <si>
    <t>OTP theft by phone</t>
  </si>
  <si>
    <t>A caller says: "I'm from your bank. A ₹40,000 transaction is pending, share the OTP now to cancel it." What is the correct response?</t>
  </si>
  <si>
    <t>A) Share the OTP to cancel the transaction  B) Hang up and call the number on your card or bank's official site  C) Share only 3 digits  D) Ask the caller for their employee ID</t>
  </si>
  <si>
    <t>A 'delivery agent' calls and asks you to read out the OTP you just received 'to confirm the delivery'. You aren't sure what order it's for. What do you do?</t>
  </si>
  <si>
    <t>A) Read it out  B) Read it out after verifying the agent's name  C) Ask them to send it as a text  D) Refuse, since OTPs are never needed to receive a parcel</t>
  </si>
  <si>
    <t>An OTP authorises a payment, it never cancels one. Banks never ask for OTPs. Calling back via official numbers verifies the claim.</t>
  </si>
  <si>
    <t>Genuine OTP-based delivery codes are rare and tied to your order. If you can't tell, treat it as theft and don't share.</t>
  </si>
  <si>
    <t>Q07</t>
  </si>
  <si>
    <t>Everyday Online Fraud</t>
  </si>
  <si>
    <t>UPI collect request fraud</t>
  </si>
  <si>
    <t>You're selling a sofa online. The buyer says: "I've sent you the money, approve the request on your UPI app and enter your PIN to receive it." What's wrong?</t>
  </si>
  <si>
    <t>A) Nothing, that's how UPI works  B) The buyer used the wrong app  C) Entering a PIN sends money out, receiving money never needs a PIN  D) The request has expired</t>
  </si>
  <si>
    <t>A seller says they've sent you a refund via a UPI 'request'. You see a prompt asking you to enter your UPI PIN. What do you do?</t>
  </si>
  <si>
    <t>A) Decline the request and don't enter your PIN  B) Enter the PIN to get the refund  C) Enter the PIN but check the amount first  D) Ask the seller to try again</t>
  </si>
  <si>
    <t>You never enter a UPI PIN to receive money. A collect request with a PIN prompt is pulling money out of your account.</t>
  </si>
  <si>
    <t>Refunds are credited automatically. A PIN prompt means money is leaving your account.</t>
  </si>
  <si>
    <t>Q08</t>
  </si>
  <si>
    <t>Screen-sharing and remote-access scams</t>
  </si>
  <si>
    <t>A 'support executive' asks you to install AnyDesk so they can 'fix your refund'. What happens if you do?</t>
  </si>
  <si>
    <t>A) Nothing, it's only a chat tool  B) They can only see your photos  C) It just checks your internet speed  D) They can see and control your phone, including banking apps</t>
  </si>
  <si>
    <t>A caller claiming to be from your telecom provider says KYC has expired and asks you to share your screen via a quick-support app. Best action?</t>
  </si>
  <si>
    <t>A) Share the screen but not the OTP  B) Decline, and visit the operator's store or official app  C) Share the screen while on loudspeaker  D) Share only for a minute</t>
  </si>
  <si>
    <t>Remote-access tools let scammers watch your screen, see OTPs and move money themselves.</t>
  </si>
  <si>
    <t>No legitimate service needs remote control of your phone for KYC. Visit the official store or app instead.</t>
  </si>
  <si>
    <t>Q09</t>
  </si>
  <si>
    <t>Digital arrest scams</t>
  </si>
  <si>
    <t>On a video call, a person in uniform says a parcel in your name contains illegal items, that you're under 'digital arrest', and must stay on camera and transfer money for 'verification'. What is this?</t>
  </si>
  <si>
    <t>A) A scam: no agency arrests or investigates people by video call and demands money  B) A real police process  C) A court notice  D) A routine bank check</t>
  </si>
  <si>
    <t>A caller says they're from TRAI and your number will be disconnected for illegal activity, then connects you to a 'police officer' who tells you not to tell anyone and to move your savings 'for safety'. What do you do?</t>
  </si>
  <si>
    <t>A) Follow instructions, to avoid arrest  B) Move only part of your money  C) Hang up, tell family, and report at 1930 or cybercrime.gov.in  D) Ask them to send a letter by post</t>
  </si>
  <si>
    <t>'Digital arrest' doesn't exist in law. Agencies don't demand payments or isolation over a call. Disconnect and report to 1930.</t>
  </si>
  <si>
    <t>Secrecy and pressure are core scam tactics. Real authorities don't ask you to transfer money to prove innocence.</t>
  </si>
  <si>
    <t>Q10</t>
  </si>
  <si>
    <t>Scam Prevention</t>
  </si>
  <si>
    <t>Recognising warning signs</t>
  </si>
  <si>
    <t>Which combination of signs most strongly suggests a scam?</t>
  </si>
  <si>
    <t>A) A greeting and a company logo  B) Urgency, secrecy and a request for money or codes  C) A message sent late at night  D) A message with a typo</t>
  </si>
  <si>
    <t>Which of these should make you most suspicious of a message?</t>
  </si>
  <si>
    <t>A) It comes from a contact you've saved  B) It includes your first name  C) It has a link to a well-known brand  D) It offers a prize and says 'claim in the next 10 minutes, don't tell anyone'</t>
  </si>
  <si>
    <t>Pressure to act fast, keep quiet and hand over money or codes is the common thread across scam types.</t>
  </si>
  <si>
    <t>Time pressure and secrecy stop you from checking with others. Slow down and verify.</t>
  </si>
  <si>
    <t>Q11</t>
  </si>
  <si>
    <t>Verifying identity through a second channel</t>
  </si>
  <si>
    <t>A relative's WhatsApp account messages you asking for urgent money. What is the most reliable way to check?</t>
  </si>
  <si>
    <t>A) Ask a personal question in the same chat  B) Check their profile photo  C) Call them on a number you already know  D) Ask them to send a voice note</t>
  </si>
  <si>
    <t>A caller says they're from your bank. How do you confirm it?</t>
  </si>
  <si>
    <t>A) Hang up and dial the number printed on your card or the bank's website  B) Trust the caller ID on your screen  C) Ask the caller to verify your details  D) Ask them to call back in an hour</t>
  </si>
  <si>
    <t>If the account is hijacked, everything in that chat is controlled by the scammer. Use a separate, trusted channel.</t>
  </si>
  <si>
    <t>Caller ID can be faked. Call the official number yourself to reach the real bank.</t>
  </si>
  <si>
    <t>Q12</t>
  </si>
  <si>
    <t>Reporting and responding safely</t>
  </si>
  <si>
    <t>You've just lost money in an online scam. What is the best first step?</t>
  </si>
  <si>
    <t>A) Wait a week to see if it's refunded  B) Post about it and wait for replies  C) Message the scammer to ask for a refund  D) Call the national cybercrime helpline 1930 and report at cybercrime.gov.in quickly</t>
  </si>
  <si>
    <t>You realise you shared your OTP with a fraudster and money has left your account. What do you do first?</t>
  </si>
  <si>
    <t>A) Wait for the bank to notice  B) Contact your bank to block the account or card, and report to 1930  C) Delete the chat  D) Change your phone wallpaper</t>
  </si>
  <si>
    <t>Fast reporting improves the chance of freezing funds. The helpline is 1930 and complaints are filed at cybercrime.gov.in.</t>
  </si>
  <si>
    <t>Speed is critical. Alert your bank so it can block transactions, and report to the cybercrime helpline.</t>
  </si>
  <si>
    <t>Participant_ID</t>
  </si>
  <si>
    <t>Intervention_Group</t>
  </si>
  <si>
    <t>Assessment_Stage</t>
  </si>
  <si>
    <t>Selected_Answer</t>
  </si>
  <si>
    <t>Correct_Answer</t>
  </si>
  <si>
    <t>Is_Correct</t>
  </si>
  <si>
    <t>Question_Score</t>
  </si>
  <si>
    <t>Overall_Score</t>
  </si>
  <si>
    <t>Overall_Pct</t>
  </si>
  <si>
    <t>Topic_Accuracy</t>
  </si>
  <si>
    <t>Participant_Name</t>
  </si>
  <si>
    <t>SM001</t>
  </si>
  <si>
    <t>Social Media Campaign</t>
  </si>
  <si>
    <t>Pre</t>
  </si>
  <si>
    <t>Zaid Bhatia</t>
  </si>
  <si>
    <t>SM002</t>
  </si>
  <si>
    <t>Aishwarya Choudhary</t>
  </si>
  <si>
    <t>SM003</t>
  </si>
  <si>
    <t>Aditya Kapoor</t>
  </si>
  <si>
    <t>SM004</t>
  </si>
  <si>
    <t>Sandeep Pillai</t>
  </si>
  <si>
    <t>SM005</t>
  </si>
  <si>
    <t>Aditya Bhat</t>
  </si>
  <si>
    <t>SM006</t>
  </si>
  <si>
    <t>Ishaan Singh</t>
  </si>
  <si>
    <t>SM007</t>
  </si>
  <si>
    <t>Shruti Choudhary</t>
  </si>
  <si>
    <t>SM008</t>
  </si>
  <si>
    <t>Mahima Srivastava</t>
  </si>
  <si>
    <t>SM009</t>
  </si>
  <si>
    <t>Farah Kapoor</t>
  </si>
  <si>
    <t>SM010</t>
  </si>
  <si>
    <t>Neha Singh</t>
  </si>
  <si>
    <t>SM011</t>
  </si>
  <si>
    <t>Nandini Sharma</t>
  </si>
  <si>
    <t>SM012</t>
  </si>
  <si>
    <t>Simran Srivastava</t>
  </si>
  <si>
    <t>SM013</t>
  </si>
  <si>
    <t>Ritika Saxena</t>
  </si>
  <si>
    <t>SM014</t>
  </si>
  <si>
    <t>Dev Banerjee</t>
  </si>
  <si>
    <t>SM015</t>
  </si>
  <si>
    <t>Simran Yadav</t>
  </si>
  <si>
    <t>SM016</t>
  </si>
  <si>
    <t>Lakshmi Das</t>
  </si>
  <si>
    <t>SM017</t>
  </si>
  <si>
    <t>Meera Sharma</t>
  </si>
  <si>
    <t>SM018</t>
  </si>
  <si>
    <t>Anjali Chopra</t>
  </si>
  <si>
    <t>SM019</t>
  </si>
  <si>
    <t>Siddharth Ghosh</t>
  </si>
  <si>
    <t>SM020</t>
  </si>
  <si>
    <t>Harpreet Shetty</t>
  </si>
  <si>
    <t>SM021</t>
  </si>
  <si>
    <t>Tarun Kaur</t>
  </si>
  <si>
    <t>SM022</t>
  </si>
  <si>
    <t>Fatima Thakur</t>
  </si>
  <si>
    <t>SM023</t>
  </si>
  <si>
    <t>Pooja Gupta</t>
  </si>
  <si>
    <t>SM024</t>
  </si>
  <si>
    <t>Fatima Reddy</t>
  </si>
  <si>
    <t>SM025</t>
  </si>
  <si>
    <t>Manoj Khan</t>
  </si>
  <si>
    <t>SM026</t>
  </si>
  <si>
    <t>Farah Ghosh</t>
  </si>
  <si>
    <t>SM027</t>
  </si>
  <si>
    <t>Rohan Shah</t>
  </si>
  <si>
    <t>SM028</t>
  </si>
  <si>
    <t>Divya Bhatia</t>
  </si>
  <si>
    <t>SM029</t>
  </si>
  <si>
    <t>Harsh Naidu</t>
  </si>
  <si>
    <t>SM030</t>
  </si>
  <si>
    <t>Harpreet Kaur</t>
  </si>
  <si>
    <t>SM031</t>
  </si>
  <si>
    <t>Pooja Banerjee</t>
  </si>
  <si>
    <t>SM032</t>
  </si>
  <si>
    <t>Neha Das</t>
  </si>
  <si>
    <t>SM033</t>
  </si>
  <si>
    <t>Neha Bhatia</t>
  </si>
  <si>
    <t>SM034</t>
  </si>
  <si>
    <t>Priya Ansari</t>
  </si>
  <si>
    <t>SM035</t>
  </si>
  <si>
    <t>Pooja Thakur</t>
  </si>
  <si>
    <t>SM036</t>
  </si>
  <si>
    <t>Aditya Kaur</t>
  </si>
  <si>
    <t>SM037</t>
  </si>
  <si>
    <t>Siddharth Sandhu</t>
  </si>
  <si>
    <t>SM038</t>
  </si>
  <si>
    <t>Anjali Pandey</t>
  </si>
  <si>
    <t>SM039</t>
  </si>
  <si>
    <t>Kabir Gill</t>
  </si>
  <si>
    <t>SM040</t>
  </si>
  <si>
    <t>Arjun Bhat</t>
  </si>
  <si>
    <t>SM041</t>
  </si>
  <si>
    <t>Mohit Menon</t>
  </si>
  <si>
    <t>SM042</t>
  </si>
  <si>
    <t>Aditya Bose</t>
  </si>
  <si>
    <t>SM043</t>
  </si>
  <si>
    <t>Sunita Singh</t>
  </si>
  <si>
    <t>SM044</t>
  </si>
  <si>
    <t>Rahul Gill</t>
  </si>
  <si>
    <t>SM045</t>
  </si>
  <si>
    <t>Mahima Menon</t>
  </si>
  <si>
    <t>SM046</t>
  </si>
  <si>
    <t>Meera Joshi</t>
  </si>
  <si>
    <t>SM047</t>
  </si>
  <si>
    <t>Neha Patel</t>
  </si>
  <si>
    <t>Post</t>
  </si>
  <si>
    <t>Social Media Campaign analysis - Scam Shield - cybersecurity awareness impact evaluation</t>
  </si>
  <si>
    <t>Pre_Score</t>
  </si>
  <si>
    <t>Post_Score</t>
  </si>
  <si>
    <t>Pre_Pct</t>
  </si>
  <si>
    <t>Post_Pct</t>
  </si>
  <si>
    <t>Change_Points</t>
  </si>
  <si>
    <t>Change_pp</t>
  </si>
  <si>
    <t>Category</t>
  </si>
  <si>
    <t>Metric</t>
  </si>
  <si>
    <t>Value</t>
  </si>
  <si>
    <t>Matched participants</t>
  </si>
  <si>
    <t>Average pre score (points)</t>
  </si>
  <si>
    <t>Average post score (points)</t>
  </si>
  <si>
    <t>Average pre score (%)</t>
  </si>
  <si>
    <t>Average post score (%)</t>
  </si>
  <si>
    <t>Absolute improvement (percentage points)</t>
  </si>
  <si>
    <t>Relative improvement (% of baseline)</t>
  </si>
  <si>
    <t>Participants whose score increased</t>
  </si>
  <si>
    <t>Mean score change (points)</t>
  </si>
  <si>
    <t>Post-accuracy target (flag below)</t>
  </si>
  <si>
    <t>Pre accuracy</t>
  </si>
  <si>
    <t>Post accuracy</t>
  </si>
  <si>
    <t>Change (pp)</t>
  </si>
  <si>
    <t>Flag</t>
  </si>
  <si>
    <t>Min change (points)</t>
  </si>
  <si>
    <t>Participants</t>
  </si>
  <si>
    <t>Share</t>
  </si>
  <si>
    <t>Substantial improvement</t>
  </si>
  <si>
    <t>Modest improvement</t>
  </si>
  <si>
    <t>Unchanged</t>
  </si>
  <si>
    <t>Scored lower</t>
  </si>
  <si>
    <t>&lt;0</t>
  </si>
  <si>
    <t>Score change (points)</t>
  </si>
  <si>
    <t>Question</t>
  </si>
  <si>
    <t>SEM001</t>
  </si>
  <si>
    <t>In-Person Seminar</t>
  </si>
  <si>
    <t>Zaid Khan</t>
  </si>
  <si>
    <t>SEM002</t>
  </si>
  <si>
    <t>Mohit Hegde</t>
  </si>
  <si>
    <t>SEM003</t>
  </si>
  <si>
    <t>Kabir Khan</t>
  </si>
  <si>
    <t>SEM004</t>
  </si>
  <si>
    <t>Diya Mukherjee</t>
  </si>
  <si>
    <t>SEM005</t>
  </si>
  <si>
    <t>Vikram Iyer</t>
  </si>
  <si>
    <t>SEM006</t>
  </si>
  <si>
    <t>Isha Sandhu</t>
  </si>
  <si>
    <t>SEM007</t>
  </si>
  <si>
    <t>Sanya Patel</t>
  </si>
  <si>
    <t>SEM008</t>
  </si>
  <si>
    <t>Bhavna Nair</t>
  </si>
  <si>
    <t>SEM009</t>
  </si>
  <si>
    <t>Sneha Kaur</t>
  </si>
  <si>
    <t>SEM010</t>
  </si>
  <si>
    <t>Ramesh Malhotra</t>
  </si>
  <si>
    <t>SEM011</t>
  </si>
  <si>
    <t>Meera Das</t>
  </si>
  <si>
    <t>SEM012</t>
  </si>
  <si>
    <t>Siddharth Mukherjee</t>
  </si>
  <si>
    <t>SEM013</t>
  </si>
  <si>
    <t>Manoj Rao</t>
  </si>
  <si>
    <t>SEM014</t>
  </si>
  <si>
    <t>Tarun Chopra</t>
  </si>
  <si>
    <t>SEM015</t>
  </si>
  <si>
    <t>Arjun Kaur</t>
  </si>
  <si>
    <t>SEM016</t>
  </si>
  <si>
    <t>Akash Fernandes</t>
  </si>
  <si>
    <t>SEM017</t>
  </si>
  <si>
    <t>Sandeep Banerjee</t>
  </si>
  <si>
    <t>SEM018</t>
  </si>
  <si>
    <t>Neha Kapoor</t>
  </si>
  <si>
    <t>SEM019</t>
  </si>
  <si>
    <t>Ananya Malhotra</t>
  </si>
  <si>
    <t>SEM020</t>
  </si>
  <si>
    <t>Simran Thakur</t>
  </si>
  <si>
    <t>SEM021</t>
  </si>
  <si>
    <t>Lakshmi Ansari</t>
  </si>
  <si>
    <t>SEM022</t>
  </si>
  <si>
    <t>Nandini Malhotra</t>
  </si>
  <si>
    <t>SEM023</t>
  </si>
  <si>
    <t>Siddharth Gupta</t>
  </si>
  <si>
    <t>SEM024</t>
  </si>
  <si>
    <t>Deepa Malhotra</t>
  </si>
  <si>
    <t>SEM025</t>
  </si>
  <si>
    <t>Harpreet Yadav</t>
  </si>
  <si>
    <t>SEM026</t>
  </si>
  <si>
    <t>Aarav Fernandes</t>
  </si>
  <si>
    <t>SEM027</t>
  </si>
  <si>
    <t>Yash Agarwal</t>
  </si>
  <si>
    <t>SEM028</t>
  </si>
  <si>
    <t>Dev Saxena</t>
  </si>
  <si>
    <t>SEM029</t>
  </si>
  <si>
    <t>Fatima Agarwal</t>
  </si>
  <si>
    <t>SEM030</t>
  </si>
  <si>
    <t>Nandini Bhat</t>
  </si>
  <si>
    <t>SEM031</t>
  </si>
  <si>
    <t>Swati Bhat</t>
  </si>
  <si>
    <t>SEM032</t>
  </si>
  <si>
    <t>Tarun Kapoor</t>
  </si>
  <si>
    <t>SEM033</t>
  </si>
  <si>
    <t>Pooja Pandey</t>
  </si>
  <si>
    <t>SEM034</t>
  </si>
  <si>
    <t>Harsh Saxena</t>
  </si>
  <si>
    <t>SEM035</t>
  </si>
  <si>
    <t>Rohan Yadav</t>
  </si>
  <si>
    <t>SEM036</t>
  </si>
  <si>
    <t>Mahima Kapoor</t>
  </si>
  <si>
    <t>SEM037</t>
  </si>
  <si>
    <t>Kabir Shetty</t>
  </si>
  <si>
    <t>SEM038</t>
  </si>
  <si>
    <t>Sanya Sinha</t>
  </si>
  <si>
    <t>SEM039</t>
  </si>
  <si>
    <t>Aarav Naidu</t>
  </si>
  <si>
    <t>SEM040</t>
  </si>
  <si>
    <t>Trisha Agarwal</t>
  </si>
  <si>
    <t>SEM041</t>
  </si>
  <si>
    <t>Yash Patel</t>
  </si>
  <si>
    <t>SEM042</t>
  </si>
  <si>
    <t>Aarav Bhatia</t>
  </si>
  <si>
    <t>SEM043</t>
  </si>
  <si>
    <t>In-Person Seminar analysis - Scam Shield - cybersecurity awareness impact evaluation</t>
  </si>
  <si>
    <t>Impact Dashboard - Scam Shield - cybersecurity awareness impact evaluation</t>
  </si>
  <si>
    <t>Social media</t>
  </si>
  <si>
    <t>Seminar</t>
  </si>
  <si>
    <t>Seminar minus Social</t>
  </si>
  <si>
    <t>Absolute improvement (pp)</t>
  </si>
  <si>
    <t>Social pre</t>
  </si>
  <si>
    <t>Social post</t>
  </si>
  <si>
    <t>Seminar pre</t>
  </si>
  <si>
    <t>Seminar post</t>
  </si>
  <si>
    <t>Social gain (pp)</t>
  </si>
  <si>
    <t>Seminar gain (pp)</t>
  </si>
  <si>
    <t>Overall</t>
  </si>
  <si>
    <t>Improvement category</t>
  </si>
  <si>
    <t>Social</t>
  </si>
  <si>
    <t>Social change (pp)</t>
  </si>
  <si>
    <t>Seminar change (pp)</t>
  </si>
  <si>
    <t>Key findings (calculated)</t>
  </si>
  <si>
    <t>Largest gain - Social</t>
  </si>
  <si>
    <t>Largest gain - Seminar</t>
  </si>
  <si>
    <t>Lowest post accuracy - Social</t>
  </si>
  <si>
    <t>Lowest post accuracy - Seminar</t>
  </si>
  <si>
    <t>Topic with largest gain - Social</t>
  </si>
  <si>
    <t>Topic with largest gain - Seminar</t>
  </si>
  <si>
    <t>README and assumptions</t>
  </si>
  <si>
    <t>Purpose: pre/post evaluation of two cybersecurity-awareness interventions.</t>
  </si>
  <si>
    <t>Social media scenario: 47 participants. Seminar scenario: 43 students. Participant IDs match across Pre and Post sheets.</t>
  </si>
  <si>
    <t>Quiz: 12 questions, 3 per topic. Pre and Post use parallel versions (form A / form B) of the same learning objective, with equal assumed difficulty. Each question is worth 1 point.</t>
  </si>
  <si>
    <t>The live quiz app presents some of these questions as interactive tasks (match the lines, scam-or-safe swipe cards, tap the red flags, put steps in order). Question_Bank holds the four-option form of each learning objective that the responses are modelled on; each task is scored right or wrong on the same objective.</t>
  </si>
  <si>
    <t>Assumptions used to generate the responses (see analysis/generate_data.py)</t>
  </si>
  <si>
    <t>1. Each participant has a random baseline ability; each question has a fixed difficulty; correctness is a probability from both, so scores are noisy and not uniformly high.</t>
  </si>
  <si>
    <t>2. Each participant has a random personal gain for the intervention, so some improve a lot, some a little, and some score lower after.</t>
  </si>
  <si>
    <t>3. Seminar gain is assumed larger on average than the social media gain (direct instruction and discussion).</t>
  </si>
  <si>
    <t>4. Two questions (QR-code phishing, digital arrest) are assumed stubborn: interventions help them less, especially the social posts. Social posts are assumed to help WhatsApp scam awareness slightly more than everyday-fraud awareness.</t>
  </si>
  <si>
    <t>5. Wrong answers are chosen uniformly among the three incorrect options.</t>
  </si>
  <si>
    <t>How to read the workbook</t>
  </si>
  <si>
    <t>Is_Correct, scores and percentages are formulas over Selected_Answer and Question_Bank. Analysis and dashboard values and all charts are formulas over those sheets, so edits flow through.</t>
  </si>
  <si>
    <t>Percentage-point improvement = post % minus pre %. Relative improvement = (post % minus pre %) divided by pre %. They are reported separately and should not be confused.</t>
  </si>
  <si>
    <t>Improvement categories (change in questions correct): Substantial &gt;= 3, Modest 1-2, Unchanged 0, Lower &lt; 0. Thresholds are editable in cells B23:B24 on each analysis sheet.</t>
  </si>
</sst>
</file>

<file path=xl/styles.xml><?xml version="1.0" encoding="utf-8"?>
<styleSheet xmlns="http://schemas.openxmlformats.org/spreadsheetml/2006/main">
  <numFmts count="3">
    <numFmt numFmtId="164" formatCode="0.0%"/>
    <numFmt numFmtId="165" formatCode="0.0 &quot;pp&quot;"/>
    <numFmt numFmtId="166" formatCode="0.00"/>
  </numFmts>
  <fonts count="3">
    <font>
      <sz val="11"/>
      <color theme="1"/>
      <name val="Calibri"/>
      <family val="2"/>
      <scheme val="minor"/>
    </font>
    <font>
      <b/>
      <sz val="11"/>
      <color rgb="FFFFFFFF"/>
      <name val="Calibri"/>
      <family val="2"/>
      <scheme val="minor"/>
    </font>
    <font>
      <b/>
      <sz val="13"/>
      <color theme="1"/>
      <name val="Calibri"/>
      <family val="2"/>
      <scheme val="minor"/>
    </font>
  </fonts>
  <fills count="4">
    <fill>
      <patternFill patternType="none"/>
    </fill>
    <fill>
      <patternFill patternType="gray125"/>
    </fill>
    <fill>
      <patternFill patternType="solid">
        <fgColor rgb="FFB91C1C"/>
        <bgColor indexed="64"/>
      </patternFill>
    </fill>
    <fill>
      <patternFill patternType="solid">
        <fgColor rgb="FF1F293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2" fillId="0" borderId="0" xfId="0" applyFont="1"/>
    <xf numFmtId="0" fontId="0" fillId="0" borderId="0" xfId="0" applyAlignment="1">
      <alignment vertical="top"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
    <dxf>
      <font>
        <color rgb="FF991B1B"/>
      </font>
      <fill>
        <patternFill>
          <bgColor rgb="FFFEE2E2"/>
        </patternFill>
      </fill>
    </dxf>
    <dxf>
      <font>
        <color rgb="FF065F46"/>
      </font>
      <fill>
        <patternFill>
          <bgColor rgb="FFD1FAE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1. Average score: pre vs post</a:t>
            </a:r>
          </a:p>
        </c:rich>
      </c:tx>
      <c:layout/>
    </c:title>
    <c:plotArea>
      <c:layout/>
      <c:barChart>
        <c:barDir val="col"/>
        <c:grouping val="clustered"/>
        <c:ser>
          <c:idx val="0"/>
          <c:order val="0"/>
          <c:tx>
            <c:v>Pre</c:v>
          </c:tx>
          <c:spPr>
            <a:solidFill>
              <a:srgbClr val="9AA5B1"/>
            </a:solidFill>
          </c:spPr>
          <c:dLbls>
            <c:numFmt formatCode="0.0%" sourceLinked="0"/>
            <c:showVal val="1"/>
          </c:dLbls>
          <c:cat>
            <c:strRef>
              <c:f>Impact_Dashboard!$B$4:$C$4</c:f>
              <c:strCache>
                <c:ptCount val="2"/>
                <c:pt idx="0">
                  <c:v>Social media</c:v>
                </c:pt>
                <c:pt idx="1">
                  <c:v>Seminar</c:v>
                </c:pt>
              </c:strCache>
            </c:strRef>
          </c:cat>
          <c:val>
            <c:numRef>
              <c:f>Impact_Dashboard!$B$6:$C$6</c:f>
              <c:numCache>
                <c:formatCode>General</c:formatCode>
                <c:ptCount val="2"/>
                <c:pt idx="0">
                  <c:v>0</c:v>
                </c:pt>
                <c:pt idx="1">
                  <c:v>0</c:v>
                </c:pt>
              </c:numCache>
            </c:numRef>
          </c:val>
        </c:ser>
        <c:ser>
          <c:idx val="1"/>
          <c:order val="1"/>
          <c:tx>
            <c:v>Post</c:v>
          </c:tx>
          <c:spPr>
            <a:solidFill>
              <a:srgbClr val="2E9E6B"/>
            </a:solidFill>
          </c:spPr>
          <c:dLbls>
            <c:numFmt formatCode="0.0%" sourceLinked="0"/>
            <c:showVal val="1"/>
          </c:dLbls>
          <c:cat>
            <c:strRef>
              <c:f>Impact_Dashboard!$B$4:$C$4</c:f>
              <c:strCache>
                <c:ptCount val="2"/>
                <c:pt idx="0">
                  <c:v>Social media</c:v>
                </c:pt>
                <c:pt idx="1">
                  <c:v>Seminar</c:v>
                </c:pt>
              </c:strCache>
            </c:strRef>
          </c:cat>
          <c:val>
            <c:numRef>
              <c:f>Impact_Dashboard!$B$7:$C$7</c:f>
              <c:numCache>
                <c:formatCode>General</c:formatCode>
                <c:ptCount val="2"/>
                <c:pt idx="0">
                  <c:v>0</c:v>
                </c:pt>
                <c:pt idx="1">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ax val="1"/>
          <c:min val="0"/>
        </c:scaling>
        <c:axPos val="l"/>
        <c:majorGridlines/>
        <c:numFmt formatCode="0%"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2. Topic-wise accuracy</a:t>
            </a:r>
          </a:p>
        </c:rich>
      </c:tx>
      <c:layout/>
    </c:title>
    <c:plotArea>
      <c:layout/>
      <c:barChart>
        <c:barDir val="col"/>
        <c:grouping val="clustered"/>
        <c:ser>
          <c:idx val="0"/>
          <c:order val="0"/>
          <c:tx>
            <c:v>Social pre</c:v>
          </c:tx>
          <c:spPr>
            <a:solidFill>
              <a:srgbClr val="B7D3FA"/>
            </a:solidFill>
          </c:spPr>
          <c:dLbls/>
          <c:cat>
            <c:strRef>
              <c:f>Impact_Dashboard!$A$13:$A$16</c:f>
              <c:strCache>
                <c:ptCount val="4"/>
                <c:pt idx="0">
                  <c:v>WhatsApp Scams</c:v>
                </c:pt>
                <c:pt idx="1">
                  <c:v>Phishing</c:v>
                </c:pt>
                <c:pt idx="2">
                  <c:v>Everyday Online Fraud</c:v>
                </c:pt>
                <c:pt idx="3">
                  <c:v>Scam Prevention</c:v>
                </c:pt>
              </c:strCache>
            </c:strRef>
          </c:cat>
          <c:val>
            <c:numRef>
              <c:f>Impact_Dashboard!$B$13:$B$16</c:f>
              <c:numCache>
                <c:formatCode>General</c:formatCode>
                <c:ptCount val="4"/>
                <c:pt idx="0">
                  <c:v>0</c:v>
                </c:pt>
                <c:pt idx="1">
                  <c:v>0</c:v>
                </c:pt>
                <c:pt idx="2">
                  <c:v>0</c:v>
                </c:pt>
                <c:pt idx="3">
                  <c:v>0</c:v>
                </c:pt>
              </c:numCache>
            </c:numRef>
          </c:val>
        </c:ser>
        <c:ser>
          <c:idx val="1"/>
          <c:order val="1"/>
          <c:tx>
            <c:v>Social post</c:v>
          </c:tx>
          <c:spPr>
            <a:solidFill>
              <a:srgbClr val="3B82F6"/>
            </a:solidFill>
          </c:spPr>
          <c:dLbls/>
          <c:cat>
            <c:strRef>
              <c:f>Impact_Dashboard!$A$13:$A$16</c:f>
              <c:strCache>
                <c:ptCount val="4"/>
                <c:pt idx="0">
                  <c:v>WhatsApp Scams</c:v>
                </c:pt>
                <c:pt idx="1">
                  <c:v>Phishing</c:v>
                </c:pt>
                <c:pt idx="2">
                  <c:v>Everyday Online Fraud</c:v>
                </c:pt>
                <c:pt idx="3">
                  <c:v>Scam Prevention</c:v>
                </c:pt>
              </c:strCache>
            </c:strRef>
          </c:cat>
          <c:val>
            <c:numRef>
              <c:f>Impact_Dashboard!$C$13:$C$16</c:f>
              <c:numCache>
                <c:formatCode>General</c:formatCode>
                <c:ptCount val="4"/>
                <c:pt idx="0">
                  <c:v>0</c:v>
                </c:pt>
                <c:pt idx="1">
                  <c:v>0</c:v>
                </c:pt>
                <c:pt idx="2">
                  <c:v>0</c:v>
                </c:pt>
                <c:pt idx="3">
                  <c:v>0</c:v>
                </c:pt>
              </c:numCache>
            </c:numRef>
          </c:val>
        </c:ser>
        <c:ser>
          <c:idx val="2"/>
          <c:order val="2"/>
          <c:tx>
            <c:v>Seminar pre</c:v>
          </c:tx>
          <c:spPr>
            <a:solidFill>
              <a:srgbClr val="FBD99B"/>
            </a:solidFill>
          </c:spPr>
          <c:dLbls/>
          <c:cat>
            <c:strRef>
              <c:f>Impact_Dashboard!$A$13:$A$16</c:f>
              <c:strCache>
                <c:ptCount val="4"/>
                <c:pt idx="0">
                  <c:v>WhatsApp Scams</c:v>
                </c:pt>
                <c:pt idx="1">
                  <c:v>Phishing</c:v>
                </c:pt>
                <c:pt idx="2">
                  <c:v>Everyday Online Fraud</c:v>
                </c:pt>
                <c:pt idx="3">
                  <c:v>Scam Prevention</c:v>
                </c:pt>
              </c:strCache>
            </c:strRef>
          </c:cat>
          <c:val>
            <c:numRef>
              <c:f>Impact_Dashboard!$D$13:$D$16</c:f>
              <c:numCache>
                <c:formatCode>General</c:formatCode>
                <c:ptCount val="4"/>
                <c:pt idx="0">
                  <c:v>0</c:v>
                </c:pt>
                <c:pt idx="1">
                  <c:v>0</c:v>
                </c:pt>
                <c:pt idx="2">
                  <c:v>0</c:v>
                </c:pt>
                <c:pt idx="3">
                  <c:v>0</c:v>
                </c:pt>
              </c:numCache>
            </c:numRef>
          </c:val>
        </c:ser>
        <c:ser>
          <c:idx val="3"/>
          <c:order val="3"/>
          <c:tx>
            <c:v>Seminar post</c:v>
          </c:tx>
          <c:spPr>
            <a:solidFill>
              <a:srgbClr val="F59E0B"/>
            </a:solidFill>
          </c:spPr>
          <c:dLbls/>
          <c:cat>
            <c:strRef>
              <c:f>Impact_Dashboard!$A$13:$A$16</c:f>
              <c:strCache>
                <c:ptCount val="4"/>
                <c:pt idx="0">
                  <c:v>WhatsApp Scams</c:v>
                </c:pt>
                <c:pt idx="1">
                  <c:v>Phishing</c:v>
                </c:pt>
                <c:pt idx="2">
                  <c:v>Everyday Online Fraud</c:v>
                </c:pt>
                <c:pt idx="3">
                  <c:v>Scam Prevention</c:v>
                </c:pt>
              </c:strCache>
            </c:strRef>
          </c:cat>
          <c:val>
            <c:numRef>
              <c:f>Impact_Dashboard!$E$13:$E$16</c:f>
              <c:numCache>
                <c:formatCode>General</c:formatCode>
                <c:ptCount val="4"/>
                <c:pt idx="0">
                  <c:v>0</c:v>
                </c:pt>
                <c:pt idx="1">
                  <c:v>0</c:v>
                </c:pt>
                <c:pt idx="2">
                  <c:v>0</c:v>
                </c:pt>
                <c:pt idx="3">
                  <c:v>0</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1"/>
          <c:min val="0"/>
        </c:scaling>
        <c:axPos val="l"/>
        <c:majorGridlines/>
        <c:numFmt formatCode="0%"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3. Improvement categories (participants)</a:t>
            </a:r>
          </a:p>
        </c:rich>
      </c:tx>
      <c:layout/>
    </c:title>
    <c:plotArea>
      <c:layout/>
      <c:barChart>
        <c:barDir val="col"/>
        <c:grouping val="clustered"/>
        <c:ser>
          <c:idx val="0"/>
          <c:order val="0"/>
          <c:tx>
            <c:v>Social</c:v>
          </c:tx>
          <c:spPr>
            <a:solidFill>
              <a:srgbClr val="3B82F6"/>
            </a:solidFill>
          </c:spPr>
          <c:dLbls>
            <c:showVal val="1"/>
          </c:dLbls>
          <c:cat>
            <c:numRef>
              <c:f>Impact_Dashboard!$A$20:$A$23</c:f>
              <c:numCache>
                <c:formatCode>General</c:formatCode>
                <c:ptCount val="4"/>
                <c:pt idx="0">
                  <c:v>0</c:v>
                </c:pt>
                <c:pt idx="1">
                  <c:v>0</c:v>
                </c:pt>
                <c:pt idx="2">
                  <c:v>0</c:v>
                </c:pt>
                <c:pt idx="3">
                  <c:v>0</c:v>
                </c:pt>
              </c:numCache>
            </c:numRef>
          </c:cat>
          <c:val>
            <c:numRef>
              <c:f>Impact_Dashboard!$B$20:$B$23</c:f>
              <c:numCache>
                <c:formatCode>General</c:formatCode>
                <c:ptCount val="4"/>
                <c:pt idx="0">
                  <c:v>0</c:v>
                </c:pt>
                <c:pt idx="1">
                  <c:v>0</c:v>
                </c:pt>
                <c:pt idx="2">
                  <c:v>0</c:v>
                </c:pt>
                <c:pt idx="3">
                  <c:v>0</c:v>
                </c:pt>
              </c:numCache>
            </c:numRef>
          </c:val>
        </c:ser>
        <c:ser>
          <c:idx val="1"/>
          <c:order val="1"/>
          <c:tx>
            <c:v>Seminar</c:v>
          </c:tx>
          <c:spPr>
            <a:solidFill>
              <a:srgbClr val="F59E0B"/>
            </a:solidFill>
          </c:spPr>
          <c:dLbls>
            <c:showVal val="1"/>
          </c:dLbls>
          <c:cat>
            <c:numRef>
              <c:f>Impact_Dashboard!$A$20:$A$23</c:f>
              <c:numCache>
                <c:formatCode>General</c:formatCode>
                <c:ptCount val="4"/>
                <c:pt idx="0">
                  <c:v>0</c:v>
                </c:pt>
                <c:pt idx="1">
                  <c:v>0</c:v>
                </c:pt>
                <c:pt idx="2">
                  <c:v>0</c:v>
                </c:pt>
                <c:pt idx="3">
                  <c:v>0</c:v>
                </c:pt>
              </c:numCache>
            </c:numRef>
          </c:cat>
          <c:val>
            <c:numRef>
              <c:f>Impact_Dashboard!$C$20:$C$23</c:f>
              <c:numCache>
                <c:formatCode>General</c:formatCode>
                <c:ptCount val="4"/>
                <c:pt idx="0">
                  <c:v>0</c:v>
                </c:pt>
                <c:pt idx="1">
                  <c:v>0</c:v>
                </c:pt>
                <c:pt idx="2">
                  <c:v>0</c:v>
                </c:pt>
                <c:pt idx="3">
                  <c:v>0</c:v>
                </c:pt>
              </c:numCache>
            </c:numRef>
          </c:val>
        </c:ser>
        <c:axId val="50030001"/>
        <c:axId val="50030002"/>
      </c:barChart>
      <c:catAx>
        <c:axId val="50030001"/>
        <c:scaling>
          <c:orientation val="minMax"/>
        </c:scaling>
        <c:axPos val="b"/>
        <c:numFmt formatCode="General" sourceLinked="1"/>
        <c:tickLblPos val="nextTo"/>
        <c:crossAx val="50030002"/>
        <c:crosses val="autoZero"/>
        <c:auto val="1"/>
        <c:lblAlgn val="ctr"/>
        <c:lblOffset val="100"/>
      </c:catAx>
      <c:valAx>
        <c:axId val="50030002"/>
        <c:scaling>
          <c:orientation val="minMax"/>
        </c:scaling>
        <c:axPos val="l"/>
        <c:majorGridlines>
          <c:spPr>
            <a:ln>
              <a:solidFill>
                <a:srgbClr val="E5E7EB"/>
              </a:solidFill>
            </a:ln>
          </c:spPr>
        </c:majorGridlines>
        <c:title>
          <c:tx>
            <c:rich>
              <a:bodyPr/>
              <a:lstStyle/>
              <a:p>
                <a:pPr>
                  <a:defRPr/>
                </a:pPr>
                <a:r>
                  <a:rPr lang="en-US"/>
                  <a:t>Participants</a:t>
                </a:r>
              </a:p>
            </c:rich>
          </c:tx>
          <c:layout/>
        </c:title>
        <c:numFmt formatCode="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4. Distribution of individual score changes</a:t>
            </a:r>
          </a:p>
        </c:rich>
      </c:tx>
      <c:layout/>
    </c:title>
    <c:plotArea>
      <c:layout/>
      <c:barChart>
        <c:barDir val="col"/>
        <c:grouping val="clustered"/>
        <c:ser>
          <c:idx val="0"/>
          <c:order val="0"/>
          <c:tx>
            <c:v>Social</c:v>
          </c:tx>
          <c:spPr>
            <a:solidFill>
              <a:srgbClr val="3B82F6"/>
            </a:solidFill>
          </c:spPr>
          <c:dLbls/>
          <c:cat>
            <c:numRef>
              <c:f>Impact_Dashboard!$A$25:$A$41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cat>
          <c:val>
            <c:numRef>
              <c:f>Impact_Dashboard!$B$25:$B$41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ser>
          <c:idx val="1"/>
          <c:order val="1"/>
          <c:tx>
            <c:v>Seminar</c:v>
          </c:tx>
          <c:spPr>
            <a:solidFill>
              <a:srgbClr val="F59E0B"/>
            </a:solidFill>
          </c:spPr>
          <c:dLbls/>
          <c:cat>
            <c:numRef>
              <c:f>Impact_Dashboard!$A$25:$A$41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cat>
          <c:val>
            <c:numRef>
              <c:f>Impact_Dashboard!$C$25:$C$41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axId val="50040001"/>
        <c:axId val="50040002"/>
      </c:barChart>
      <c:catAx>
        <c:axId val="50040001"/>
        <c:scaling>
          <c:orientation val="minMax"/>
        </c:scaling>
        <c:axPos val="b"/>
        <c:title>
          <c:tx>
            <c:rich>
              <a:bodyPr/>
              <a:lstStyle/>
              <a:p>
                <a:pPr>
                  <a:defRPr/>
                </a:pPr>
                <a:r>
                  <a:rPr lang="en-US"/>
                  <a:t>Change in score (questions out of 12)</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spPr>
            <a:ln>
              <a:solidFill>
                <a:srgbClr val="E5E7EB"/>
              </a:solidFill>
            </a:ln>
          </c:spPr>
        </c:majorGridlines>
        <c:title>
          <c:tx>
            <c:rich>
              <a:bodyPr/>
              <a:lstStyle/>
              <a:p>
                <a:pPr>
                  <a:defRPr/>
                </a:pPr>
                <a:r>
                  <a:rPr lang="en-US"/>
                  <a:t>Participants</a:t>
                </a:r>
              </a:p>
            </c:rich>
          </c:tx>
          <c:layout/>
        </c:title>
        <c:numFmt formatCode="0" sourceLinked="0"/>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5. Learning gain by topic (percentage points)</a:t>
            </a:r>
          </a:p>
        </c:rich>
      </c:tx>
      <c:layout/>
    </c:title>
    <c:plotArea>
      <c:layout/>
      <c:barChart>
        <c:barDir val="bar"/>
        <c:grouping val="clustered"/>
        <c:ser>
          <c:idx val="0"/>
          <c:order val="0"/>
          <c:tx>
            <c:v>Social</c:v>
          </c:tx>
          <c:spPr>
            <a:solidFill>
              <a:srgbClr val="3B82F6"/>
            </a:solidFill>
          </c:spPr>
          <c:dLbls>
            <c:numFmt formatCode="0.0" sourceLinked="0"/>
            <c:showVal val="1"/>
          </c:dLbls>
          <c:cat>
            <c:strRef>
              <c:f>Impact_Dashboard!$A$13:$A$17</c:f>
              <c:strCache>
                <c:ptCount val="5"/>
                <c:pt idx="0">
                  <c:v>WhatsApp Scams</c:v>
                </c:pt>
                <c:pt idx="1">
                  <c:v>Phishing</c:v>
                </c:pt>
                <c:pt idx="2">
                  <c:v>Everyday Online Fraud</c:v>
                </c:pt>
                <c:pt idx="3">
                  <c:v>Scam Prevention</c:v>
                </c:pt>
                <c:pt idx="4">
                  <c:v>Overall</c:v>
                </c:pt>
              </c:strCache>
            </c:strRef>
          </c:cat>
          <c:val>
            <c:numRef>
              <c:f>Impact_Dashboard!$F$13:$F$17</c:f>
              <c:numCache>
                <c:formatCode>General</c:formatCode>
                <c:ptCount val="5"/>
                <c:pt idx="0">
                  <c:v>0</c:v>
                </c:pt>
                <c:pt idx="1">
                  <c:v>0</c:v>
                </c:pt>
                <c:pt idx="2">
                  <c:v>0</c:v>
                </c:pt>
                <c:pt idx="3">
                  <c:v>0</c:v>
                </c:pt>
                <c:pt idx="4">
                  <c:v>0</c:v>
                </c:pt>
              </c:numCache>
            </c:numRef>
          </c:val>
        </c:ser>
        <c:ser>
          <c:idx val="1"/>
          <c:order val="1"/>
          <c:tx>
            <c:v>Seminar</c:v>
          </c:tx>
          <c:spPr>
            <a:solidFill>
              <a:srgbClr val="F59E0B"/>
            </a:solidFill>
          </c:spPr>
          <c:dLbls>
            <c:numFmt formatCode="0.0" sourceLinked="0"/>
            <c:showVal val="1"/>
          </c:dLbls>
          <c:cat>
            <c:strRef>
              <c:f>Impact_Dashboard!$A$13:$A$17</c:f>
              <c:strCache>
                <c:ptCount val="5"/>
                <c:pt idx="0">
                  <c:v>WhatsApp Scams</c:v>
                </c:pt>
                <c:pt idx="1">
                  <c:v>Phishing</c:v>
                </c:pt>
                <c:pt idx="2">
                  <c:v>Everyday Online Fraud</c:v>
                </c:pt>
                <c:pt idx="3">
                  <c:v>Scam Prevention</c:v>
                </c:pt>
                <c:pt idx="4">
                  <c:v>Overall</c:v>
                </c:pt>
              </c:strCache>
            </c:strRef>
          </c:cat>
          <c:val>
            <c:numRef>
              <c:f>Impact_Dashboard!$G$13:$G$17</c:f>
              <c:numCache>
                <c:formatCode>General</c:formatCode>
                <c:ptCount val="5"/>
                <c:pt idx="0">
                  <c:v>0</c:v>
                </c:pt>
                <c:pt idx="1">
                  <c:v>0</c:v>
                </c:pt>
                <c:pt idx="2">
                  <c:v>0</c:v>
                </c:pt>
                <c:pt idx="3">
                  <c:v>0</c:v>
                </c:pt>
                <c:pt idx="4">
                  <c:v>0</c:v>
                </c:pt>
              </c:numCache>
            </c:numRef>
          </c:val>
        </c:ser>
        <c:axId val="50050001"/>
        <c:axId val="50050002"/>
      </c:barChart>
      <c:catAx>
        <c:axId val="50050001"/>
        <c:scaling>
          <c:orientation val="minMax"/>
        </c:scaling>
        <c:axPos val="l"/>
        <c:tickLblPos val="nextTo"/>
        <c:crossAx val="50050002"/>
        <c:crosses val="autoZero"/>
        <c:auto val="1"/>
        <c:lblAlgn val="ctr"/>
        <c:lblOffset val="100"/>
      </c:catAx>
      <c:valAx>
        <c:axId val="50050002"/>
        <c:scaling>
          <c:orientation val="minMax"/>
        </c:scaling>
        <c:axPos val="b"/>
        <c:majorGridlines/>
        <c:title>
          <c:tx>
            <c:rich>
              <a:bodyPr/>
              <a:lstStyle/>
              <a:p>
                <a:pPr>
                  <a:defRPr/>
                </a:pPr>
                <a:r>
                  <a:rPr lang="en-US"/>
                  <a:t>Gain (pp)</a:t>
                </a:r>
              </a:p>
            </c:rich>
          </c:tx>
          <c:layout/>
        </c:title>
        <c:numFmt formatCode="0" sourceLinked="0"/>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6. Question-level change (pp); see table for misconceptions</a:t>
            </a:r>
          </a:p>
        </c:rich>
      </c:tx>
      <c:layout/>
    </c:title>
    <c:plotArea>
      <c:layout/>
      <c:barChart>
        <c:barDir val="bar"/>
        <c:grouping val="clustered"/>
        <c:ser>
          <c:idx val="0"/>
          <c:order val="0"/>
          <c:tx>
            <c:v>Social</c:v>
          </c:tx>
          <c:spPr>
            <a:solidFill>
              <a:srgbClr val="3B82F6"/>
            </a:solidFill>
          </c:spPr>
          <c:dLbls/>
          <c:cat>
            <c:numRef>
              <c:f>Impact_Dashboard!$A$44:$A$55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Impact_Dashboard!$E$44:$E$55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Seminar</c:v>
          </c:tx>
          <c:spPr>
            <a:solidFill>
              <a:srgbClr val="F59E0B"/>
            </a:solidFill>
          </c:spPr>
          <c:dLbls/>
          <c:cat>
            <c:numRef>
              <c:f>Impact_Dashboard!$A$44:$A$55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Impact_Dashboard!$H$44:$H$55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60001"/>
        <c:axId val="50060002"/>
      </c:barChart>
      <c:catAx>
        <c:axId val="50060001"/>
        <c:scaling>
          <c:orientation val="maxMin"/>
        </c:scaling>
        <c:axPos val="l"/>
        <c:numFmt formatCode="General" sourceLinked="1"/>
        <c:tickLblPos val="nextTo"/>
        <c:crossAx val="50060002"/>
        <c:crosses val="autoZero"/>
        <c:auto val="1"/>
        <c:lblAlgn val="ctr"/>
        <c:lblOffset val="100"/>
      </c:catAx>
      <c:valAx>
        <c:axId val="50060002"/>
        <c:scaling>
          <c:orientation val="minMax"/>
        </c:scaling>
        <c:axPos val="t"/>
        <c:majorGridlines/>
        <c:title>
          <c:tx>
            <c:rich>
              <a:bodyPr/>
              <a:lstStyle/>
              <a:p>
                <a:pPr>
                  <a:defRPr/>
                </a:pPr>
                <a:r>
                  <a:rPr lang="en-US"/>
                  <a:t>Change (pp)</a:t>
                </a:r>
              </a:p>
            </c:rich>
          </c:tx>
          <c:layout/>
        </c:title>
        <c:numFmt formatCode="0" sourceLinked="0"/>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18</xdr:col>
      <xdr:colOff>419100</xdr:colOff>
      <xdr:row>19</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3</xdr:row>
      <xdr:rowOff>0</xdr:rowOff>
    </xdr:from>
    <xdr:to>
      <xdr:col>26</xdr:col>
      <xdr:colOff>419100</xdr:colOff>
      <xdr:row>19</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18</xdr:col>
      <xdr:colOff>419100</xdr:colOff>
      <xdr:row>37</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21</xdr:row>
      <xdr:rowOff>0</xdr:rowOff>
    </xdr:from>
    <xdr:to>
      <xdr:col>26</xdr:col>
      <xdr:colOff>419100</xdr:colOff>
      <xdr:row>37</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39</xdr:row>
      <xdr:rowOff>0</xdr:rowOff>
    </xdr:from>
    <xdr:to>
      <xdr:col>18</xdr:col>
      <xdr:colOff>419100</xdr:colOff>
      <xdr:row>55</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39</xdr:row>
      <xdr:rowOff>0</xdr:rowOff>
    </xdr:from>
    <xdr:to>
      <xdr:col>26</xdr:col>
      <xdr:colOff>419100</xdr:colOff>
      <xdr:row>62</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18"/>
  <sheetViews>
    <sheetView workbookViewId="0"/>
  </sheetViews>
  <sheetFormatPr defaultRowHeight="15"/>
  <cols>
    <col min="1" max="1" width="120.7109375" customWidth="1"/>
  </cols>
  <sheetData>
    <row r="1" spans="1:1">
      <c r="A1" s="1" t="s">
        <v>0</v>
      </c>
    </row>
    <row r="2" spans="1:1">
      <c r="A2" s="2" t="s">
        <v>372</v>
      </c>
    </row>
    <row r="3" spans="1:1">
      <c r="A3" s="3" t="s">
        <v>373</v>
      </c>
    </row>
    <row r="4" spans="1:1">
      <c r="A4" s="3" t="s">
        <v>374</v>
      </c>
    </row>
    <row r="5" spans="1:1">
      <c r="A5" s="3" t="s">
        <v>375</v>
      </c>
    </row>
    <row r="6" spans="1:1">
      <c r="A6" s="3" t="s">
        <v>376</v>
      </c>
    </row>
    <row r="7" spans="1:1">
      <c r="A7" s="3"/>
    </row>
    <row r="8" spans="1:1">
      <c r="A8" s="2" t="s">
        <v>377</v>
      </c>
    </row>
    <row r="9" spans="1:1">
      <c r="A9" s="3" t="s">
        <v>378</v>
      </c>
    </row>
    <row r="10" spans="1:1">
      <c r="A10" s="3" t="s">
        <v>379</v>
      </c>
    </row>
    <row r="11" spans="1:1">
      <c r="A11" s="3" t="s">
        <v>380</v>
      </c>
    </row>
    <row r="12" spans="1:1">
      <c r="A12" s="3" t="s">
        <v>381</v>
      </c>
    </row>
    <row r="13" spans="1:1">
      <c r="A13" s="3" t="s">
        <v>382</v>
      </c>
    </row>
    <row r="14" spans="1:1">
      <c r="A14" s="3"/>
    </row>
    <row r="15" spans="1:1">
      <c r="A15" s="2" t="s">
        <v>383</v>
      </c>
    </row>
    <row r="16" spans="1:1">
      <c r="A16" s="3" t="s">
        <v>384</v>
      </c>
    </row>
    <row r="17" spans="1:1">
      <c r="A17" s="3" t="s">
        <v>385</v>
      </c>
    </row>
    <row r="18" spans="1:1">
      <c r="A18" s="3" t="s">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66"/>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5.7109375" customWidth="1"/>
    <col min="2" max="2" width="22.7109375" customWidth="1"/>
    <col min="3" max="3" width="16.7109375" customWidth="1"/>
    <col min="4" max="4" width="12.7109375" customWidth="1"/>
    <col min="5" max="5" width="24.7109375" customWidth="1"/>
    <col min="6" max="12" width="15.7109375" customWidth="1"/>
    <col min="13" max="13" width="22.7109375" customWidth="1"/>
  </cols>
  <sheetData>
    <row r="1" spans="1:13">
      <c r="A1" s="1" t="s">
        <v>0</v>
      </c>
      <c r="B1" s="1"/>
      <c r="C1" s="1"/>
      <c r="D1" s="1"/>
      <c r="E1" s="1"/>
      <c r="F1" s="1"/>
      <c r="G1" s="1"/>
      <c r="H1" s="1"/>
      <c r="I1" s="1"/>
      <c r="J1" s="1"/>
      <c r="K1" s="1"/>
      <c r="L1" s="1"/>
      <c r="M1" s="1"/>
    </row>
    <row r="2" spans="1:13">
      <c r="A2" s="4" t="s">
        <v>120</v>
      </c>
      <c r="B2" s="4" t="s">
        <v>121</v>
      </c>
      <c r="C2" s="4" t="s">
        <v>122</v>
      </c>
      <c r="D2" s="4" t="s">
        <v>1</v>
      </c>
      <c r="E2" s="4" t="s">
        <v>2</v>
      </c>
      <c r="F2" s="4" t="s">
        <v>123</v>
      </c>
      <c r="G2" s="4" t="s">
        <v>124</v>
      </c>
      <c r="H2" s="4" t="s">
        <v>125</v>
      </c>
      <c r="I2" s="4" t="s">
        <v>126</v>
      </c>
      <c r="J2" s="4" t="s">
        <v>127</v>
      </c>
      <c r="K2" s="4" t="s">
        <v>128</v>
      </c>
      <c r="L2" s="4" t="s">
        <v>129</v>
      </c>
      <c r="M2" s="4" t="s">
        <v>130</v>
      </c>
    </row>
    <row r="3" spans="1:13">
      <c r="A3" t="s">
        <v>131</v>
      </c>
      <c r="B3" t="s">
        <v>132</v>
      </c>
      <c r="C3" t="s">
        <v>133</v>
      </c>
      <c r="D3" t="s">
        <v>14</v>
      </c>
      <c r="E3" t="s">
        <v>15</v>
      </c>
      <c r="F3" t="s">
        <v>20</v>
      </c>
      <c r="G3">
        <f>INDEX(Question_Bank!$G$3:$G$14,MATCH(D3,Question_Bank!$A$3:$A$14,0))</f>
        <v>0</v>
      </c>
      <c r="H3">
        <f>IF(F3=G3,1,0)</f>
        <v>0</v>
      </c>
      <c r="I3">
        <f>H3*INDEX(Question_Bank!$M$3:$M$14,MATCH(D3,Question_Bank!$A$3:$A$14,0))</f>
        <v>0</v>
      </c>
      <c r="J3">
        <f>SUMIFS($I$3:$I$566,$A$3:$A$566,A3)</f>
        <v>0</v>
      </c>
      <c r="K3" s="5">
        <f>J3/SUM(Question_Bank!$M$3:$M$14)</f>
        <v>0</v>
      </c>
      <c r="L3" s="5">
        <f>SUMIFS($I$3:$I$566,$A$3:$A$566,A3,$E$3:$E$566,E3)/SUMIFS(Question_Bank!$M$3:$M$14,Question_Bank!$B$3:$B$14,E3)</f>
        <v>0</v>
      </c>
      <c r="M3" t="s">
        <v>134</v>
      </c>
    </row>
    <row r="4" spans="1:13">
      <c r="A4" t="s">
        <v>131</v>
      </c>
      <c r="B4" t="s">
        <v>132</v>
      </c>
      <c r="C4" t="s">
        <v>133</v>
      </c>
      <c r="D4" t="s">
        <v>26</v>
      </c>
      <c r="E4" t="s">
        <v>15</v>
      </c>
      <c r="F4" t="s">
        <v>34</v>
      </c>
      <c r="G4">
        <f>INDEX(Question_Bank!$G$3:$G$14,MATCH(D4,Question_Bank!$A$3:$A$14,0))</f>
        <v>0</v>
      </c>
      <c r="H4">
        <f>IF(F4=G4,1,0)</f>
        <v>0</v>
      </c>
      <c r="I4">
        <f>H4*INDEX(Question_Bank!$M$3:$M$14,MATCH(D4,Question_Bank!$A$3:$A$14,0))</f>
        <v>0</v>
      </c>
      <c r="J4">
        <f>SUMIFS($I$3:$I$566,$A$3:$A$566,A4)</f>
        <v>0</v>
      </c>
      <c r="K4" s="5">
        <f>J4/SUM(Question_Bank!$M$3:$M$14)</f>
        <v>0</v>
      </c>
      <c r="L4" s="5">
        <f>SUMIFS($I$3:$I$566,$A$3:$A$566,A4,$E$3:$E$566,E4)/SUMIFS(Question_Bank!$M$3:$M$14,Question_Bank!$B$3:$B$14,E4)</f>
        <v>0</v>
      </c>
      <c r="M4" t="s">
        <v>134</v>
      </c>
    </row>
    <row r="5" spans="1:13">
      <c r="A5" t="s">
        <v>131</v>
      </c>
      <c r="B5" t="s">
        <v>132</v>
      </c>
      <c r="C5" t="s">
        <v>133</v>
      </c>
      <c r="D5" t="s">
        <v>37</v>
      </c>
      <c r="E5" t="s">
        <v>15</v>
      </c>
      <c r="F5" t="s">
        <v>31</v>
      </c>
      <c r="G5">
        <f>INDEX(Question_Bank!$G$3:$G$14,MATCH(D5,Question_Bank!$A$3:$A$14,0))</f>
        <v>0</v>
      </c>
      <c r="H5">
        <f>IF(F5=G5,1,0)</f>
        <v>0</v>
      </c>
      <c r="I5">
        <f>H5*INDEX(Question_Bank!$M$3:$M$14,MATCH(D5,Question_Bank!$A$3:$A$14,0))</f>
        <v>0</v>
      </c>
      <c r="J5">
        <f>SUMIFS($I$3:$I$566,$A$3:$A$566,A5)</f>
        <v>0</v>
      </c>
      <c r="K5" s="5">
        <f>J5/SUM(Question_Bank!$M$3:$M$14)</f>
        <v>0</v>
      </c>
      <c r="L5" s="5">
        <f>SUMIFS($I$3:$I$566,$A$3:$A$566,A5,$E$3:$E$566,E5)/SUMIFS(Question_Bank!$M$3:$M$14,Question_Bank!$B$3:$B$14,E5)</f>
        <v>0</v>
      </c>
      <c r="M5" t="s">
        <v>134</v>
      </c>
    </row>
    <row r="6" spans="1:13">
      <c r="A6" t="s">
        <v>131</v>
      </c>
      <c r="B6" t="s">
        <v>132</v>
      </c>
      <c r="C6" t="s">
        <v>133</v>
      </c>
      <c r="D6" t="s">
        <v>45</v>
      </c>
      <c r="E6" t="s">
        <v>46</v>
      </c>
      <c r="F6" t="s">
        <v>20</v>
      </c>
      <c r="G6">
        <f>INDEX(Question_Bank!$G$3:$G$14,MATCH(D6,Question_Bank!$A$3:$A$14,0))</f>
        <v>0</v>
      </c>
      <c r="H6">
        <f>IF(F6=G6,1,0)</f>
        <v>0</v>
      </c>
      <c r="I6">
        <f>H6*INDEX(Question_Bank!$M$3:$M$14,MATCH(D6,Question_Bank!$A$3:$A$14,0))</f>
        <v>0</v>
      </c>
      <c r="J6">
        <f>SUMIFS($I$3:$I$566,$A$3:$A$566,A6)</f>
        <v>0</v>
      </c>
      <c r="K6" s="5">
        <f>J6/SUM(Question_Bank!$M$3:$M$14)</f>
        <v>0</v>
      </c>
      <c r="L6" s="5">
        <f>SUMIFS($I$3:$I$566,$A$3:$A$566,A6,$E$3:$E$566,E6)/SUMIFS(Question_Bank!$M$3:$M$14,Question_Bank!$B$3:$B$14,E6)</f>
        <v>0</v>
      </c>
      <c r="M6" t="s">
        <v>134</v>
      </c>
    </row>
    <row r="7" spans="1:13">
      <c r="A7" t="s">
        <v>131</v>
      </c>
      <c r="B7" t="s">
        <v>132</v>
      </c>
      <c r="C7" t="s">
        <v>133</v>
      </c>
      <c r="D7" t="s">
        <v>54</v>
      </c>
      <c r="E7" t="s">
        <v>46</v>
      </c>
      <c r="F7" t="s">
        <v>31</v>
      </c>
      <c r="G7">
        <f>INDEX(Question_Bank!$G$3:$G$14,MATCH(D7,Question_Bank!$A$3:$A$14,0))</f>
        <v>0</v>
      </c>
      <c r="H7">
        <f>IF(F7=G7,1,0)</f>
        <v>0</v>
      </c>
      <c r="I7">
        <f>H7*INDEX(Question_Bank!$M$3:$M$14,MATCH(D7,Question_Bank!$A$3:$A$14,0))</f>
        <v>0</v>
      </c>
      <c r="J7">
        <f>SUMIFS($I$3:$I$566,$A$3:$A$566,A7)</f>
        <v>0</v>
      </c>
      <c r="K7" s="5">
        <f>J7/SUM(Question_Bank!$M$3:$M$14)</f>
        <v>0</v>
      </c>
      <c r="L7" s="5">
        <f>SUMIFS($I$3:$I$566,$A$3:$A$566,A7,$E$3:$E$566,E7)/SUMIFS(Question_Bank!$M$3:$M$14,Question_Bank!$B$3:$B$14,E7)</f>
        <v>0</v>
      </c>
      <c r="M7" t="s">
        <v>134</v>
      </c>
    </row>
    <row r="8" spans="1:13">
      <c r="A8" t="s">
        <v>131</v>
      </c>
      <c r="B8" t="s">
        <v>132</v>
      </c>
      <c r="C8" t="s">
        <v>133</v>
      </c>
      <c r="D8" t="s">
        <v>62</v>
      </c>
      <c r="E8" t="s">
        <v>46</v>
      </c>
      <c r="F8" t="s">
        <v>31</v>
      </c>
      <c r="G8">
        <f>INDEX(Question_Bank!$G$3:$G$14,MATCH(D8,Question_Bank!$A$3:$A$14,0))</f>
        <v>0</v>
      </c>
      <c r="H8">
        <f>IF(F8=G8,1,0)</f>
        <v>0</v>
      </c>
      <c r="I8">
        <f>H8*INDEX(Question_Bank!$M$3:$M$14,MATCH(D8,Question_Bank!$A$3:$A$14,0))</f>
        <v>0</v>
      </c>
      <c r="J8">
        <f>SUMIFS($I$3:$I$566,$A$3:$A$566,A8)</f>
        <v>0</v>
      </c>
      <c r="K8" s="5">
        <f>J8/SUM(Question_Bank!$M$3:$M$14)</f>
        <v>0</v>
      </c>
      <c r="L8" s="5">
        <f>SUMIFS($I$3:$I$566,$A$3:$A$566,A8,$E$3:$E$566,E8)/SUMIFS(Question_Bank!$M$3:$M$14,Question_Bank!$B$3:$B$14,E8)</f>
        <v>0</v>
      </c>
      <c r="M8" t="s">
        <v>134</v>
      </c>
    </row>
    <row r="9" spans="1:13">
      <c r="A9" t="s">
        <v>131</v>
      </c>
      <c r="B9" t="s">
        <v>132</v>
      </c>
      <c r="C9" t="s">
        <v>133</v>
      </c>
      <c r="D9" t="s">
        <v>70</v>
      </c>
      <c r="E9" t="s">
        <v>71</v>
      </c>
      <c r="F9" t="s">
        <v>20</v>
      </c>
      <c r="G9">
        <f>INDEX(Question_Bank!$G$3:$G$14,MATCH(D9,Question_Bank!$A$3:$A$14,0))</f>
        <v>0</v>
      </c>
      <c r="H9">
        <f>IF(F9=G9,1,0)</f>
        <v>0</v>
      </c>
      <c r="I9">
        <f>H9*INDEX(Question_Bank!$M$3:$M$14,MATCH(D9,Question_Bank!$A$3:$A$14,0))</f>
        <v>0</v>
      </c>
      <c r="J9">
        <f>SUMIFS($I$3:$I$566,$A$3:$A$566,A9)</f>
        <v>0</v>
      </c>
      <c r="K9" s="5">
        <f>J9/SUM(Question_Bank!$M$3:$M$14)</f>
        <v>0</v>
      </c>
      <c r="L9" s="5">
        <f>SUMIFS($I$3:$I$566,$A$3:$A$566,A9,$E$3:$E$566,E9)/SUMIFS(Question_Bank!$M$3:$M$14,Question_Bank!$B$3:$B$14,E9)</f>
        <v>0</v>
      </c>
      <c r="M9" t="s">
        <v>134</v>
      </c>
    </row>
    <row r="10" spans="1:13">
      <c r="A10" t="s">
        <v>131</v>
      </c>
      <c r="B10" t="s">
        <v>132</v>
      </c>
      <c r="C10" t="s">
        <v>133</v>
      </c>
      <c r="D10" t="s">
        <v>79</v>
      </c>
      <c r="E10" t="s">
        <v>71</v>
      </c>
      <c r="F10" t="s">
        <v>31</v>
      </c>
      <c r="G10">
        <f>INDEX(Question_Bank!$G$3:$G$14,MATCH(D10,Question_Bank!$A$3:$A$14,0))</f>
        <v>0</v>
      </c>
      <c r="H10">
        <f>IF(F10=G10,1,0)</f>
        <v>0</v>
      </c>
      <c r="I10">
        <f>H10*INDEX(Question_Bank!$M$3:$M$14,MATCH(D10,Question_Bank!$A$3:$A$14,0))</f>
        <v>0</v>
      </c>
      <c r="J10">
        <f>SUMIFS($I$3:$I$566,$A$3:$A$566,A10)</f>
        <v>0</v>
      </c>
      <c r="K10" s="5">
        <f>J10/SUM(Question_Bank!$M$3:$M$14)</f>
        <v>0</v>
      </c>
      <c r="L10" s="5">
        <f>SUMIFS($I$3:$I$566,$A$3:$A$566,A10,$E$3:$E$566,E10)/SUMIFS(Question_Bank!$M$3:$M$14,Question_Bank!$B$3:$B$14,E10)</f>
        <v>0</v>
      </c>
      <c r="M10" t="s">
        <v>134</v>
      </c>
    </row>
    <row r="11" spans="1:13">
      <c r="A11" t="s">
        <v>131</v>
      </c>
      <c r="B11" t="s">
        <v>132</v>
      </c>
      <c r="C11" t="s">
        <v>133</v>
      </c>
      <c r="D11" t="s">
        <v>87</v>
      </c>
      <c r="E11" t="s">
        <v>71</v>
      </c>
      <c r="F11" t="s">
        <v>20</v>
      </c>
      <c r="G11">
        <f>INDEX(Question_Bank!$G$3:$G$14,MATCH(D11,Question_Bank!$A$3:$A$14,0))</f>
        <v>0</v>
      </c>
      <c r="H11">
        <f>IF(F11=G11,1,0)</f>
        <v>0</v>
      </c>
      <c r="I11">
        <f>H11*INDEX(Question_Bank!$M$3:$M$14,MATCH(D11,Question_Bank!$A$3:$A$14,0))</f>
        <v>0</v>
      </c>
      <c r="J11">
        <f>SUMIFS($I$3:$I$566,$A$3:$A$566,A11)</f>
        <v>0</v>
      </c>
      <c r="K11" s="5">
        <f>J11/SUM(Question_Bank!$M$3:$M$14)</f>
        <v>0</v>
      </c>
      <c r="L11" s="5">
        <f>SUMIFS($I$3:$I$566,$A$3:$A$566,A11,$E$3:$E$566,E11)/SUMIFS(Question_Bank!$M$3:$M$14,Question_Bank!$B$3:$B$14,E11)</f>
        <v>0</v>
      </c>
      <c r="M11" t="s">
        <v>134</v>
      </c>
    </row>
    <row r="12" spans="1:13">
      <c r="A12" t="s">
        <v>131</v>
      </c>
      <c r="B12" t="s">
        <v>132</v>
      </c>
      <c r="C12" t="s">
        <v>133</v>
      </c>
      <c r="D12" t="s">
        <v>95</v>
      </c>
      <c r="E12" t="s">
        <v>96</v>
      </c>
      <c r="F12" t="s">
        <v>31</v>
      </c>
      <c r="G12">
        <f>INDEX(Question_Bank!$G$3:$G$14,MATCH(D12,Question_Bank!$A$3:$A$14,0))</f>
        <v>0</v>
      </c>
      <c r="H12">
        <f>IF(F12=G12,1,0)</f>
        <v>0</v>
      </c>
      <c r="I12">
        <f>H12*INDEX(Question_Bank!$M$3:$M$14,MATCH(D12,Question_Bank!$A$3:$A$14,0))</f>
        <v>0</v>
      </c>
      <c r="J12">
        <f>SUMIFS($I$3:$I$566,$A$3:$A$566,A12)</f>
        <v>0</v>
      </c>
      <c r="K12" s="5">
        <f>J12/SUM(Question_Bank!$M$3:$M$14)</f>
        <v>0</v>
      </c>
      <c r="L12" s="5">
        <f>SUMIFS($I$3:$I$566,$A$3:$A$566,A12,$E$3:$E$566,E12)/SUMIFS(Question_Bank!$M$3:$M$14,Question_Bank!$B$3:$B$14,E12)</f>
        <v>0</v>
      </c>
      <c r="M12" t="s">
        <v>134</v>
      </c>
    </row>
    <row r="13" spans="1:13">
      <c r="A13" t="s">
        <v>131</v>
      </c>
      <c r="B13" t="s">
        <v>132</v>
      </c>
      <c r="C13" t="s">
        <v>133</v>
      </c>
      <c r="D13" t="s">
        <v>104</v>
      </c>
      <c r="E13" t="s">
        <v>96</v>
      </c>
      <c r="F13" t="s">
        <v>23</v>
      </c>
      <c r="G13">
        <f>INDEX(Question_Bank!$G$3:$G$14,MATCH(D13,Question_Bank!$A$3:$A$14,0))</f>
        <v>0</v>
      </c>
      <c r="H13">
        <f>IF(F13=G13,1,0)</f>
        <v>0</v>
      </c>
      <c r="I13">
        <f>H13*INDEX(Question_Bank!$M$3:$M$14,MATCH(D13,Question_Bank!$A$3:$A$14,0))</f>
        <v>0</v>
      </c>
      <c r="J13">
        <f>SUMIFS($I$3:$I$566,$A$3:$A$566,A13)</f>
        <v>0</v>
      </c>
      <c r="K13" s="5">
        <f>J13/SUM(Question_Bank!$M$3:$M$14)</f>
        <v>0</v>
      </c>
      <c r="L13" s="5">
        <f>SUMIFS($I$3:$I$566,$A$3:$A$566,A13,$E$3:$E$566,E13)/SUMIFS(Question_Bank!$M$3:$M$14,Question_Bank!$B$3:$B$14,E13)</f>
        <v>0</v>
      </c>
      <c r="M13" t="s">
        <v>134</v>
      </c>
    </row>
    <row r="14" spans="1:13">
      <c r="A14" t="s">
        <v>131</v>
      </c>
      <c r="B14" t="s">
        <v>132</v>
      </c>
      <c r="C14" t="s">
        <v>133</v>
      </c>
      <c r="D14" t="s">
        <v>112</v>
      </c>
      <c r="E14" t="s">
        <v>96</v>
      </c>
      <c r="F14" t="s">
        <v>34</v>
      </c>
      <c r="G14">
        <f>INDEX(Question_Bank!$G$3:$G$14,MATCH(D14,Question_Bank!$A$3:$A$14,0))</f>
        <v>0</v>
      </c>
      <c r="H14">
        <f>IF(F14=G14,1,0)</f>
        <v>0</v>
      </c>
      <c r="I14">
        <f>H14*INDEX(Question_Bank!$M$3:$M$14,MATCH(D14,Question_Bank!$A$3:$A$14,0))</f>
        <v>0</v>
      </c>
      <c r="J14">
        <f>SUMIFS($I$3:$I$566,$A$3:$A$566,A14)</f>
        <v>0</v>
      </c>
      <c r="K14" s="5">
        <f>J14/SUM(Question_Bank!$M$3:$M$14)</f>
        <v>0</v>
      </c>
      <c r="L14" s="5">
        <f>SUMIFS($I$3:$I$566,$A$3:$A$566,A14,$E$3:$E$566,E14)/SUMIFS(Question_Bank!$M$3:$M$14,Question_Bank!$B$3:$B$14,E14)</f>
        <v>0</v>
      </c>
      <c r="M14" t="s">
        <v>134</v>
      </c>
    </row>
    <row r="15" spans="1:13">
      <c r="A15" t="s">
        <v>135</v>
      </c>
      <c r="B15" t="s">
        <v>132</v>
      </c>
      <c r="C15" t="s">
        <v>133</v>
      </c>
      <c r="D15" t="s">
        <v>14</v>
      </c>
      <c r="E15" t="s">
        <v>15</v>
      </c>
      <c r="F15" t="s">
        <v>20</v>
      </c>
      <c r="G15">
        <f>INDEX(Question_Bank!$G$3:$G$14,MATCH(D15,Question_Bank!$A$3:$A$14,0))</f>
        <v>0</v>
      </c>
      <c r="H15">
        <f>IF(F15=G15,1,0)</f>
        <v>0</v>
      </c>
      <c r="I15">
        <f>H15*INDEX(Question_Bank!$M$3:$M$14,MATCH(D15,Question_Bank!$A$3:$A$14,0))</f>
        <v>0</v>
      </c>
      <c r="J15">
        <f>SUMIFS($I$3:$I$566,$A$3:$A$566,A15)</f>
        <v>0</v>
      </c>
      <c r="K15" s="5">
        <f>J15/SUM(Question_Bank!$M$3:$M$14)</f>
        <v>0</v>
      </c>
      <c r="L15" s="5">
        <f>SUMIFS($I$3:$I$566,$A$3:$A$566,A15,$E$3:$E$566,E15)/SUMIFS(Question_Bank!$M$3:$M$14,Question_Bank!$B$3:$B$14,E15)</f>
        <v>0</v>
      </c>
      <c r="M15" t="s">
        <v>136</v>
      </c>
    </row>
    <row r="16" spans="1:13">
      <c r="A16" t="s">
        <v>135</v>
      </c>
      <c r="B16" t="s">
        <v>132</v>
      </c>
      <c r="C16" t="s">
        <v>133</v>
      </c>
      <c r="D16" t="s">
        <v>26</v>
      </c>
      <c r="E16" t="s">
        <v>15</v>
      </c>
      <c r="F16" t="s">
        <v>23</v>
      </c>
      <c r="G16">
        <f>INDEX(Question_Bank!$G$3:$G$14,MATCH(D16,Question_Bank!$A$3:$A$14,0))</f>
        <v>0</v>
      </c>
      <c r="H16">
        <f>IF(F16=G16,1,0)</f>
        <v>0</v>
      </c>
      <c r="I16">
        <f>H16*INDEX(Question_Bank!$M$3:$M$14,MATCH(D16,Question_Bank!$A$3:$A$14,0))</f>
        <v>0</v>
      </c>
      <c r="J16">
        <f>SUMIFS($I$3:$I$566,$A$3:$A$566,A16)</f>
        <v>0</v>
      </c>
      <c r="K16" s="5">
        <f>J16/SUM(Question_Bank!$M$3:$M$14)</f>
        <v>0</v>
      </c>
      <c r="L16" s="5">
        <f>SUMIFS($I$3:$I$566,$A$3:$A$566,A16,$E$3:$E$566,E16)/SUMIFS(Question_Bank!$M$3:$M$14,Question_Bank!$B$3:$B$14,E16)</f>
        <v>0</v>
      </c>
      <c r="M16" t="s">
        <v>136</v>
      </c>
    </row>
    <row r="17" spans="1:13">
      <c r="A17" t="s">
        <v>135</v>
      </c>
      <c r="B17" t="s">
        <v>132</v>
      </c>
      <c r="C17" t="s">
        <v>133</v>
      </c>
      <c r="D17" t="s">
        <v>37</v>
      </c>
      <c r="E17" t="s">
        <v>15</v>
      </c>
      <c r="F17" t="s">
        <v>20</v>
      </c>
      <c r="G17">
        <f>INDEX(Question_Bank!$G$3:$G$14,MATCH(D17,Question_Bank!$A$3:$A$14,0))</f>
        <v>0</v>
      </c>
      <c r="H17">
        <f>IF(F17=G17,1,0)</f>
        <v>0</v>
      </c>
      <c r="I17">
        <f>H17*INDEX(Question_Bank!$M$3:$M$14,MATCH(D17,Question_Bank!$A$3:$A$14,0))</f>
        <v>0</v>
      </c>
      <c r="J17">
        <f>SUMIFS($I$3:$I$566,$A$3:$A$566,A17)</f>
        <v>0</v>
      </c>
      <c r="K17" s="5">
        <f>J17/SUM(Question_Bank!$M$3:$M$14)</f>
        <v>0</v>
      </c>
      <c r="L17" s="5">
        <f>SUMIFS($I$3:$I$566,$A$3:$A$566,A17,$E$3:$E$566,E17)/SUMIFS(Question_Bank!$M$3:$M$14,Question_Bank!$B$3:$B$14,E17)</f>
        <v>0</v>
      </c>
      <c r="M17" t="s">
        <v>136</v>
      </c>
    </row>
    <row r="18" spans="1:13">
      <c r="A18" t="s">
        <v>135</v>
      </c>
      <c r="B18" t="s">
        <v>132</v>
      </c>
      <c r="C18" t="s">
        <v>133</v>
      </c>
      <c r="D18" t="s">
        <v>45</v>
      </c>
      <c r="E18" t="s">
        <v>46</v>
      </c>
      <c r="F18" t="s">
        <v>31</v>
      </c>
      <c r="G18">
        <f>INDEX(Question_Bank!$G$3:$G$14,MATCH(D18,Question_Bank!$A$3:$A$14,0))</f>
        <v>0</v>
      </c>
      <c r="H18">
        <f>IF(F18=G18,1,0)</f>
        <v>0</v>
      </c>
      <c r="I18">
        <f>H18*INDEX(Question_Bank!$M$3:$M$14,MATCH(D18,Question_Bank!$A$3:$A$14,0))</f>
        <v>0</v>
      </c>
      <c r="J18">
        <f>SUMIFS($I$3:$I$566,$A$3:$A$566,A18)</f>
        <v>0</v>
      </c>
      <c r="K18" s="5">
        <f>J18/SUM(Question_Bank!$M$3:$M$14)</f>
        <v>0</v>
      </c>
      <c r="L18" s="5">
        <f>SUMIFS($I$3:$I$566,$A$3:$A$566,A18,$E$3:$E$566,E18)/SUMIFS(Question_Bank!$M$3:$M$14,Question_Bank!$B$3:$B$14,E18)</f>
        <v>0</v>
      </c>
      <c r="M18" t="s">
        <v>136</v>
      </c>
    </row>
    <row r="19" spans="1:13">
      <c r="A19" t="s">
        <v>135</v>
      </c>
      <c r="B19" t="s">
        <v>132</v>
      </c>
      <c r="C19" t="s">
        <v>133</v>
      </c>
      <c r="D19" t="s">
        <v>54</v>
      </c>
      <c r="E19" t="s">
        <v>46</v>
      </c>
      <c r="F19" t="s">
        <v>20</v>
      </c>
      <c r="G19">
        <f>INDEX(Question_Bank!$G$3:$G$14,MATCH(D19,Question_Bank!$A$3:$A$14,0))</f>
        <v>0</v>
      </c>
      <c r="H19">
        <f>IF(F19=G19,1,0)</f>
        <v>0</v>
      </c>
      <c r="I19">
        <f>H19*INDEX(Question_Bank!$M$3:$M$14,MATCH(D19,Question_Bank!$A$3:$A$14,0))</f>
        <v>0</v>
      </c>
      <c r="J19">
        <f>SUMIFS($I$3:$I$566,$A$3:$A$566,A19)</f>
        <v>0</v>
      </c>
      <c r="K19" s="5">
        <f>J19/SUM(Question_Bank!$M$3:$M$14)</f>
        <v>0</v>
      </c>
      <c r="L19" s="5">
        <f>SUMIFS($I$3:$I$566,$A$3:$A$566,A19,$E$3:$E$566,E19)/SUMIFS(Question_Bank!$M$3:$M$14,Question_Bank!$B$3:$B$14,E19)</f>
        <v>0</v>
      </c>
      <c r="M19" t="s">
        <v>136</v>
      </c>
    </row>
    <row r="20" spans="1:13">
      <c r="A20" t="s">
        <v>135</v>
      </c>
      <c r="B20" t="s">
        <v>132</v>
      </c>
      <c r="C20" t="s">
        <v>133</v>
      </c>
      <c r="D20" t="s">
        <v>62</v>
      </c>
      <c r="E20" t="s">
        <v>46</v>
      </c>
      <c r="F20" t="s">
        <v>23</v>
      </c>
      <c r="G20">
        <f>INDEX(Question_Bank!$G$3:$G$14,MATCH(D20,Question_Bank!$A$3:$A$14,0))</f>
        <v>0</v>
      </c>
      <c r="H20">
        <f>IF(F20=G20,1,0)</f>
        <v>0</v>
      </c>
      <c r="I20">
        <f>H20*INDEX(Question_Bank!$M$3:$M$14,MATCH(D20,Question_Bank!$A$3:$A$14,0))</f>
        <v>0</v>
      </c>
      <c r="J20">
        <f>SUMIFS($I$3:$I$566,$A$3:$A$566,A20)</f>
        <v>0</v>
      </c>
      <c r="K20" s="5">
        <f>J20/SUM(Question_Bank!$M$3:$M$14)</f>
        <v>0</v>
      </c>
      <c r="L20" s="5">
        <f>SUMIFS($I$3:$I$566,$A$3:$A$566,A20,$E$3:$E$566,E20)/SUMIFS(Question_Bank!$M$3:$M$14,Question_Bank!$B$3:$B$14,E20)</f>
        <v>0</v>
      </c>
      <c r="M20" t="s">
        <v>136</v>
      </c>
    </row>
    <row r="21" spans="1:13">
      <c r="A21" t="s">
        <v>135</v>
      </c>
      <c r="B21" t="s">
        <v>132</v>
      </c>
      <c r="C21" t="s">
        <v>133</v>
      </c>
      <c r="D21" t="s">
        <v>70</v>
      </c>
      <c r="E21" t="s">
        <v>71</v>
      </c>
      <c r="F21" t="s">
        <v>23</v>
      </c>
      <c r="G21">
        <f>INDEX(Question_Bank!$G$3:$G$14,MATCH(D21,Question_Bank!$A$3:$A$14,0))</f>
        <v>0</v>
      </c>
      <c r="H21">
        <f>IF(F21=G21,1,0)</f>
        <v>0</v>
      </c>
      <c r="I21">
        <f>H21*INDEX(Question_Bank!$M$3:$M$14,MATCH(D21,Question_Bank!$A$3:$A$14,0))</f>
        <v>0</v>
      </c>
      <c r="J21">
        <f>SUMIFS($I$3:$I$566,$A$3:$A$566,A21)</f>
        <v>0</v>
      </c>
      <c r="K21" s="5">
        <f>J21/SUM(Question_Bank!$M$3:$M$14)</f>
        <v>0</v>
      </c>
      <c r="L21" s="5">
        <f>SUMIFS($I$3:$I$566,$A$3:$A$566,A21,$E$3:$E$566,E21)/SUMIFS(Question_Bank!$M$3:$M$14,Question_Bank!$B$3:$B$14,E21)</f>
        <v>0</v>
      </c>
      <c r="M21" t="s">
        <v>136</v>
      </c>
    </row>
    <row r="22" spans="1:13">
      <c r="A22" t="s">
        <v>135</v>
      </c>
      <c r="B22" t="s">
        <v>132</v>
      </c>
      <c r="C22" t="s">
        <v>133</v>
      </c>
      <c r="D22" t="s">
        <v>79</v>
      </c>
      <c r="E22" t="s">
        <v>71</v>
      </c>
      <c r="F22" t="s">
        <v>31</v>
      </c>
      <c r="G22">
        <f>INDEX(Question_Bank!$G$3:$G$14,MATCH(D22,Question_Bank!$A$3:$A$14,0))</f>
        <v>0</v>
      </c>
      <c r="H22">
        <f>IF(F22=G22,1,0)</f>
        <v>0</v>
      </c>
      <c r="I22">
        <f>H22*INDEX(Question_Bank!$M$3:$M$14,MATCH(D22,Question_Bank!$A$3:$A$14,0))</f>
        <v>0</v>
      </c>
      <c r="J22">
        <f>SUMIFS($I$3:$I$566,$A$3:$A$566,A22)</f>
        <v>0</v>
      </c>
      <c r="K22" s="5">
        <f>J22/SUM(Question_Bank!$M$3:$M$14)</f>
        <v>0</v>
      </c>
      <c r="L22" s="5">
        <f>SUMIFS($I$3:$I$566,$A$3:$A$566,A22,$E$3:$E$566,E22)/SUMIFS(Question_Bank!$M$3:$M$14,Question_Bank!$B$3:$B$14,E22)</f>
        <v>0</v>
      </c>
      <c r="M22" t="s">
        <v>136</v>
      </c>
    </row>
    <row r="23" spans="1:13">
      <c r="A23" t="s">
        <v>135</v>
      </c>
      <c r="B23" t="s">
        <v>132</v>
      </c>
      <c r="C23" t="s">
        <v>133</v>
      </c>
      <c r="D23" t="s">
        <v>87</v>
      </c>
      <c r="E23" t="s">
        <v>71</v>
      </c>
      <c r="F23" t="s">
        <v>23</v>
      </c>
      <c r="G23">
        <f>INDEX(Question_Bank!$G$3:$G$14,MATCH(D23,Question_Bank!$A$3:$A$14,0))</f>
        <v>0</v>
      </c>
      <c r="H23">
        <f>IF(F23=G23,1,0)</f>
        <v>0</v>
      </c>
      <c r="I23">
        <f>H23*INDEX(Question_Bank!$M$3:$M$14,MATCH(D23,Question_Bank!$A$3:$A$14,0))</f>
        <v>0</v>
      </c>
      <c r="J23">
        <f>SUMIFS($I$3:$I$566,$A$3:$A$566,A23)</f>
        <v>0</v>
      </c>
      <c r="K23" s="5">
        <f>J23/SUM(Question_Bank!$M$3:$M$14)</f>
        <v>0</v>
      </c>
      <c r="L23" s="5">
        <f>SUMIFS($I$3:$I$566,$A$3:$A$566,A23,$E$3:$E$566,E23)/SUMIFS(Question_Bank!$M$3:$M$14,Question_Bank!$B$3:$B$14,E23)</f>
        <v>0</v>
      </c>
      <c r="M23" t="s">
        <v>136</v>
      </c>
    </row>
    <row r="24" spans="1:13">
      <c r="A24" t="s">
        <v>135</v>
      </c>
      <c r="B24" t="s">
        <v>132</v>
      </c>
      <c r="C24" t="s">
        <v>133</v>
      </c>
      <c r="D24" t="s">
        <v>95</v>
      </c>
      <c r="E24" t="s">
        <v>96</v>
      </c>
      <c r="F24" t="s">
        <v>23</v>
      </c>
      <c r="G24">
        <f>INDEX(Question_Bank!$G$3:$G$14,MATCH(D24,Question_Bank!$A$3:$A$14,0))</f>
        <v>0</v>
      </c>
      <c r="H24">
        <f>IF(F24=G24,1,0)</f>
        <v>0</v>
      </c>
      <c r="I24">
        <f>H24*INDEX(Question_Bank!$M$3:$M$14,MATCH(D24,Question_Bank!$A$3:$A$14,0))</f>
        <v>0</v>
      </c>
      <c r="J24">
        <f>SUMIFS($I$3:$I$566,$A$3:$A$566,A24)</f>
        <v>0</v>
      </c>
      <c r="K24" s="5">
        <f>J24/SUM(Question_Bank!$M$3:$M$14)</f>
        <v>0</v>
      </c>
      <c r="L24" s="5">
        <f>SUMIFS($I$3:$I$566,$A$3:$A$566,A24,$E$3:$E$566,E24)/SUMIFS(Question_Bank!$M$3:$M$14,Question_Bank!$B$3:$B$14,E24)</f>
        <v>0</v>
      </c>
      <c r="M24" t="s">
        <v>136</v>
      </c>
    </row>
    <row r="25" spans="1:13">
      <c r="A25" t="s">
        <v>135</v>
      </c>
      <c r="B25" t="s">
        <v>132</v>
      </c>
      <c r="C25" t="s">
        <v>133</v>
      </c>
      <c r="D25" t="s">
        <v>104</v>
      </c>
      <c r="E25" t="s">
        <v>96</v>
      </c>
      <c r="F25" t="s">
        <v>31</v>
      </c>
      <c r="G25">
        <f>INDEX(Question_Bank!$G$3:$G$14,MATCH(D25,Question_Bank!$A$3:$A$14,0))</f>
        <v>0</v>
      </c>
      <c r="H25">
        <f>IF(F25=G25,1,0)</f>
        <v>0</v>
      </c>
      <c r="I25">
        <f>H25*INDEX(Question_Bank!$M$3:$M$14,MATCH(D25,Question_Bank!$A$3:$A$14,0))</f>
        <v>0</v>
      </c>
      <c r="J25">
        <f>SUMIFS($I$3:$I$566,$A$3:$A$566,A25)</f>
        <v>0</v>
      </c>
      <c r="K25" s="5">
        <f>J25/SUM(Question_Bank!$M$3:$M$14)</f>
        <v>0</v>
      </c>
      <c r="L25" s="5">
        <f>SUMIFS($I$3:$I$566,$A$3:$A$566,A25,$E$3:$E$566,E25)/SUMIFS(Question_Bank!$M$3:$M$14,Question_Bank!$B$3:$B$14,E25)</f>
        <v>0</v>
      </c>
      <c r="M25" t="s">
        <v>136</v>
      </c>
    </row>
    <row r="26" spans="1:13">
      <c r="A26" t="s">
        <v>135</v>
      </c>
      <c r="B26" t="s">
        <v>132</v>
      </c>
      <c r="C26" t="s">
        <v>133</v>
      </c>
      <c r="D26" t="s">
        <v>112</v>
      </c>
      <c r="E26" t="s">
        <v>96</v>
      </c>
      <c r="F26" t="s">
        <v>31</v>
      </c>
      <c r="G26">
        <f>INDEX(Question_Bank!$G$3:$G$14,MATCH(D26,Question_Bank!$A$3:$A$14,0))</f>
        <v>0</v>
      </c>
      <c r="H26">
        <f>IF(F26=G26,1,0)</f>
        <v>0</v>
      </c>
      <c r="I26">
        <f>H26*INDEX(Question_Bank!$M$3:$M$14,MATCH(D26,Question_Bank!$A$3:$A$14,0))</f>
        <v>0</v>
      </c>
      <c r="J26">
        <f>SUMIFS($I$3:$I$566,$A$3:$A$566,A26)</f>
        <v>0</v>
      </c>
      <c r="K26" s="5">
        <f>J26/SUM(Question_Bank!$M$3:$M$14)</f>
        <v>0</v>
      </c>
      <c r="L26" s="5">
        <f>SUMIFS($I$3:$I$566,$A$3:$A$566,A26,$E$3:$E$566,E26)/SUMIFS(Question_Bank!$M$3:$M$14,Question_Bank!$B$3:$B$14,E26)</f>
        <v>0</v>
      </c>
      <c r="M26" t="s">
        <v>136</v>
      </c>
    </row>
    <row r="27" spans="1:13">
      <c r="A27" t="s">
        <v>137</v>
      </c>
      <c r="B27" t="s">
        <v>132</v>
      </c>
      <c r="C27" t="s">
        <v>133</v>
      </c>
      <c r="D27" t="s">
        <v>14</v>
      </c>
      <c r="E27" t="s">
        <v>15</v>
      </c>
      <c r="F27" t="s">
        <v>20</v>
      </c>
      <c r="G27">
        <f>INDEX(Question_Bank!$G$3:$G$14,MATCH(D27,Question_Bank!$A$3:$A$14,0))</f>
        <v>0</v>
      </c>
      <c r="H27">
        <f>IF(F27=G27,1,0)</f>
        <v>0</v>
      </c>
      <c r="I27">
        <f>H27*INDEX(Question_Bank!$M$3:$M$14,MATCH(D27,Question_Bank!$A$3:$A$14,0))</f>
        <v>0</v>
      </c>
      <c r="J27">
        <f>SUMIFS($I$3:$I$566,$A$3:$A$566,A27)</f>
        <v>0</v>
      </c>
      <c r="K27" s="5">
        <f>J27/SUM(Question_Bank!$M$3:$M$14)</f>
        <v>0</v>
      </c>
      <c r="L27" s="5">
        <f>SUMIFS($I$3:$I$566,$A$3:$A$566,A27,$E$3:$E$566,E27)/SUMIFS(Question_Bank!$M$3:$M$14,Question_Bank!$B$3:$B$14,E27)</f>
        <v>0</v>
      </c>
      <c r="M27" t="s">
        <v>138</v>
      </c>
    </row>
    <row r="28" spans="1:13">
      <c r="A28" t="s">
        <v>137</v>
      </c>
      <c r="B28" t="s">
        <v>132</v>
      </c>
      <c r="C28" t="s">
        <v>133</v>
      </c>
      <c r="D28" t="s">
        <v>26</v>
      </c>
      <c r="E28" t="s">
        <v>15</v>
      </c>
      <c r="F28" t="s">
        <v>20</v>
      </c>
      <c r="G28">
        <f>INDEX(Question_Bank!$G$3:$G$14,MATCH(D28,Question_Bank!$A$3:$A$14,0))</f>
        <v>0</v>
      </c>
      <c r="H28">
        <f>IF(F28=G28,1,0)</f>
        <v>0</v>
      </c>
      <c r="I28">
        <f>H28*INDEX(Question_Bank!$M$3:$M$14,MATCH(D28,Question_Bank!$A$3:$A$14,0))</f>
        <v>0</v>
      </c>
      <c r="J28">
        <f>SUMIFS($I$3:$I$566,$A$3:$A$566,A28)</f>
        <v>0</v>
      </c>
      <c r="K28" s="5">
        <f>J28/SUM(Question_Bank!$M$3:$M$14)</f>
        <v>0</v>
      </c>
      <c r="L28" s="5">
        <f>SUMIFS($I$3:$I$566,$A$3:$A$566,A28,$E$3:$E$566,E28)/SUMIFS(Question_Bank!$M$3:$M$14,Question_Bank!$B$3:$B$14,E28)</f>
        <v>0</v>
      </c>
      <c r="M28" t="s">
        <v>138</v>
      </c>
    </row>
    <row r="29" spans="1:13">
      <c r="A29" t="s">
        <v>137</v>
      </c>
      <c r="B29" t="s">
        <v>132</v>
      </c>
      <c r="C29" t="s">
        <v>133</v>
      </c>
      <c r="D29" t="s">
        <v>37</v>
      </c>
      <c r="E29" t="s">
        <v>15</v>
      </c>
      <c r="F29" t="s">
        <v>20</v>
      </c>
      <c r="G29">
        <f>INDEX(Question_Bank!$G$3:$G$14,MATCH(D29,Question_Bank!$A$3:$A$14,0))</f>
        <v>0</v>
      </c>
      <c r="H29">
        <f>IF(F29=G29,1,0)</f>
        <v>0</v>
      </c>
      <c r="I29">
        <f>H29*INDEX(Question_Bank!$M$3:$M$14,MATCH(D29,Question_Bank!$A$3:$A$14,0))</f>
        <v>0</v>
      </c>
      <c r="J29">
        <f>SUMIFS($I$3:$I$566,$A$3:$A$566,A29)</f>
        <v>0</v>
      </c>
      <c r="K29" s="5">
        <f>J29/SUM(Question_Bank!$M$3:$M$14)</f>
        <v>0</v>
      </c>
      <c r="L29" s="5">
        <f>SUMIFS($I$3:$I$566,$A$3:$A$566,A29,$E$3:$E$566,E29)/SUMIFS(Question_Bank!$M$3:$M$14,Question_Bank!$B$3:$B$14,E29)</f>
        <v>0</v>
      </c>
      <c r="M29" t="s">
        <v>138</v>
      </c>
    </row>
    <row r="30" spans="1:13">
      <c r="A30" t="s">
        <v>137</v>
      </c>
      <c r="B30" t="s">
        <v>132</v>
      </c>
      <c r="C30" t="s">
        <v>133</v>
      </c>
      <c r="D30" t="s">
        <v>45</v>
      </c>
      <c r="E30" t="s">
        <v>46</v>
      </c>
      <c r="F30" t="s">
        <v>20</v>
      </c>
      <c r="G30">
        <f>INDEX(Question_Bank!$G$3:$G$14,MATCH(D30,Question_Bank!$A$3:$A$14,0))</f>
        <v>0</v>
      </c>
      <c r="H30">
        <f>IF(F30=G30,1,0)</f>
        <v>0</v>
      </c>
      <c r="I30">
        <f>H30*INDEX(Question_Bank!$M$3:$M$14,MATCH(D30,Question_Bank!$A$3:$A$14,0))</f>
        <v>0</v>
      </c>
      <c r="J30">
        <f>SUMIFS($I$3:$I$566,$A$3:$A$566,A30)</f>
        <v>0</v>
      </c>
      <c r="K30" s="5">
        <f>J30/SUM(Question_Bank!$M$3:$M$14)</f>
        <v>0</v>
      </c>
      <c r="L30" s="5">
        <f>SUMIFS($I$3:$I$566,$A$3:$A$566,A30,$E$3:$E$566,E30)/SUMIFS(Question_Bank!$M$3:$M$14,Question_Bank!$B$3:$B$14,E30)</f>
        <v>0</v>
      </c>
      <c r="M30" t="s">
        <v>138</v>
      </c>
    </row>
    <row r="31" spans="1:13">
      <c r="A31" t="s">
        <v>137</v>
      </c>
      <c r="B31" t="s">
        <v>132</v>
      </c>
      <c r="C31" t="s">
        <v>133</v>
      </c>
      <c r="D31" t="s">
        <v>54</v>
      </c>
      <c r="E31" t="s">
        <v>46</v>
      </c>
      <c r="F31" t="s">
        <v>20</v>
      </c>
      <c r="G31">
        <f>INDEX(Question_Bank!$G$3:$G$14,MATCH(D31,Question_Bank!$A$3:$A$14,0))</f>
        <v>0</v>
      </c>
      <c r="H31">
        <f>IF(F31=G31,1,0)</f>
        <v>0</v>
      </c>
      <c r="I31">
        <f>H31*INDEX(Question_Bank!$M$3:$M$14,MATCH(D31,Question_Bank!$A$3:$A$14,0))</f>
        <v>0</v>
      </c>
      <c r="J31">
        <f>SUMIFS($I$3:$I$566,$A$3:$A$566,A31)</f>
        <v>0</v>
      </c>
      <c r="K31" s="5">
        <f>J31/SUM(Question_Bank!$M$3:$M$14)</f>
        <v>0</v>
      </c>
      <c r="L31" s="5">
        <f>SUMIFS($I$3:$I$566,$A$3:$A$566,A31,$E$3:$E$566,E31)/SUMIFS(Question_Bank!$M$3:$M$14,Question_Bank!$B$3:$B$14,E31)</f>
        <v>0</v>
      </c>
      <c r="M31" t="s">
        <v>138</v>
      </c>
    </row>
    <row r="32" spans="1:13">
      <c r="A32" t="s">
        <v>137</v>
      </c>
      <c r="B32" t="s">
        <v>132</v>
      </c>
      <c r="C32" t="s">
        <v>133</v>
      </c>
      <c r="D32" t="s">
        <v>62</v>
      </c>
      <c r="E32" t="s">
        <v>46</v>
      </c>
      <c r="F32" t="s">
        <v>31</v>
      </c>
      <c r="G32">
        <f>INDEX(Question_Bank!$G$3:$G$14,MATCH(D32,Question_Bank!$A$3:$A$14,0))</f>
        <v>0</v>
      </c>
      <c r="H32">
        <f>IF(F32=G32,1,0)</f>
        <v>0</v>
      </c>
      <c r="I32">
        <f>H32*INDEX(Question_Bank!$M$3:$M$14,MATCH(D32,Question_Bank!$A$3:$A$14,0))</f>
        <v>0</v>
      </c>
      <c r="J32">
        <f>SUMIFS($I$3:$I$566,$A$3:$A$566,A32)</f>
        <v>0</v>
      </c>
      <c r="K32" s="5">
        <f>J32/SUM(Question_Bank!$M$3:$M$14)</f>
        <v>0</v>
      </c>
      <c r="L32" s="5">
        <f>SUMIFS($I$3:$I$566,$A$3:$A$566,A32,$E$3:$E$566,E32)/SUMIFS(Question_Bank!$M$3:$M$14,Question_Bank!$B$3:$B$14,E32)</f>
        <v>0</v>
      </c>
      <c r="M32" t="s">
        <v>138</v>
      </c>
    </row>
    <row r="33" spans="1:13">
      <c r="A33" t="s">
        <v>137</v>
      </c>
      <c r="B33" t="s">
        <v>132</v>
      </c>
      <c r="C33" t="s">
        <v>133</v>
      </c>
      <c r="D33" t="s">
        <v>70</v>
      </c>
      <c r="E33" t="s">
        <v>71</v>
      </c>
      <c r="F33" t="s">
        <v>20</v>
      </c>
      <c r="G33">
        <f>INDEX(Question_Bank!$G$3:$G$14,MATCH(D33,Question_Bank!$A$3:$A$14,0))</f>
        <v>0</v>
      </c>
      <c r="H33">
        <f>IF(F33=G33,1,0)</f>
        <v>0</v>
      </c>
      <c r="I33">
        <f>H33*INDEX(Question_Bank!$M$3:$M$14,MATCH(D33,Question_Bank!$A$3:$A$14,0))</f>
        <v>0</v>
      </c>
      <c r="J33">
        <f>SUMIFS($I$3:$I$566,$A$3:$A$566,A33)</f>
        <v>0</v>
      </c>
      <c r="K33" s="5">
        <f>J33/SUM(Question_Bank!$M$3:$M$14)</f>
        <v>0</v>
      </c>
      <c r="L33" s="5">
        <f>SUMIFS($I$3:$I$566,$A$3:$A$566,A33,$E$3:$E$566,E33)/SUMIFS(Question_Bank!$M$3:$M$14,Question_Bank!$B$3:$B$14,E33)</f>
        <v>0</v>
      </c>
      <c r="M33" t="s">
        <v>138</v>
      </c>
    </row>
    <row r="34" spans="1:13">
      <c r="A34" t="s">
        <v>137</v>
      </c>
      <c r="B34" t="s">
        <v>132</v>
      </c>
      <c r="C34" t="s">
        <v>133</v>
      </c>
      <c r="D34" t="s">
        <v>79</v>
      </c>
      <c r="E34" t="s">
        <v>71</v>
      </c>
      <c r="F34" t="s">
        <v>31</v>
      </c>
      <c r="G34">
        <f>INDEX(Question_Bank!$G$3:$G$14,MATCH(D34,Question_Bank!$A$3:$A$14,0))</f>
        <v>0</v>
      </c>
      <c r="H34">
        <f>IF(F34=G34,1,0)</f>
        <v>0</v>
      </c>
      <c r="I34">
        <f>H34*INDEX(Question_Bank!$M$3:$M$14,MATCH(D34,Question_Bank!$A$3:$A$14,0))</f>
        <v>0</v>
      </c>
      <c r="J34">
        <f>SUMIFS($I$3:$I$566,$A$3:$A$566,A34)</f>
        <v>0</v>
      </c>
      <c r="K34" s="5">
        <f>J34/SUM(Question_Bank!$M$3:$M$14)</f>
        <v>0</v>
      </c>
      <c r="L34" s="5">
        <f>SUMIFS($I$3:$I$566,$A$3:$A$566,A34,$E$3:$E$566,E34)/SUMIFS(Question_Bank!$M$3:$M$14,Question_Bank!$B$3:$B$14,E34)</f>
        <v>0</v>
      </c>
      <c r="M34" t="s">
        <v>138</v>
      </c>
    </row>
    <row r="35" spans="1:13">
      <c r="A35" t="s">
        <v>137</v>
      </c>
      <c r="B35" t="s">
        <v>132</v>
      </c>
      <c r="C35" t="s">
        <v>133</v>
      </c>
      <c r="D35" t="s">
        <v>87</v>
      </c>
      <c r="E35" t="s">
        <v>71</v>
      </c>
      <c r="F35" t="s">
        <v>20</v>
      </c>
      <c r="G35">
        <f>INDEX(Question_Bank!$G$3:$G$14,MATCH(D35,Question_Bank!$A$3:$A$14,0))</f>
        <v>0</v>
      </c>
      <c r="H35">
        <f>IF(F35=G35,1,0)</f>
        <v>0</v>
      </c>
      <c r="I35">
        <f>H35*INDEX(Question_Bank!$M$3:$M$14,MATCH(D35,Question_Bank!$A$3:$A$14,0))</f>
        <v>0</v>
      </c>
      <c r="J35">
        <f>SUMIFS($I$3:$I$566,$A$3:$A$566,A35)</f>
        <v>0</v>
      </c>
      <c r="K35" s="5">
        <f>J35/SUM(Question_Bank!$M$3:$M$14)</f>
        <v>0</v>
      </c>
      <c r="L35" s="5">
        <f>SUMIFS($I$3:$I$566,$A$3:$A$566,A35,$E$3:$E$566,E35)/SUMIFS(Question_Bank!$M$3:$M$14,Question_Bank!$B$3:$B$14,E35)</f>
        <v>0</v>
      </c>
      <c r="M35" t="s">
        <v>138</v>
      </c>
    </row>
    <row r="36" spans="1:13">
      <c r="A36" t="s">
        <v>137</v>
      </c>
      <c r="B36" t="s">
        <v>132</v>
      </c>
      <c r="C36" t="s">
        <v>133</v>
      </c>
      <c r="D36" t="s">
        <v>95</v>
      </c>
      <c r="E36" t="s">
        <v>96</v>
      </c>
      <c r="F36" t="s">
        <v>20</v>
      </c>
      <c r="G36">
        <f>INDEX(Question_Bank!$G$3:$G$14,MATCH(D36,Question_Bank!$A$3:$A$14,0))</f>
        <v>0</v>
      </c>
      <c r="H36">
        <f>IF(F36=G36,1,0)</f>
        <v>0</v>
      </c>
      <c r="I36">
        <f>H36*INDEX(Question_Bank!$M$3:$M$14,MATCH(D36,Question_Bank!$A$3:$A$14,0))</f>
        <v>0</v>
      </c>
      <c r="J36">
        <f>SUMIFS($I$3:$I$566,$A$3:$A$566,A36)</f>
        <v>0</v>
      </c>
      <c r="K36" s="5">
        <f>J36/SUM(Question_Bank!$M$3:$M$14)</f>
        <v>0</v>
      </c>
      <c r="L36" s="5">
        <f>SUMIFS($I$3:$I$566,$A$3:$A$566,A36,$E$3:$E$566,E36)/SUMIFS(Question_Bank!$M$3:$M$14,Question_Bank!$B$3:$B$14,E36)</f>
        <v>0</v>
      </c>
      <c r="M36" t="s">
        <v>138</v>
      </c>
    </row>
    <row r="37" spans="1:13">
      <c r="A37" t="s">
        <v>137</v>
      </c>
      <c r="B37" t="s">
        <v>132</v>
      </c>
      <c r="C37" t="s">
        <v>133</v>
      </c>
      <c r="D37" t="s">
        <v>104</v>
      </c>
      <c r="E37" t="s">
        <v>96</v>
      </c>
      <c r="F37" t="s">
        <v>31</v>
      </c>
      <c r="G37">
        <f>INDEX(Question_Bank!$G$3:$G$14,MATCH(D37,Question_Bank!$A$3:$A$14,0))</f>
        <v>0</v>
      </c>
      <c r="H37">
        <f>IF(F37=G37,1,0)</f>
        <v>0</v>
      </c>
      <c r="I37">
        <f>H37*INDEX(Question_Bank!$M$3:$M$14,MATCH(D37,Question_Bank!$A$3:$A$14,0))</f>
        <v>0</v>
      </c>
      <c r="J37">
        <f>SUMIFS($I$3:$I$566,$A$3:$A$566,A37)</f>
        <v>0</v>
      </c>
      <c r="K37" s="5">
        <f>J37/SUM(Question_Bank!$M$3:$M$14)</f>
        <v>0</v>
      </c>
      <c r="L37" s="5">
        <f>SUMIFS($I$3:$I$566,$A$3:$A$566,A37,$E$3:$E$566,E37)/SUMIFS(Question_Bank!$M$3:$M$14,Question_Bank!$B$3:$B$14,E37)</f>
        <v>0</v>
      </c>
      <c r="M37" t="s">
        <v>138</v>
      </c>
    </row>
    <row r="38" spans="1:13">
      <c r="A38" t="s">
        <v>137</v>
      </c>
      <c r="B38" t="s">
        <v>132</v>
      </c>
      <c r="C38" t="s">
        <v>133</v>
      </c>
      <c r="D38" t="s">
        <v>112</v>
      </c>
      <c r="E38" t="s">
        <v>96</v>
      </c>
      <c r="F38" t="s">
        <v>31</v>
      </c>
      <c r="G38">
        <f>INDEX(Question_Bank!$G$3:$G$14,MATCH(D38,Question_Bank!$A$3:$A$14,0))</f>
        <v>0</v>
      </c>
      <c r="H38">
        <f>IF(F38=G38,1,0)</f>
        <v>0</v>
      </c>
      <c r="I38">
        <f>H38*INDEX(Question_Bank!$M$3:$M$14,MATCH(D38,Question_Bank!$A$3:$A$14,0))</f>
        <v>0</v>
      </c>
      <c r="J38">
        <f>SUMIFS($I$3:$I$566,$A$3:$A$566,A38)</f>
        <v>0</v>
      </c>
      <c r="K38" s="5">
        <f>J38/SUM(Question_Bank!$M$3:$M$14)</f>
        <v>0</v>
      </c>
      <c r="L38" s="5">
        <f>SUMIFS($I$3:$I$566,$A$3:$A$566,A38,$E$3:$E$566,E38)/SUMIFS(Question_Bank!$M$3:$M$14,Question_Bank!$B$3:$B$14,E38)</f>
        <v>0</v>
      </c>
      <c r="M38" t="s">
        <v>138</v>
      </c>
    </row>
    <row r="39" spans="1:13">
      <c r="A39" t="s">
        <v>139</v>
      </c>
      <c r="B39" t="s">
        <v>132</v>
      </c>
      <c r="C39" t="s">
        <v>133</v>
      </c>
      <c r="D39" t="s">
        <v>14</v>
      </c>
      <c r="E39" t="s">
        <v>15</v>
      </c>
      <c r="F39" t="s">
        <v>31</v>
      </c>
      <c r="G39">
        <f>INDEX(Question_Bank!$G$3:$G$14,MATCH(D39,Question_Bank!$A$3:$A$14,0))</f>
        <v>0</v>
      </c>
      <c r="H39">
        <f>IF(F39=G39,1,0)</f>
        <v>0</v>
      </c>
      <c r="I39">
        <f>H39*INDEX(Question_Bank!$M$3:$M$14,MATCH(D39,Question_Bank!$A$3:$A$14,0))</f>
        <v>0</v>
      </c>
      <c r="J39">
        <f>SUMIFS($I$3:$I$566,$A$3:$A$566,A39)</f>
        <v>0</v>
      </c>
      <c r="K39" s="5">
        <f>J39/SUM(Question_Bank!$M$3:$M$14)</f>
        <v>0</v>
      </c>
      <c r="L39" s="5">
        <f>SUMIFS($I$3:$I$566,$A$3:$A$566,A39,$E$3:$E$566,E39)/SUMIFS(Question_Bank!$M$3:$M$14,Question_Bank!$B$3:$B$14,E39)</f>
        <v>0</v>
      </c>
      <c r="M39" t="s">
        <v>140</v>
      </c>
    </row>
    <row r="40" spans="1:13">
      <c r="A40" t="s">
        <v>139</v>
      </c>
      <c r="B40" t="s">
        <v>132</v>
      </c>
      <c r="C40" t="s">
        <v>133</v>
      </c>
      <c r="D40" t="s">
        <v>26</v>
      </c>
      <c r="E40" t="s">
        <v>15</v>
      </c>
      <c r="F40" t="s">
        <v>34</v>
      </c>
      <c r="G40">
        <f>INDEX(Question_Bank!$G$3:$G$14,MATCH(D40,Question_Bank!$A$3:$A$14,0))</f>
        <v>0</v>
      </c>
      <c r="H40">
        <f>IF(F40=G40,1,0)</f>
        <v>0</v>
      </c>
      <c r="I40">
        <f>H40*INDEX(Question_Bank!$M$3:$M$14,MATCH(D40,Question_Bank!$A$3:$A$14,0))</f>
        <v>0</v>
      </c>
      <c r="J40">
        <f>SUMIFS($I$3:$I$566,$A$3:$A$566,A40)</f>
        <v>0</v>
      </c>
      <c r="K40" s="5">
        <f>J40/SUM(Question_Bank!$M$3:$M$14)</f>
        <v>0</v>
      </c>
      <c r="L40" s="5">
        <f>SUMIFS($I$3:$I$566,$A$3:$A$566,A40,$E$3:$E$566,E40)/SUMIFS(Question_Bank!$M$3:$M$14,Question_Bank!$B$3:$B$14,E40)</f>
        <v>0</v>
      </c>
      <c r="M40" t="s">
        <v>140</v>
      </c>
    </row>
    <row r="41" spans="1:13">
      <c r="A41" t="s">
        <v>139</v>
      </c>
      <c r="B41" t="s">
        <v>132</v>
      </c>
      <c r="C41" t="s">
        <v>133</v>
      </c>
      <c r="D41" t="s">
        <v>37</v>
      </c>
      <c r="E41" t="s">
        <v>15</v>
      </c>
      <c r="F41" t="s">
        <v>23</v>
      </c>
      <c r="G41">
        <f>INDEX(Question_Bank!$G$3:$G$14,MATCH(D41,Question_Bank!$A$3:$A$14,0))</f>
        <v>0</v>
      </c>
      <c r="H41">
        <f>IF(F41=G41,1,0)</f>
        <v>0</v>
      </c>
      <c r="I41">
        <f>H41*INDEX(Question_Bank!$M$3:$M$14,MATCH(D41,Question_Bank!$A$3:$A$14,0))</f>
        <v>0</v>
      </c>
      <c r="J41">
        <f>SUMIFS($I$3:$I$566,$A$3:$A$566,A41)</f>
        <v>0</v>
      </c>
      <c r="K41" s="5">
        <f>J41/SUM(Question_Bank!$M$3:$M$14)</f>
        <v>0</v>
      </c>
      <c r="L41" s="5">
        <f>SUMIFS($I$3:$I$566,$A$3:$A$566,A41,$E$3:$E$566,E41)/SUMIFS(Question_Bank!$M$3:$M$14,Question_Bank!$B$3:$B$14,E41)</f>
        <v>0</v>
      </c>
      <c r="M41" t="s">
        <v>140</v>
      </c>
    </row>
    <row r="42" spans="1:13">
      <c r="A42" t="s">
        <v>139</v>
      </c>
      <c r="B42" t="s">
        <v>132</v>
      </c>
      <c r="C42" t="s">
        <v>133</v>
      </c>
      <c r="D42" t="s">
        <v>45</v>
      </c>
      <c r="E42" t="s">
        <v>46</v>
      </c>
      <c r="F42" t="s">
        <v>23</v>
      </c>
      <c r="G42">
        <f>INDEX(Question_Bank!$G$3:$G$14,MATCH(D42,Question_Bank!$A$3:$A$14,0))</f>
        <v>0</v>
      </c>
      <c r="H42">
        <f>IF(F42=G42,1,0)</f>
        <v>0</v>
      </c>
      <c r="I42">
        <f>H42*INDEX(Question_Bank!$M$3:$M$14,MATCH(D42,Question_Bank!$A$3:$A$14,0))</f>
        <v>0</v>
      </c>
      <c r="J42">
        <f>SUMIFS($I$3:$I$566,$A$3:$A$566,A42)</f>
        <v>0</v>
      </c>
      <c r="K42" s="5">
        <f>J42/SUM(Question_Bank!$M$3:$M$14)</f>
        <v>0</v>
      </c>
      <c r="L42" s="5">
        <f>SUMIFS($I$3:$I$566,$A$3:$A$566,A42,$E$3:$E$566,E42)/SUMIFS(Question_Bank!$M$3:$M$14,Question_Bank!$B$3:$B$14,E42)</f>
        <v>0</v>
      </c>
      <c r="M42" t="s">
        <v>140</v>
      </c>
    </row>
    <row r="43" spans="1:13">
      <c r="A43" t="s">
        <v>139</v>
      </c>
      <c r="B43" t="s">
        <v>132</v>
      </c>
      <c r="C43" t="s">
        <v>133</v>
      </c>
      <c r="D43" t="s">
        <v>54</v>
      </c>
      <c r="E43" t="s">
        <v>46</v>
      </c>
      <c r="F43" t="s">
        <v>20</v>
      </c>
      <c r="G43">
        <f>INDEX(Question_Bank!$G$3:$G$14,MATCH(D43,Question_Bank!$A$3:$A$14,0))</f>
        <v>0</v>
      </c>
      <c r="H43">
        <f>IF(F43=G43,1,0)</f>
        <v>0</v>
      </c>
      <c r="I43">
        <f>H43*INDEX(Question_Bank!$M$3:$M$14,MATCH(D43,Question_Bank!$A$3:$A$14,0))</f>
        <v>0</v>
      </c>
      <c r="J43">
        <f>SUMIFS($I$3:$I$566,$A$3:$A$566,A43)</f>
        <v>0</v>
      </c>
      <c r="K43" s="5">
        <f>J43/SUM(Question_Bank!$M$3:$M$14)</f>
        <v>0</v>
      </c>
      <c r="L43" s="5">
        <f>SUMIFS($I$3:$I$566,$A$3:$A$566,A43,$E$3:$E$566,E43)/SUMIFS(Question_Bank!$M$3:$M$14,Question_Bank!$B$3:$B$14,E43)</f>
        <v>0</v>
      </c>
      <c r="M43" t="s">
        <v>140</v>
      </c>
    </row>
    <row r="44" spans="1:13">
      <c r="A44" t="s">
        <v>139</v>
      </c>
      <c r="B44" t="s">
        <v>132</v>
      </c>
      <c r="C44" t="s">
        <v>133</v>
      </c>
      <c r="D44" t="s">
        <v>62</v>
      </c>
      <c r="E44" t="s">
        <v>46</v>
      </c>
      <c r="F44" t="s">
        <v>34</v>
      </c>
      <c r="G44">
        <f>INDEX(Question_Bank!$G$3:$G$14,MATCH(D44,Question_Bank!$A$3:$A$14,0))</f>
        <v>0</v>
      </c>
      <c r="H44">
        <f>IF(F44=G44,1,0)</f>
        <v>0</v>
      </c>
      <c r="I44">
        <f>H44*INDEX(Question_Bank!$M$3:$M$14,MATCH(D44,Question_Bank!$A$3:$A$14,0))</f>
        <v>0</v>
      </c>
      <c r="J44">
        <f>SUMIFS($I$3:$I$566,$A$3:$A$566,A44)</f>
        <v>0</v>
      </c>
      <c r="K44" s="5">
        <f>J44/SUM(Question_Bank!$M$3:$M$14)</f>
        <v>0</v>
      </c>
      <c r="L44" s="5">
        <f>SUMIFS($I$3:$I$566,$A$3:$A$566,A44,$E$3:$E$566,E44)/SUMIFS(Question_Bank!$M$3:$M$14,Question_Bank!$B$3:$B$14,E44)</f>
        <v>0</v>
      </c>
      <c r="M44" t="s">
        <v>140</v>
      </c>
    </row>
    <row r="45" spans="1:13">
      <c r="A45" t="s">
        <v>139</v>
      </c>
      <c r="B45" t="s">
        <v>132</v>
      </c>
      <c r="C45" t="s">
        <v>133</v>
      </c>
      <c r="D45" t="s">
        <v>70</v>
      </c>
      <c r="E45" t="s">
        <v>71</v>
      </c>
      <c r="F45" t="s">
        <v>31</v>
      </c>
      <c r="G45">
        <f>INDEX(Question_Bank!$G$3:$G$14,MATCH(D45,Question_Bank!$A$3:$A$14,0))</f>
        <v>0</v>
      </c>
      <c r="H45">
        <f>IF(F45=G45,1,0)</f>
        <v>0</v>
      </c>
      <c r="I45">
        <f>H45*INDEX(Question_Bank!$M$3:$M$14,MATCH(D45,Question_Bank!$A$3:$A$14,0))</f>
        <v>0</v>
      </c>
      <c r="J45">
        <f>SUMIFS($I$3:$I$566,$A$3:$A$566,A45)</f>
        <v>0</v>
      </c>
      <c r="K45" s="5">
        <f>J45/SUM(Question_Bank!$M$3:$M$14)</f>
        <v>0</v>
      </c>
      <c r="L45" s="5">
        <f>SUMIFS($I$3:$I$566,$A$3:$A$566,A45,$E$3:$E$566,E45)/SUMIFS(Question_Bank!$M$3:$M$14,Question_Bank!$B$3:$B$14,E45)</f>
        <v>0</v>
      </c>
      <c r="M45" t="s">
        <v>140</v>
      </c>
    </row>
    <row r="46" spans="1:13">
      <c r="A46" t="s">
        <v>139</v>
      </c>
      <c r="B46" t="s">
        <v>132</v>
      </c>
      <c r="C46" t="s">
        <v>133</v>
      </c>
      <c r="D46" t="s">
        <v>79</v>
      </c>
      <c r="E46" t="s">
        <v>71</v>
      </c>
      <c r="F46" t="s">
        <v>34</v>
      </c>
      <c r="G46">
        <f>INDEX(Question_Bank!$G$3:$G$14,MATCH(D46,Question_Bank!$A$3:$A$14,0))</f>
        <v>0</v>
      </c>
      <c r="H46">
        <f>IF(F46=G46,1,0)</f>
        <v>0</v>
      </c>
      <c r="I46">
        <f>H46*INDEX(Question_Bank!$M$3:$M$14,MATCH(D46,Question_Bank!$A$3:$A$14,0))</f>
        <v>0</v>
      </c>
      <c r="J46">
        <f>SUMIFS($I$3:$I$566,$A$3:$A$566,A46)</f>
        <v>0</v>
      </c>
      <c r="K46" s="5">
        <f>J46/SUM(Question_Bank!$M$3:$M$14)</f>
        <v>0</v>
      </c>
      <c r="L46" s="5">
        <f>SUMIFS($I$3:$I$566,$A$3:$A$566,A46,$E$3:$E$566,E46)/SUMIFS(Question_Bank!$M$3:$M$14,Question_Bank!$B$3:$B$14,E46)</f>
        <v>0</v>
      </c>
      <c r="M46" t="s">
        <v>140</v>
      </c>
    </row>
    <row r="47" spans="1:13">
      <c r="A47" t="s">
        <v>139</v>
      </c>
      <c r="B47" t="s">
        <v>132</v>
      </c>
      <c r="C47" t="s">
        <v>133</v>
      </c>
      <c r="D47" t="s">
        <v>87</v>
      </c>
      <c r="E47" t="s">
        <v>71</v>
      </c>
      <c r="F47" t="s">
        <v>20</v>
      </c>
      <c r="G47">
        <f>INDEX(Question_Bank!$G$3:$G$14,MATCH(D47,Question_Bank!$A$3:$A$14,0))</f>
        <v>0</v>
      </c>
      <c r="H47">
        <f>IF(F47=G47,1,0)</f>
        <v>0</v>
      </c>
      <c r="I47">
        <f>H47*INDEX(Question_Bank!$M$3:$M$14,MATCH(D47,Question_Bank!$A$3:$A$14,0))</f>
        <v>0</v>
      </c>
      <c r="J47">
        <f>SUMIFS($I$3:$I$566,$A$3:$A$566,A47)</f>
        <v>0</v>
      </c>
      <c r="K47" s="5">
        <f>J47/SUM(Question_Bank!$M$3:$M$14)</f>
        <v>0</v>
      </c>
      <c r="L47" s="5">
        <f>SUMIFS($I$3:$I$566,$A$3:$A$566,A47,$E$3:$E$566,E47)/SUMIFS(Question_Bank!$M$3:$M$14,Question_Bank!$B$3:$B$14,E47)</f>
        <v>0</v>
      </c>
      <c r="M47" t="s">
        <v>140</v>
      </c>
    </row>
    <row r="48" spans="1:13">
      <c r="A48" t="s">
        <v>139</v>
      </c>
      <c r="B48" t="s">
        <v>132</v>
      </c>
      <c r="C48" t="s">
        <v>133</v>
      </c>
      <c r="D48" t="s">
        <v>95</v>
      </c>
      <c r="E48" t="s">
        <v>96</v>
      </c>
      <c r="F48" t="s">
        <v>34</v>
      </c>
      <c r="G48">
        <f>INDEX(Question_Bank!$G$3:$G$14,MATCH(D48,Question_Bank!$A$3:$A$14,0))</f>
        <v>0</v>
      </c>
      <c r="H48">
        <f>IF(F48=G48,1,0)</f>
        <v>0</v>
      </c>
      <c r="I48">
        <f>H48*INDEX(Question_Bank!$M$3:$M$14,MATCH(D48,Question_Bank!$A$3:$A$14,0))</f>
        <v>0</v>
      </c>
      <c r="J48">
        <f>SUMIFS($I$3:$I$566,$A$3:$A$566,A48)</f>
        <v>0</v>
      </c>
      <c r="K48" s="5">
        <f>J48/SUM(Question_Bank!$M$3:$M$14)</f>
        <v>0</v>
      </c>
      <c r="L48" s="5">
        <f>SUMIFS($I$3:$I$566,$A$3:$A$566,A48,$E$3:$E$566,E48)/SUMIFS(Question_Bank!$M$3:$M$14,Question_Bank!$B$3:$B$14,E48)</f>
        <v>0</v>
      </c>
      <c r="M48" t="s">
        <v>140</v>
      </c>
    </row>
    <row r="49" spans="1:13">
      <c r="A49" t="s">
        <v>139</v>
      </c>
      <c r="B49" t="s">
        <v>132</v>
      </c>
      <c r="C49" t="s">
        <v>133</v>
      </c>
      <c r="D49" t="s">
        <v>104</v>
      </c>
      <c r="E49" t="s">
        <v>96</v>
      </c>
      <c r="F49" t="s">
        <v>23</v>
      </c>
      <c r="G49">
        <f>INDEX(Question_Bank!$G$3:$G$14,MATCH(D49,Question_Bank!$A$3:$A$14,0))</f>
        <v>0</v>
      </c>
      <c r="H49">
        <f>IF(F49=G49,1,0)</f>
        <v>0</v>
      </c>
      <c r="I49">
        <f>H49*INDEX(Question_Bank!$M$3:$M$14,MATCH(D49,Question_Bank!$A$3:$A$14,0))</f>
        <v>0</v>
      </c>
      <c r="J49">
        <f>SUMIFS($I$3:$I$566,$A$3:$A$566,A49)</f>
        <v>0</v>
      </c>
      <c r="K49" s="5">
        <f>J49/SUM(Question_Bank!$M$3:$M$14)</f>
        <v>0</v>
      </c>
      <c r="L49" s="5">
        <f>SUMIFS($I$3:$I$566,$A$3:$A$566,A49,$E$3:$E$566,E49)/SUMIFS(Question_Bank!$M$3:$M$14,Question_Bank!$B$3:$B$14,E49)</f>
        <v>0</v>
      </c>
      <c r="M49" t="s">
        <v>140</v>
      </c>
    </row>
    <row r="50" spans="1:13">
      <c r="A50" t="s">
        <v>139</v>
      </c>
      <c r="B50" t="s">
        <v>132</v>
      </c>
      <c r="C50" t="s">
        <v>133</v>
      </c>
      <c r="D50" t="s">
        <v>112</v>
      </c>
      <c r="E50" t="s">
        <v>96</v>
      </c>
      <c r="F50" t="s">
        <v>31</v>
      </c>
      <c r="G50">
        <f>INDEX(Question_Bank!$G$3:$G$14,MATCH(D50,Question_Bank!$A$3:$A$14,0))</f>
        <v>0</v>
      </c>
      <c r="H50">
        <f>IF(F50=G50,1,0)</f>
        <v>0</v>
      </c>
      <c r="I50">
        <f>H50*INDEX(Question_Bank!$M$3:$M$14,MATCH(D50,Question_Bank!$A$3:$A$14,0))</f>
        <v>0</v>
      </c>
      <c r="J50">
        <f>SUMIFS($I$3:$I$566,$A$3:$A$566,A50)</f>
        <v>0</v>
      </c>
      <c r="K50" s="5">
        <f>J50/SUM(Question_Bank!$M$3:$M$14)</f>
        <v>0</v>
      </c>
      <c r="L50" s="5">
        <f>SUMIFS($I$3:$I$566,$A$3:$A$566,A50,$E$3:$E$566,E50)/SUMIFS(Question_Bank!$M$3:$M$14,Question_Bank!$B$3:$B$14,E50)</f>
        <v>0</v>
      </c>
      <c r="M50" t="s">
        <v>140</v>
      </c>
    </row>
    <row r="51" spans="1:13">
      <c r="A51" t="s">
        <v>141</v>
      </c>
      <c r="B51" t="s">
        <v>132</v>
      </c>
      <c r="C51" t="s">
        <v>133</v>
      </c>
      <c r="D51" t="s">
        <v>14</v>
      </c>
      <c r="E51" t="s">
        <v>15</v>
      </c>
      <c r="F51" t="s">
        <v>23</v>
      </c>
      <c r="G51">
        <f>INDEX(Question_Bank!$G$3:$G$14,MATCH(D51,Question_Bank!$A$3:$A$14,0))</f>
        <v>0</v>
      </c>
      <c r="H51">
        <f>IF(F51=G51,1,0)</f>
        <v>0</v>
      </c>
      <c r="I51">
        <f>H51*INDEX(Question_Bank!$M$3:$M$14,MATCH(D51,Question_Bank!$A$3:$A$14,0))</f>
        <v>0</v>
      </c>
      <c r="J51">
        <f>SUMIFS($I$3:$I$566,$A$3:$A$566,A51)</f>
        <v>0</v>
      </c>
      <c r="K51" s="5">
        <f>J51/SUM(Question_Bank!$M$3:$M$14)</f>
        <v>0</v>
      </c>
      <c r="L51" s="5">
        <f>SUMIFS($I$3:$I$566,$A$3:$A$566,A51,$E$3:$E$566,E51)/SUMIFS(Question_Bank!$M$3:$M$14,Question_Bank!$B$3:$B$14,E51)</f>
        <v>0</v>
      </c>
      <c r="M51" t="s">
        <v>142</v>
      </c>
    </row>
    <row r="52" spans="1:13">
      <c r="A52" t="s">
        <v>141</v>
      </c>
      <c r="B52" t="s">
        <v>132</v>
      </c>
      <c r="C52" t="s">
        <v>133</v>
      </c>
      <c r="D52" t="s">
        <v>26</v>
      </c>
      <c r="E52" t="s">
        <v>15</v>
      </c>
      <c r="F52" t="s">
        <v>23</v>
      </c>
      <c r="G52">
        <f>INDEX(Question_Bank!$G$3:$G$14,MATCH(D52,Question_Bank!$A$3:$A$14,0))</f>
        <v>0</v>
      </c>
      <c r="H52">
        <f>IF(F52=G52,1,0)</f>
        <v>0</v>
      </c>
      <c r="I52">
        <f>H52*INDEX(Question_Bank!$M$3:$M$14,MATCH(D52,Question_Bank!$A$3:$A$14,0))</f>
        <v>0</v>
      </c>
      <c r="J52">
        <f>SUMIFS($I$3:$I$566,$A$3:$A$566,A52)</f>
        <v>0</v>
      </c>
      <c r="K52" s="5">
        <f>J52/SUM(Question_Bank!$M$3:$M$14)</f>
        <v>0</v>
      </c>
      <c r="L52" s="5">
        <f>SUMIFS($I$3:$I$566,$A$3:$A$566,A52,$E$3:$E$566,E52)/SUMIFS(Question_Bank!$M$3:$M$14,Question_Bank!$B$3:$B$14,E52)</f>
        <v>0</v>
      </c>
      <c r="M52" t="s">
        <v>142</v>
      </c>
    </row>
    <row r="53" spans="1:13">
      <c r="A53" t="s">
        <v>141</v>
      </c>
      <c r="B53" t="s">
        <v>132</v>
      </c>
      <c r="C53" t="s">
        <v>133</v>
      </c>
      <c r="D53" t="s">
        <v>37</v>
      </c>
      <c r="E53" t="s">
        <v>15</v>
      </c>
      <c r="F53" t="s">
        <v>31</v>
      </c>
      <c r="G53">
        <f>INDEX(Question_Bank!$G$3:$G$14,MATCH(D53,Question_Bank!$A$3:$A$14,0))</f>
        <v>0</v>
      </c>
      <c r="H53">
        <f>IF(F53=G53,1,0)</f>
        <v>0</v>
      </c>
      <c r="I53">
        <f>H53*INDEX(Question_Bank!$M$3:$M$14,MATCH(D53,Question_Bank!$A$3:$A$14,0))</f>
        <v>0</v>
      </c>
      <c r="J53">
        <f>SUMIFS($I$3:$I$566,$A$3:$A$566,A53)</f>
        <v>0</v>
      </c>
      <c r="K53" s="5">
        <f>J53/SUM(Question_Bank!$M$3:$M$14)</f>
        <v>0</v>
      </c>
      <c r="L53" s="5">
        <f>SUMIFS($I$3:$I$566,$A$3:$A$566,A53,$E$3:$E$566,E53)/SUMIFS(Question_Bank!$M$3:$M$14,Question_Bank!$B$3:$B$14,E53)</f>
        <v>0</v>
      </c>
      <c r="M53" t="s">
        <v>142</v>
      </c>
    </row>
    <row r="54" spans="1:13">
      <c r="A54" t="s">
        <v>141</v>
      </c>
      <c r="B54" t="s">
        <v>132</v>
      </c>
      <c r="C54" t="s">
        <v>133</v>
      </c>
      <c r="D54" t="s">
        <v>45</v>
      </c>
      <c r="E54" t="s">
        <v>46</v>
      </c>
      <c r="F54" t="s">
        <v>23</v>
      </c>
      <c r="G54">
        <f>INDEX(Question_Bank!$G$3:$G$14,MATCH(D54,Question_Bank!$A$3:$A$14,0))</f>
        <v>0</v>
      </c>
      <c r="H54">
        <f>IF(F54=G54,1,0)</f>
        <v>0</v>
      </c>
      <c r="I54">
        <f>H54*INDEX(Question_Bank!$M$3:$M$14,MATCH(D54,Question_Bank!$A$3:$A$14,0))</f>
        <v>0</v>
      </c>
      <c r="J54">
        <f>SUMIFS($I$3:$I$566,$A$3:$A$566,A54)</f>
        <v>0</v>
      </c>
      <c r="K54" s="5">
        <f>J54/SUM(Question_Bank!$M$3:$M$14)</f>
        <v>0</v>
      </c>
      <c r="L54" s="5">
        <f>SUMIFS($I$3:$I$566,$A$3:$A$566,A54,$E$3:$E$566,E54)/SUMIFS(Question_Bank!$M$3:$M$14,Question_Bank!$B$3:$B$14,E54)</f>
        <v>0</v>
      </c>
      <c r="M54" t="s">
        <v>142</v>
      </c>
    </row>
    <row r="55" spans="1:13">
      <c r="A55" t="s">
        <v>141</v>
      </c>
      <c r="B55" t="s">
        <v>132</v>
      </c>
      <c r="C55" t="s">
        <v>133</v>
      </c>
      <c r="D55" t="s">
        <v>54</v>
      </c>
      <c r="E55" t="s">
        <v>46</v>
      </c>
      <c r="F55" t="s">
        <v>31</v>
      </c>
      <c r="G55">
        <f>INDEX(Question_Bank!$G$3:$G$14,MATCH(D55,Question_Bank!$A$3:$A$14,0))</f>
        <v>0</v>
      </c>
      <c r="H55">
        <f>IF(F55=G55,1,0)</f>
        <v>0</v>
      </c>
      <c r="I55">
        <f>H55*INDEX(Question_Bank!$M$3:$M$14,MATCH(D55,Question_Bank!$A$3:$A$14,0))</f>
        <v>0</v>
      </c>
      <c r="J55">
        <f>SUMIFS($I$3:$I$566,$A$3:$A$566,A55)</f>
        <v>0</v>
      </c>
      <c r="K55" s="5">
        <f>J55/SUM(Question_Bank!$M$3:$M$14)</f>
        <v>0</v>
      </c>
      <c r="L55" s="5">
        <f>SUMIFS($I$3:$I$566,$A$3:$A$566,A55,$E$3:$E$566,E55)/SUMIFS(Question_Bank!$M$3:$M$14,Question_Bank!$B$3:$B$14,E55)</f>
        <v>0</v>
      </c>
      <c r="M55" t="s">
        <v>142</v>
      </c>
    </row>
    <row r="56" spans="1:13">
      <c r="A56" t="s">
        <v>141</v>
      </c>
      <c r="B56" t="s">
        <v>132</v>
      </c>
      <c r="C56" t="s">
        <v>133</v>
      </c>
      <c r="D56" t="s">
        <v>62</v>
      </c>
      <c r="E56" t="s">
        <v>46</v>
      </c>
      <c r="F56" t="s">
        <v>31</v>
      </c>
      <c r="G56">
        <f>INDEX(Question_Bank!$G$3:$G$14,MATCH(D56,Question_Bank!$A$3:$A$14,0))</f>
        <v>0</v>
      </c>
      <c r="H56">
        <f>IF(F56=G56,1,0)</f>
        <v>0</v>
      </c>
      <c r="I56">
        <f>H56*INDEX(Question_Bank!$M$3:$M$14,MATCH(D56,Question_Bank!$A$3:$A$14,0))</f>
        <v>0</v>
      </c>
      <c r="J56">
        <f>SUMIFS($I$3:$I$566,$A$3:$A$566,A56)</f>
        <v>0</v>
      </c>
      <c r="K56" s="5">
        <f>J56/SUM(Question_Bank!$M$3:$M$14)</f>
        <v>0</v>
      </c>
      <c r="L56" s="5">
        <f>SUMIFS($I$3:$I$566,$A$3:$A$566,A56,$E$3:$E$566,E56)/SUMIFS(Question_Bank!$M$3:$M$14,Question_Bank!$B$3:$B$14,E56)</f>
        <v>0</v>
      </c>
      <c r="M56" t="s">
        <v>142</v>
      </c>
    </row>
    <row r="57" spans="1:13">
      <c r="A57" t="s">
        <v>141</v>
      </c>
      <c r="B57" t="s">
        <v>132</v>
      </c>
      <c r="C57" t="s">
        <v>133</v>
      </c>
      <c r="D57" t="s">
        <v>70</v>
      </c>
      <c r="E57" t="s">
        <v>71</v>
      </c>
      <c r="F57" t="s">
        <v>34</v>
      </c>
      <c r="G57">
        <f>INDEX(Question_Bank!$G$3:$G$14,MATCH(D57,Question_Bank!$A$3:$A$14,0))</f>
        <v>0</v>
      </c>
      <c r="H57">
        <f>IF(F57=G57,1,0)</f>
        <v>0</v>
      </c>
      <c r="I57">
        <f>H57*INDEX(Question_Bank!$M$3:$M$14,MATCH(D57,Question_Bank!$A$3:$A$14,0))</f>
        <v>0</v>
      </c>
      <c r="J57">
        <f>SUMIFS($I$3:$I$566,$A$3:$A$566,A57)</f>
        <v>0</v>
      </c>
      <c r="K57" s="5">
        <f>J57/SUM(Question_Bank!$M$3:$M$14)</f>
        <v>0</v>
      </c>
      <c r="L57" s="5">
        <f>SUMIFS($I$3:$I$566,$A$3:$A$566,A57,$E$3:$E$566,E57)/SUMIFS(Question_Bank!$M$3:$M$14,Question_Bank!$B$3:$B$14,E57)</f>
        <v>0</v>
      </c>
      <c r="M57" t="s">
        <v>142</v>
      </c>
    </row>
    <row r="58" spans="1:13">
      <c r="A58" t="s">
        <v>141</v>
      </c>
      <c r="B58" t="s">
        <v>132</v>
      </c>
      <c r="C58" t="s">
        <v>133</v>
      </c>
      <c r="D58" t="s">
        <v>79</v>
      </c>
      <c r="E58" t="s">
        <v>71</v>
      </c>
      <c r="F58" t="s">
        <v>34</v>
      </c>
      <c r="G58">
        <f>INDEX(Question_Bank!$G$3:$G$14,MATCH(D58,Question_Bank!$A$3:$A$14,0))</f>
        <v>0</v>
      </c>
      <c r="H58">
        <f>IF(F58=G58,1,0)</f>
        <v>0</v>
      </c>
      <c r="I58">
        <f>H58*INDEX(Question_Bank!$M$3:$M$14,MATCH(D58,Question_Bank!$A$3:$A$14,0))</f>
        <v>0</v>
      </c>
      <c r="J58">
        <f>SUMIFS($I$3:$I$566,$A$3:$A$566,A58)</f>
        <v>0</v>
      </c>
      <c r="K58" s="5">
        <f>J58/SUM(Question_Bank!$M$3:$M$14)</f>
        <v>0</v>
      </c>
      <c r="L58" s="5">
        <f>SUMIFS($I$3:$I$566,$A$3:$A$566,A58,$E$3:$E$566,E58)/SUMIFS(Question_Bank!$M$3:$M$14,Question_Bank!$B$3:$B$14,E58)</f>
        <v>0</v>
      </c>
      <c r="M58" t="s">
        <v>142</v>
      </c>
    </row>
    <row r="59" spans="1:13">
      <c r="A59" t="s">
        <v>141</v>
      </c>
      <c r="B59" t="s">
        <v>132</v>
      </c>
      <c r="C59" t="s">
        <v>133</v>
      </c>
      <c r="D59" t="s">
        <v>87</v>
      </c>
      <c r="E59" t="s">
        <v>71</v>
      </c>
      <c r="F59" t="s">
        <v>34</v>
      </c>
      <c r="G59">
        <f>INDEX(Question_Bank!$G$3:$G$14,MATCH(D59,Question_Bank!$A$3:$A$14,0))</f>
        <v>0</v>
      </c>
      <c r="H59">
        <f>IF(F59=G59,1,0)</f>
        <v>0</v>
      </c>
      <c r="I59">
        <f>H59*INDEX(Question_Bank!$M$3:$M$14,MATCH(D59,Question_Bank!$A$3:$A$14,0))</f>
        <v>0</v>
      </c>
      <c r="J59">
        <f>SUMIFS($I$3:$I$566,$A$3:$A$566,A59)</f>
        <v>0</v>
      </c>
      <c r="K59" s="5">
        <f>J59/SUM(Question_Bank!$M$3:$M$14)</f>
        <v>0</v>
      </c>
      <c r="L59" s="5">
        <f>SUMIFS($I$3:$I$566,$A$3:$A$566,A59,$E$3:$E$566,E59)/SUMIFS(Question_Bank!$M$3:$M$14,Question_Bank!$B$3:$B$14,E59)</f>
        <v>0</v>
      </c>
      <c r="M59" t="s">
        <v>142</v>
      </c>
    </row>
    <row r="60" spans="1:13">
      <c r="A60" t="s">
        <v>141</v>
      </c>
      <c r="B60" t="s">
        <v>132</v>
      </c>
      <c r="C60" t="s">
        <v>133</v>
      </c>
      <c r="D60" t="s">
        <v>95</v>
      </c>
      <c r="E60" t="s">
        <v>96</v>
      </c>
      <c r="F60" t="s">
        <v>31</v>
      </c>
      <c r="G60">
        <f>INDEX(Question_Bank!$G$3:$G$14,MATCH(D60,Question_Bank!$A$3:$A$14,0))</f>
        <v>0</v>
      </c>
      <c r="H60">
        <f>IF(F60=G60,1,0)</f>
        <v>0</v>
      </c>
      <c r="I60">
        <f>H60*INDEX(Question_Bank!$M$3:$M$14,MATCH(D60,Question_Bank!$A$3:$A$14,0))</f>
        <v>0</v>
      </c>
      <c r="J60">
        <f>SUMIFS($I$3:$I$566,$A$3:$A$566,A60)</f>
        <v>0</v>
      </c>
      <c r="K60" s="5">
        <f>J60/SUM(Question_Bank!$M$3:$M$14)</f>
        <v>0</v>
      </c>
      <c r="L60" s="5">
        <f>SUMIFS($I$3:$I$566,$A$3:$A$566,A60,$E$3:$E$566,E60)/SUMIFS(Question_Bank!$M$3:$M$14,Question_Bank!$B$3:$B$14,E60)</f>
        <v>0</v>
      </c>
      <c r="M60" t="s">
        <v>142</v>
      </c>
    </row>
    <row r="61" spans="1:13">
      <c r="A61" t="s">
        <v>141</v>
      </c>
      <c r="B61" t="s">
        <v>132</v>
      </c>
      <c r="C61" t="s">
        <v>133</v>
      </c>
      <c r="D61" t="s">
        <v>104</v>
      </c>
      <c r="E61" t="s">
        <v>96</v>
      </c>
      <c r="F61" t="s">
        <v>23</v>
      </c>
      <c r="G61">
        <f>INDEX(Question_Bank!$G$3:$G$14,MATCH(D61,Question_Bank!$A$3:$A$14,0))</f>
        <v>0</v>
      </c>
      <c r="H61">
        <f>IF(F61=G61,1,0)</f>
        <v>0</v>
      </c>
      <c r="I61">
        <f>H61*INDEX(Question_Bank!$M$3:$M$14,MATCH(D61,Question_Bank!$A$3:$A$14,0))</f>
        <v>0</v>
      </c>
      <c r="J61">
        <f>SUMIFS($I$3:$I$566,$A$3:$A$566,A61)</f>
        <v>0</v>
      </c>
      <c r="K61" s="5">
        <f>J61/SUM(Question_Bank!$M$3:$M$14)</f>
        <v>0</v>
      </c>
      <c r="L61" s="5">
        <f>SUMIFS($I$3:$I$566,$A$3:$A$566,A61,$E$3:$E$566,E61)/SUMIFS(Question_Bank!$M$3:$M$14,Question_Bank!$B$3:$B$14,E61)</f>
        <v>0</v>
      </c>
      <c r="M61" t="s">
        <v>142</v>
      </c>
    </row>
    <row r="62" spans="1:13">
      <c r="A62" t="s">
        <v>141</v>
      </c>
      <c r="B62" t="s">
        <v>132</v>
      </c>
      <c r="C62" t="s">
        <v>133</v>
      </c>
      <c r="D62" t="s">
        <v>112</v>
      </c>
      <c r="E62" t="s">
        <v>96</v>
      </c>
      <c r="F62" t="s">
        <v>23</v>
      </c>
      <c r="G62">
        <f>INDEX(Question_Bank!$G$3:$G$14,MATCH(D62,Question_Bank!$A$3:$A$14,0))</f>
        <v>0</v>
      </c>
      <c r="H62">
        <f>IF(F62=G62,1,0)</f>
        <v>0</v>
      </c>
      <c r="I62">
        <f>H62*INDEX(Question_Bank!$M$3:$M$14,MATCH(D62,Question_Bank!$A$3:$A$14,0))</f>
        <v>0</v>
      </c>
      <c r="J62">
        <f>SUMIFS($I$3:$I$566,$A$3:$A$566,A62)</f>
        <v>0</v>
      </c>
      <c r="K62" s="5">
        <f>J62/SUM(Question_Bank!$M$3:$M$14)</f>
        <v>0</v>
      </c>
      <c r="L62" s="5">
        <f>SUMIFS($I$3:$I$566,$A$3:$A$566,A62,$E$3:$E$566,E62)/SUMIFS(Question_Bank!$M$3:$M$14,Question_Bank!$B$3:$B$14,E62)</f>
        <v>0</v>
      </c>
      <c r="M62" t="s">
        <v>142</v>
      </c>
    </row>
    <row r="63" spans="1:13">
      <c r="A63" t="s">
        <v>143</v>
      </c>
      <c r="B63" t="s">
        <v>132</v>
      </c>
      <c r="C63" t="s">
        <v>133</v>
      </c>
      <c r="D63" t="s">
        <v>14</v>
      </c>
      <c r="E63" t="s">
        <v>15</v>
      </c>
      <c r="F63" t="s">
        <v>20</v>
      </c>
      <c r="G63">
        <f>INDEX(Question_Bank!$G$3:$G$14,MATCH(D63,Question_Bank!$A$3:$A$14,0))</f>
        <v>0</v>
      </c>
      <c r="H63">
        <f>IF(F63=G63,1,0)</f>
        <v>0</v>
      </c>
      <c r="I63">
        <f>H63*INDEX(Question_Bank!$M$3:$M$14,MATCH(D63,Question_Bank!$A$3:$A$14,0))</f>
        <v>0</v>
      </c>
      <c r="J63">
        <f>SUMIFS($I$3:$I$566,$A$3:$A$566,A63)</f>
        <v>0</v>
      </c>
      <c r="K63" s="5">
        <f>J63/SUM(Question_Bank!$M$3:$M$14)</f>
        <v>0</v>
      </c>
      <c r="L63" s="5">
        <f>SUMIFS($I$3:$I$566,$A$3:$A$566,A63,$E$3:$E$566,E63)/SUMIFS(Question_Bank!$M$3:$M$14,Question_Bank!$B$3:$B$14,E63)</f>
        <v>0</v>
      </c>
      <c r="M63" t="s">
        <v>144</v>
      </c>
    </row>
    <row r="64" spans="1:13">
      <c r="A64" t="s">
        <v>143</v>
      </c>
      <c r="B64" t="s">
        <v>132</v>
      </c>
      <c r="C64" t="s">
        <v>133</v>
      </c>
      <c r="D64" t="s">
        <v>26</v>
      </c>
      <c r="E64" t="s">
        <v>15</v>
      </c>
      <c r="F64" t="s">
        <v>31</v>
      </c>
      <c r="G64">
        <f>INDEX(Question_Bank!$G$3:$G$14,MATCH(D64,Question_Bank!$A$3:$A$14,0))</f>
        <v>0</v>
      </c>
      <c r="H64">
        <f>IF(F64=G64,1,0)</f>
        <v>0</v>
      </c>
      <c r="I64">
        <f>H64*INDEX(Question_Bank!$M$3:$M$14,MATCH(D64,Question_Bank!$A$3:$A$14,0))</f>
        <v>0</v>
      </c>
      <c r="J64">
        <f>SUMIFS($I$3:$I$566,$A$3:$A$566,A64)</f>
        <v>0</v>
      </c>
      <c r="K64" s="5">
        <f>J64/SUM(Question_Bank!$M$3:$M$14)</f>
        <v>0</v>
      </c>
      <c r="L64" s="5">
        <f>SUMIFS($I$3:$I$566,$A$3:$A$566,A64,$E$3:$E$566,E64)/SUMIFS(Question_Bank!$M$3:$M$14,Question_Bank!$B$3:$B$14,E64)</f>
        <v>0</v>
      </c>
      <c r="M64" t="s">
        <v>144</v>
      </c>
    </row>
    <row r="65" spans="1:13">
      <c r="A65" t="s">
        <v>143</v>
      </c>
      <c r="B65" t="s">
        <v>132</v>
      </c>
      <c r="C65" t="s">
        <v>133</v>
      </c>
      <c r="D65" t="s">
        <v>37</v>
      </c>
      <c r="E65" t="s">
        <v>15</v>
      </c>
      <c r="F65" t="s">
        <v>23</v>
      </c>
      <c r="G65">
        <f>INDEX(Question_Bank!$G$3:$G$14,MATCH(D65,Question_Bank!$A$3:$A$14,0))</f>
        <v>0</v>
      </c>
      <c r="H65">
        <f>IF(F65=G65,1,0)</f>
        <v>0</v>
      </c>
      <c r="I65">
        <f>H65*INDEX(Question_Bank!$M$3:$M$14,MATCH(D65,Question_Bank!$A$3:$A$14,0))</f>
        <v>0</v>
      </c>
      <c r="J65">
        <f>SUMIFS($I$3:$I$566,$A$3:$A$566,A65)</f>
        <v>0</v>
      </c>
      <c r="K65" s="5">
        <f>J65/SUM(Question_Bank!$M$3:$M$14)</f>
        <v>0</v>
      </c>
      <c r="L65" s="5">
        <f>SUMIFS($I$3:$I$566,$A$3:$A$566,A65,$E$3:$E$566,E65)/SUMIFS(Question_Bank!$M$3:$M$14,Question_Bank!$B$3:$B$14,E65)</f>
        <v>0</v>
      </c>
      <c r="M65" t="s">
        <v>144</v>
      </c>
    </row>
    <row r="66" spans="1:13">
      <c r="A66" t="s">
        <v>143</v>
      </c>
      <c r="B66" t="s">
        <v>132</v>
      </c>
      <c r="C66" t="s">
        <v>133</v>
      </c>
      <c r="D66" t="s">
        <v>45</v>
      </c>
      <c r="E66" t="s">
        <v>46</v>
      </c>
      <c r="F66" t="s">
        <v>34</v>
      </c>
      <c r="G66">
        <f>INDEX(Question_Bank!$G$3:$G$14,MATCH(D66,Question_Bank!$A$3:$A$14,0))</f>
        <v>0</v>
      </c>
      <c r="H66">
        <f>IF(F66=G66,1,0)</f>
        <v>0</v>
      </c>
      <c r="I66">
        <f>H66*INDEX(Question_Bank!$M$3:$M$14,MATCH(D66,Question_Bank!$A$3:$A$14,0))</f>
        <v>0</v>
      </c>
      <c r="J66">
        <f>SUMIFS($I$3:$I$566,$A$3:$A$566,A66)</f>
        <v>0</v>
      </c>
      <c r="K66" s="5">
        <f>J66/SUM(Question_Bank!$M$3:$M$14)</f>
        <v>0</v>
      </c>
      <c r="L66" s="5">
        <f>SUMIFS($I$3:$I$566,$A$3:$A$566,A66,$E$3:$E$566,E66)/SUMIFS(Question_Bank!$M$3:$M$14,Question_Bank!$B$3:$B$14,E66)</f>
        <v>0</v>
      </c>
      <c r="M66" t="s">
        <v>144</v>
      </c>
    </row>
    <row r="67" spans="1:13">
      <c r="A67" t="s">
        <v>143</v>
      </c>
      <c r="B67" t="s">
        <v>132</v>
      </c>
      <c r="C67" t="s">
        <v>133</v>
      </c>
      <c r="D67" t="s">
        <v>54</v>
      </c>
      <c r="E67" t="s">
        <v>46</v>
      </c>
      <c r="F67" t="s">
        <v>20</v>
      </c>
      <c r="G67">
        <f>INDEX(Question_Bank!$G$3:$G$14,MATCH(D67,Question_Bank!$A$3:$A$14,0))</f>
        <v>0</v>
      </c>
      <c r="H67">
        <f>IF(F67=G67,1,0)</f>
        <v>0</v>
      </c>
      <c r="I67">
        <f>H67*INDEX(Question_Bank!$M$3:$M$14,MATCH(D67,Question_Bank!$A$3:$A$14,0))</f>
        <v>0</v>
      </c>
      <c r="J67">
        <f>SUMIFS($I$3:$I$566,$A$3:$A$566,A67)</f>
        <v>0</v>
      </c>
      <c r="K67" s="5">
        <f>J67/SUM(Question_Bank!$M$3:$M$14)</f>
        <v>0</v>
      </c>
      <c r="L67" s="5">
        <f>SUMIFS($I$3:$I$566,$A$3:$A$566,A67,$E$3:$E$566,E67)/SUMIFS(Question_Bank!$M$3:$M$14,Question_Bank!$B$3:$B$14,E67)</f>
        <v>0</v>
      </c>
      <c r="M67" t="s">
        <v>144</v>
      </c>
    </row>
    <row r="68" spans="1:13">
      <c r="A68" t="s">
        <v>143</v>
      </c>
      <c r="B68" t="s">
        <v>132</v>
      </c>
      <c r="C68" t="s">
        <v>133</v>
      </c>
      <c r="D68" t="s">
        <v>62</v>
      </c>
      <c r="E68" t="s">
        <v>46</v>
      </c>
      <c r="F68" t="s">
        <v>31</v>
      </c>
      <c r="G68">
        <f>INDEX(Question_Bank!$G$3:$G$14,MATCH(D68,Question_Bank!$A$3:$A$14,0))</f>
        <v>0</v>
      </c>
      <c r="H68">
        <f>IF(F68=G68,1,0)</f>
        <v>0</v>
      </c>
      <c r="I68">
        <f>H68*INDEX(Question_Bank!$M$3:$M$14,MATCH(D68,Question_Bank!$A$3:$A$14,0))</f>
        <v>0</v>
      </c>
      <c r="J68">
        <f>SUMIFS($I$3:$I$566,$A$3:$A$566,A68)</f>
        <v>0</v>
      </c>
      <c r="K68" s="5">
        <f>J68/SUM(Question_Bank!$M$3:$M$14)</f>
        <v>0</v>
      </c>
      <c r="L68" s="5">
        <f>SUMIFS($I$3:$I$566,$A$3:$A$566,A68,$E$3:$E$566,E68)/SUMIFS(Question_Bank!$M$3:$M$14,Question_Bank!$B$3:$B$14,E68)</f>
        <v>0</v>
      </c>
      <c r="M68" t="s">
        <v>144</v>
      </c>
    </row>
    <row r="69" spans="1:13">
      <c r="A69" t="s">
        <v>143</v>
      </c>
      <c r="B69" t="s">
        <v>132</v>
      </c>
      <c r="C69" t="s">
        <v>133</v>
      </c>
      <c r="D69" t="s">
        <v>70</v>
      </c>
      <c r="E69" t="s">
        <v>71</v>
      </c>
      <c r="F69" t="s">
        <v>31</v>
      </c>
      <c r="G69">
        <f>INDEX(Question_Bank!$G$3:$G$14,MATCH(D69,Question_Bank!$A$3:$A$14,0))</f>
        <v>0</v>
      </c>
      <c r="H69">
        <f>IF(F69=G69,1,0)</f>
        <v>0</v>
      </c>
      <c r="I69">
        <f>H69*INDEX(Question_Bank!$M$3:$M$14,MATCH(D69,Question_Bank!$A$3:$A$14,0))</f>
        <v>0</v>
      </c>
      <c r="J69">
        <f>SUMIFS($I$3:$I$566,$A$3:$A$566,A69)</f>
        <v>0</v>
      </c>
      <c r="K69" s="5">
        <f>J69/SUM(Question_Bank!$M$3:$M$14)</f>
        <v>0</v>
      </c>
      <c r="L69" s="5">
        <f>SUMIFS($I$3:$I$566,$A$3:$A$566,A69,$E$3:$E$566,E69)/SUMIFS(Question_Bank!$M$3:$M$14,Question_Bank!$B$3:$B$14,E69)</f>
        <v>0</v>
      </c>
      <c r="M69" t="s">
        <v>144</v>
      </c>
    </row>
    <row r="70" spans="1:13">
      <c r="A70" t="s">
        <v>143</v>
      </c>
      <c r="B70" t="s">
        <v>132</v>
      </c>
      <c r="C70" t="s">
        <v>133</v>
      </c>
      <c r="D70" t="s">
        <v>79</v>
      </c>
      <c r="E70" t="s">
        <v>71</v>
      </c>
      <c r="F70" t="s">
        <v>34</v>
      </c>
      <c r="G70">
        <f>INDEX(Question_Bank!$G$3:$G$14,MATCH(D70,Question_Bank!$A$3:$A$14,0))</f>
        <v>0</v>
      </c>
      <c r="H70">
        <f>IF(F70=G70,1,0)</f>
        <v>0</v>
      </c>
      <c r="I70">
        <f>H70*INDEX(Question_Bank!$M$3:$M$14,MATCH(D70,Question_Bank!$A$3:$A$14,0))</f>
        <v>0</v>
      </c>
      <c r="J70">
        <f>SUMIFS($I$3:$I$566,$A$3:$A$566,A70)</f>
        <v>0</v>
      </c>
      <c r="K70" s="5">
        <f>J70/SUM(Question_Bank!$M$3:$M$14)</f>
        <v>0</v>
      </c>
      <c r="L70" s="5">
        <f>SUMIFS($I$3:$I$566,$A$3:$A$566,A70,$E$3:$E$566,E70)/SUMIFS(Question_Bank!$M$3:$M$14,Question_Bank!$B$3:$B$14,E70)</f>
        <v>0</v>
      </c>
      <c r="M70" t="s">
        <v>144</v>
      </c>
    </row>
    <row r="71" spans="1:13">
      <c r="A71" t="s">
        <v>143</v>
      </c>
      <c r="B71" t="s">
        <v>132</v>
      </c>
      <c r="C71" t="s">
        <v>133</v>
      </c>
      <c r="D71" t="s">
        <v>87</v>
      </c>
      <c r="E71" t="s">
        <v>71</v>
      </c>
      <c r="F71" t="s">
        <v>20</v>
      </c>
      <c r="G71">
        <f>INDEX(Question_Bank!$G$3:$G$14,MATCH(D71,Question_Bank!$A$3:$A$14,0))</f>
        <v>0</v>
      </c>
      <c r="H71">
        <f>IF(F71=G71,1,0)</f>
        <v>0</v>
      </c>
      <c r="I71">
        <f>H71*INDEX(Question_Bank!$M$3:$M$14,MATCH(D71,Question_Bank!$A$3:$A$14,0))</f>
        <v>0</v>
      </c>
      <c r="J71">
        <f>SUMIFS($I$3:$I$566,$A$3:$A$566,A71)</f>
        <v>0</v>
      </c>
      <c r="K71" s="5">
        <f>J71/SUM(Question_Bank!$M$3:$M$14)</f>
        <v>0</v>
      </c>
      <c r="L71" s="5">
        <f>SUMIFS($I$3:$I$566,$A$3:$A$566,A71,$E$3:$E$566,E71)/SUMIFS(Question_Bank!$M$3:$M$14,Question_Bank!$B$3:$B$14,E71)</f>
        <v>0</v>
      </c>
      <c r="M71" t="s">
        <v>144</v>
      </c>
    </row>
    <row r="72" spans="1:13">
      <c r="A72" t="s">
        <v>143</v>
      </c>
      <c r="B72" t="s">
        <v>132</v>
      </c>
      <c r="C72" t="s">
        <v>133</v>
      </c>
      <c r="D72" t="s">
        <v>95</v>
      </c>
      <c r="E72" t="s">
        <v>96</v>
      </c>
      <c r="F72" t="s">
        <v>31</v>
      </c>
      <c r="G72">
        <f>INDEX(Question_Bank!$G$3:$G$14,MATCH(D72,Question_Bank!$A$3:$A$14,0))</f>
        <v>0</v>
      </c>
      <c r="H72">
        <f>IF(F72=G72,1,0)</f>
        <v>0</v>
      </c>
      <c r="I72">
        <f>H72*INDEX(Question_Bank!$M$3:$M$14,MATCH(D72,Question_Bank!$A$3:$A$14,0))</f>
        <v>0</v>
      </c>
      <c r="J72">
        <f>SUMIFS($I$3:$I$566,$A$3:$A$566,A72)</f>
        <v>0</v>
      </c>
      <c r="K72" s="5">
        <f>J72/SUM(Question_Bank!$M$3:$M$14)</f>
        <v>0</v>
      </c>
      <c r="L72" s="5">
        <f>SUMIFS($I$3:$I$566,$A$3:$A$566,A72,$E$3:$E$566,E72)/SUMIFS(Question_Bank!$M$3:$M$14,Question_Bank!$B$3:$B$14,E72)</f>
        <v>0</v>
      </c>
      <c r="M72" t="s">
        <v>144</v>
      </c>
    </row>
    <row r="73" spans="1:13">
      <c r="A73" t="s">
        <v>143</v>
      </c>
      <c r="B73" t="s">
        <v>132</v>
      </c>
      <c r="C73" t="s">
        <v>133</v>
      </c>
      <c r="D73" t="s">
        <v>104</v>
      </c>
      <c r="E73" t="s">
        <v>96</v>
      </c>
      <c r="F73" t="s">
        <v>23</v>
      </c>
      <c r="G73">
        <f>INDEX(Question_Bank!$G$3:$G$14,MATCH(D73,Question_Bank!$A$3:$A$14,0))</f>
        <v>0</v>
      </c>
      <c r="H73">
        <f>IF(F73=G73,1,0)</f>
        <v>0</v>
      </c>
      <c r="I73">
        <f>H73*INDEX(Question_Bank!$M$3:$M$14,MATCH(D73,Question_Bank!$A$3:$A$14,0))</f>
        <v>0</v>
      </c>
      <c r="J73">
        <f>SUMIFS($I$3:$I$566,$A$3:$A$566,A73)</f>
        <v>0</v>
      </c>
      <c r="K73" s="5">
        <f>J73/SUM(Question_Bank!$M$3:$M$14)</f>
        <v>0</v>
      </c>
      <c r="L73" s="5">
        <f>SUMIFS($I$3:$I$566,$A$3:$A$566,A73,$E$3:$E$566,E73)/SUMIFS(Question_Bank!$M$3:$M$14,Question_Bank!$B$3:$B$14,E73)</f>
        <v>0</v>
      </c>
      <c r="M73" t="s">
        <v>144</v>
      </c>
    </row>
    <row r="74" spans="1:13">
      <c r="A74" t="s">
        <v>143</v>
      </c>
      <c r="B74" t="s">
        <v>132</v>
      </c>
      <c r="C74" t="s">
        <v>133</v>
      </c>
      <c r="D74" t="s">
        <v>112</v>
      </c>
      <c r="E74" t="s">
        <v>96</v>
      </c>
      <c r="F74" t="s">
        <v>31</v>
      </c>
      <c r="G74">
        <f>INDEX(Question_Bank!$G$3:$G$14,MATCH(D74,Question_Bank!$A$3:$A$14,0))</f>
        <v>0</v>
      </c>
      <c r="H74">
        <f>IF(F74=G74,1,0)</f>
        <v>0</v>
      </c>
      <c r="I74">
        <f>H74*INDEX(Question_Bank!$M$3:$M$14,MATCH(D74,Question_Bank!$A$3:$A$14,0))</f>
        <v>0</v>
      </c>
      <c r="J74">
        <f>SUMIFS($I$3:$I$566,$A$3:$A$566,A74)</f>
        <v>0</v>
      </c>
      <c r="K74" s="5">
        <f>J74/SUM(Question_Bank!$M$3:$M$14)</f>
        <v>0</v>
      </c>
      <c r="L74" s="5">
        <f>SUMIFS($I$3:$I$566,$A$3:$A$566,A74,$E$3:$E$566,E74)/SUMIFS(Question_Bank!$M$3:$M$14,Question_Bank!$B$3:$B$14,E74)</f>
        <v>0</v>
      </c>
      <c r="M74" t="s">
        <v>144</v>
      </c>
    </row>
    <row r="75" spans="1:13">
      <c r="A75" t="s">
        <v>145</v>
      </c>
      <c r="B75" t="s">
        <v>132</v>
      </c>
      <c r="C75" t="s">
        <v>133</v>
      </c>
      <c r="D75" t="s">
        <v>14</v>
      </c>
      <c r="E75" t="s">
        <v>15</v>
      </c>
      <c r="F75" t="s">
        <v>34</v>
      </c>
      <c r="G75">
        <f>INDEX(Question_Bank!$G$3:$G$14,MATCH(D75,Question_Bank!$A$3:$A$14,0))</f>
        <v>0</v>
      </c>
      <c r="H75">
        <f>IF(F75=G75,1,0)</f>
        <v>0</v>
      </c>
      <c r="I75">
        <f>H75*INDEX(Question_Bank!$M$3:$M$14,MATCH(D75,Question_Bank!$A$3:$A$14,0))</f>
        <v>0</v>
      </c>
      <c r="J75">
        <f>SUMIFS($I$3:$I$566,$A$3:$A$566,A75)</f>
        <v>0</v>
      </c>
      <c r="K75" s="5">
        <f>J75/SUM(Question_Bank!$M$3:$M$14)</f>
        <v>0</v>
      </c>
      <c r="L75" s="5">
        <f>SUMIFS($I$3:$I$566,$A$3:$A$566,A75,$E$3:$E$566,E75)/SUMIFS(Question_Bank!$M$3:$M$14,Question_Bank!$B$3:$B$14,E75)</f>
        <v>0</v>
      </c>
      <c r="M75" t="s">
        <v>146</v>
      </c>
    </row>
    <row r="76" spans="1:13">
      <c r="A76" t="s">
        <v>145</v>
      </c>
      <c r="B76" t="s">
        <v>132</v>
      </c>
      <c r="C76" t="s">
        <v>133</v>
      </c>
      <c r="D76" t="s">
        <v>26</v>
      </c>
      <c r="E76" t="s">
        <v>15</v>
      </c>
      <c r="F76" t="s">
        <v>31</v>
      </c>
      <c r="G76">
        <f>INDEX(Question_Bank!$G$3:$G$14,MATCH(D76,Question_Bank!$A$3:$A$14,0))</f>
        <v>0</v>
      </c>
      <c r="H76">
        <f>IF(F76=G76,1,0)</f>
        <v>0</v>
      </c>
      <c r="I76">
        <f>H76*INDEX(Question_Bank!$M$3:$M$14,MATCH(D76,Question_Bank!$A$3:$A$14,0))</f>
        <v>0</v>
      </c>
      <c r="J76">
        <f>SUMIFS($I$3:$I$566,$A$3:$A$566,A76)</f>
        <v>0</v>
      </c>
      <c r="K76" s="5">
        <f>J76/SUM(Question_Bank!$M$3:$M$14)</f>
        <v>0</v>
      </c>
      <c r="L76" s="5">
        <f>SUMIFS($I$3:$I$566,$A$3:$A$566,A76,$E$3:$E$566,E76)/SUMIFS(Question_Bank!$M$3:$M$14,Question_Bank!$B$3:$B$14,E76)</f>
        <v>0</v>
      </c>
      <c r="M76" t="s">
        <v>146</v>
      </c>
    </row>
    <row r="77" spans="1:13">
      <c r="A77" t="s">
        <v>145</v>
      </c>
      <c r="B77" t="s">
        <v>132</v>
      </c>
      <c r="C77" t="s">
        <v>133</v>
      </c>
      <c r="D77" t="s">
        <v>37</v>
      </c>
      <c r="E77" t="s">
        <v>15</v>
      </c>
      <c r="F77" t="s">
        <v>31</v>
      </c>
      <c r="G77">
        <f>INDEX(Question_Bank!$G$3:$G$14,MATCH(D77,Question_Bank!$A$3:$A$14,0))</f>
        <v>0</v>
      </c>
      <c r="H77">
        <f>IF(F77=G77,1,0)</f>
        <v>0</v>
      </c>
      <c r="I77">
        <f>H77*INDEX(Question_Bank!$M$3:$M$14,MATCH(D77,Question_Bank!$A$3:$A$14,0))</f>
        <v>0</v>
      </c>
      <c r="J77">
        <f>SUMIFS($I$3:$I$566,$A$3:$A$566,A77)</f>
        <v>0</v>
      </c>
      <c r="K77" s="5">
        <f>J77/SUM(Question_Bank!$M$3:$M$14)</f>
        <v>0</v>
      </c>
      <c r="L77" s="5">
        <f>SUMIFS($I$3:$I$566,$A$3:$A$566,A77,$E$3:$E$566,E77)/SUMIFS(Question_Bank!$M$3:$M$14,Question_Bank!$B$3:$B$14,E77)</f>
        <v>0</v>
      </c>
      <c r="M77" t="s">
        <v>146</v>
      </c>
    </row>
    <row r="78" spans="1:13">
      <c r="A78" t="s">
        <v>145</v>
      </c>
      <c r="B78" t="s">
        <v>132</v>
      </c>
      <c r="C78" t="s">
        <v>133</v>
      </c>
      <c r="D78" t="s">
        <v>45</v>
      </c>
      <c r="E78" t="s">
        <v>46</v>
      </c>
      <c r="F78" t="s">
        <v>31</v>
      </c>
      <c r="G78">
        <f>INDEX(Question_Bank!$G$3:$G$14,MATCH(D78,Question_Bank!$A$3:$A$14,0))</f>
        <v>0</v>
      </c>
      <c r="H78">
        <f>IF(F78=G78,1,0)</f>
        <v>0</v>
      </c>
      <c r="I78">
        <f>H78*INDEX(Question_Bank!$M$3:$M$14,MATCH(D78,Question_Bank!$A$3:$A$14,0))</f>
        <v>0</v>
      </c>
      <c r="J78">
        <f>SUMIFS($I$3:$I$566,$A$3:$A$566,A78)</f>
        <v>0</v>
      </c>
      <c r="K78" s="5">
        <f>J78/SUM(Question_Bank!$M$3:$M$14)</f>
        <v>0</v>
      </c>
      <c r="L78" s="5">
        <f>SUMIFS($I$3:$I$566,$A$3:$A$566,A78,$E$3:$E$566,E78)/SUMIFS(Question_Bank!$M$3:$M$14,Question_Bank!$B$3:$B$14,E78)</f>
        <v>0</v>
      </c>
      <c r="M78" t="s">
        <v>146</v>
      </c>
    </row>
    <row r="79" spans="1:13">
      <c r="A79" t="s">
        <v>145</v>
      </c>
      <c r="B79" t="s">
        <v>132</v>
      </c>
      <c r="C79" t="s">
        <v>133</v>
      </c>
      <c r="D79" t="s">
        <v>54</v>
      </c>
      <c r="E79" t="s">
        <v>46</v>
      </c>
      <c r="F79" t="s">
        <v>34</v>
      </c>
      <c r="G79">
        <f>INDEX(Question_Bank!$G$3:$G$14,MATCH(D79,Question_Bank!$A$3:$A$14,0))</f>
        <v>0</v>
      </c>
      <c r="H79">
        <f>IF(F79=G79,1,0)</f>
        <v>0</v>
      </c>
      <c r="I79">
        <f>H79*INDEX(Question_Bank!$M$3:$M$14,MATCH(D79,Question_Bank!$A$3:$A$14,0))</f>
        <v>0</v>
      </c>
      <c r="J79">
        <f>SUMIFS($I$3:$I$566,$A$3:$A$566,A79)</f>
        <v>0</v>
      </c>
      <c r="K79" s="5">
        <f>J79/SUM(Question_Bank!$M$3:$M$14)</f>
        <v>0</v>
      </c>
      <c r="L79" s="5">
        <f>SUMIFS($I$3:$I$566,$A$3:$A$566,A79,$E$3:$E$566,E79)/SUMIFS(Question_Bank!$M$3:$M$14,Question_Bank!$B$3:$B$14,E79)</f>
        <v>0</v>
      </c>
      <c r="M79" t="s">
        <v>146</v>
      </c>
    </row>
    <row r="80" spans="1:13">
      <c r="A80" t="s">
        <v>145</v>
      </c>
      <c r="B80" t="s">
        <v>132</v>
      </c>
      <c r="C80" t="s">
        <v>133</v>
      </c>
      <c r="D80" t="s">
        <v>62</v>
      </c>
      <c r="E80" t="s">
        <v>46</v>
      </c>
      <c r="F80" t="s">
        <v>23</v>
      </c>
      <c r="G80">
        <f>INDEX(Question_Bank!$G$3:$G$14,MATCH(D80,Question_Bank!$A$3:$A$14,0))</f>
        <v>0</v>
      </c>
      <c r="H80">
        <f>IF(F80=G80,1,0)</f>
        <v>0</v>
      </c>
      <c r="I80">
        <f>H80*INDEX(Question_Bank!$M$3:$M$14,MATCH(D80,Question_Bank!$A$3:$A$14,0))</f>
        <v>0</v>
      </c>
      <c r="J80">
        <f>SUMIFS($I$3:$I$566,$A$3:$A$566,A80)</f>
        <v>0</v>
      </c>
      <c r="K80" s="5">
        <f>J80/SUM(Question_Bank!$M$3:$M$14)</f>
        <v>0</v>
      </c>
      <c r="L80" s="5">
        <f>SUMIFS($I$3:$I$566,$A$3:$A$566,A80,$E$3:$E$566,E80)/SUMIFS(Question_Bank!$M$3:$M$14,Question_Bank!$B$3:$B$14,E80)</f>
        <v>0</v>
      </c>
      <c r="M80" t="s">
        <v>146</v>
      </c>
    </row>
    <row r="81" spans="1:13">
      <c r="A81" t="s">
        <v>145</v>
      </c>
      <c r="B81" t="s">
        <v>132</v>
      </c>
      <c r="C81" t="s">
        <v>133</v>
      </c>
      <c r="D81" t="s">
        <v>70</v>
      </c>
      <c r="E81" t="s">
        <v>71</v>
      </c>
      <c r="F81" t="s">
        <v>31</v>
      </c>
      <c r="G81">
        <f>INDEX(Question_Bank!$G$3:$G$14,MATCH(D81,Question_Bank!$A$3:$A$14,0))</f>
        <v>0</v>
      </c>
      <c r="H81">
        <f>IF(F81=G81,1,0)</f>
        <v>0</v>
      </c>
      <c r="I81">
        <f>H81*INDEX(Question_Bank!$M$3:$M$14,MATCH(D81,Question_Bank!$A$3:$A$14,0))</f>
        <v>0</v>
      </c>
      <c r="J81">
        <f>SUMIFS($I$3:$I$566,$A$3:$A$566,A81)</f>
        <v>0</v>
      </c>
      <c r="K81" s="5">
        <f>J81/SUM(Question_Bank!$M$3:$M$14)</f>
        <v>0</v>
      </c>
      <c r="L81" s="5">
        <f>SUMIFS($I$3:$I$566,$A$3:$A$566,A81,$E$3:$E$566,E81)/SUMIFS(Question_Bank!$M$3:$M$14,Question_Bank!$B$3:$B$14,E81)</f>
        <v>0</v>
      </c>
      <c r="M81" t="s">
        <v>146</v>
      </c>
    </row>
    <row r="82" spans="1:13">
      <c r="A82" t="s">
        <v>145</v>
      </c>
      <c r="B82" t="s">
        <v>132</v>
      </c>
      <c r="C82" t="s">
        <v>133</v>
      </c>
      <c r="D82" t="s">
        <v>79</v>
      </c>
      <c r="E82" t="s">
        <v>71</v>
      </c>
      <c r="F82" t="s">
        <v>20</v>
      </c>
      <c r="G82">
        <f>INDEX(Question_Bank!$G$3:$G$14,MATCH(D82,Question_Bank!$A$3:$A$14,0))</f>
        <v>0</v>
      </c>
      <c r="H82">
        <f>IF(F82=G82,1,0)</f>
        <v>0</v>
      </c>
      <c r="I82">
        <f>H82*INDEX(Question_Bank!$M$3:$M$14,MATCH(D82,Question_Bank!$A$3:$A$14,0))</f>
        <v>0</v>
      </c>
      <c r="J82">
        <f>SUMIFS($I$3:$I$566,$A$3:$A$566,A82)</f>
        <v>0</v>
      </c>
      <c r="K82" s="5">
        <f>J82/SUM(Question_Bank!$M$3:$M$14)</f>
        <v>0</v>
      </c>
      <c r="L82" s="5">
        <f>SUMIFS($I$3:$I$566,$A$3:$A$566,A82,$E$3:$E$566,E82)/SUMIFS(Question_Bank!$M$3:$M$14,Question_Bank!$B$3:$B$14,E82)</f>
        <v>0</v>
      </c>
      <c r="M82" t="s">
        <v>146</v>
      </c>
    </row>
    <row r="83" spans="1:13">
      <c r="A83" t="s">
        <v>145</v>
      </c>
      <c r="B83" t="s">
        <v>132</v>
      </c>
      <c r="C83" t="s">
        <v>133</v>
      </c>
      <c r="D83" t="s">
        <v>87</v>
      </c>
      <c r="E83" t="s">
        <v>71</v>
      </c>
      <c r="F83" t="s">
        <v>31</v>
      </c>
      <c r="G83">
        <f>INDEX(Question_Bank!$G$3:$G$14,MATCH(D83,Question_Bank!$A$3:$A$14,0))</f>
        <v>0</v>
      </c>
      <c r="H83">
        <f>IF(F83=G83,1,0)</f>
        <v>0</v>
      </c>
      <c r="I83">
        <f>H83*INDEX(Question_Bank!$M$3:$M$14,MATCH(D83,Question_Bank!$A$3:$A$14,0))</f>
        <v>0</v>
      </c>
      <c r="J83">
        <f>SUMIFS($I$3:$I$566,$A$3:$A$566,A83)</f>
        <v>0</v>
      </c>
      <c r="K83" s="5">
        <f>J83/SUM(Question_Bank!$M$3:$M$14)</f>
        <v>0</v>
      </c>
      <c r="L83" s="5">
        <f>SUMIFS($I$3:$I$566,$A$3:$A$566,A83,$E$3:$E$566,E83)/SUMIFS(Question_Bank!$M$3:$M$14,Question_Bank!$B$3:$B$14,E83)</f>
        <v>0</v>
      </c>
      <c r="M83" t="s">
        <v>146</v>
      </c>
    </row>
    <row r="84" spans="1:13">
      <c r="A84" t="s">
        <v>145</v>
      </c>
      <c r="B84" t="s">
        <v>132</v>
      </c>
      <c r="C84" t="s">
        <v>133</v>
      </c>
      <c r="D84" t="s">
        <v>95</v>
      </c>
      <c r="E84" t="s">
        <v>96</v>
      </c>
      <c r="F84" t="s">
        <v>20</v>
      </c>
      <c r="G84">
        <f>INDEX(Question_Bank!$G$3:$G$14,MATCH(D84,Question_Bank!$A$3:$A$14,0))</f>
        <v>0</v>
      </c>
      <c r="H84">
        <f>IF(F84=G84,1,0)</f>
        <v>0</v>
      </c>
      <c r="I84">
        <f>H84*INDEX(Question_Bank!$M$3:$M$14,MATCH(D84,Question_Bank!$A$3:$A$14,0))</f>
        <v>0</v>
      </c>
      <c r="J84">
        <f>SUMIFS($I$3:$I$566,$A$3:$A$566,A84)</f>
        <v>0</v>
      </c>
      <c r="K84" s="5">
        <f>J84/SUM(Question_Bank!$M$3:$M$14)</f>
        <v>0</v>
      </c>
      <c r="L84" s="5">
        <f>SUMIFS($I$3:$I$566,$A$3:$A$566,A84,$E$3:$E$566,E84)/SUMIFS(Question_Bank!$M$3:$M$14,Question_Bank!$B$3:$B$14,E84)</f>
        <v>0</v>
      </c>
      <c r="M84" t="s">
        <v>146</v>
      </c>
    </row>
    <row r="85" spans="1:13">
      <c r="A85" t="s">
        <v>145</v>
      </c>
      <c r="B85" t="s">
        <v>132</v>
      </c>
      <c r="C85" t="s">
        <v>133</v>
      </c>
      <c r="D85" t="s">
        <v>104</v>
      </c>
      <c r="E85" t="s">
        <v>96</v>
      </c>
      <c r="F85" t="s">
        <v>31</v>
      </c>
      <c r="G85">
        <f>INDEX(Question_Bank!$G$3:$G$14,MATCH(D85,Question_Bank!$A$3:$A$14,0))</f>
        <v>0</v>
      </c>
      <c r="H85">
        <f>IF(F85=G85,1,0)</f>
        <v>0</v>
      </c>
      <c r="I85">
        <f>H85*INDEX(Question_Bank!$M$3:$M$14,MATCH(D85,Question_Bank!$A$3:$A$14,0))</f>
        <v>0</v>
      </c>
      <c r="J85">
        <f>SUMIFS($I$3:$I$566,$A$3:$A$566,A85)</f>
        <v>0</v>
      </c>
      <c r="K85" s="5">
        <f>J85/SUM(Question_Bank!$M$3:$M$14)</f>
        <v>0</v>
      </c>
      <c r="L85" s="5">
        <f>SUMIFS($I$3:$I$566,$A$3:$A$566,A85,$E$3:$E$566,E85)/SUMIFS(Question_Bank!$M$3:$M$14,Question_Bank!$B$3:$B$14,E85)</f>
        <v>0</v>
      </c>
      <c r="M85" t="s">
        <v>146</v>
      </c>
    </row>
    <row r="86" spans="1:13">
      <c r="A86" t="s">
        <v>145</v>
      </c>
      <c r="B86" t="s">
        <v>132</v>
      </c>
      <c r="C86" t="s">
        <v>133</v>
      </c>
      <c r="D86" t="s">
        <v>112</v>
      </c>
      <c r="E86" t="s">
        <v>96</v>
      </c>
      <c r="F86" t="s">
        <v>20</v>
      </c>
      <c r="G86">
        <f>INDEX(Question_Bank!$G$3:$G$14,MATCH(D86,Question_Bank!$A$3:$A$14,0))</f>
        <v>0</v>
      </c>
      <c r="H86">
        <f>IF(F86=G86,1,0)</f>
        <v>0</v>
      </c>
      <c r="I86">
        <f>H86*INDEX(Question_Bank!$M$3:$M$14,MATCH(D86,Question_Bank!$A$3:$A$14,0))</f>
        <v>0</v>
      </c>
      <c r="J86">
        <f>SUMIFS($I$3:$I$566,$A$3:$A$566,A86)</f>
        <v>0</v>
      </c>
      <c r="K86" s="5">
        <f>J86/SUM(Question_Bank!$M$3:$M$14)</f>
        <v>0</v>
      </c>
      <c r="L86" s="5">
        <f>SUMIFS($I$3:$I$566,$A$3:$A$566,A86,$E$3:$E$566,E86)/SUMIFS(Question_Bank!$M$3:$M$14,Question_Bank!$B$3:$B$14,E86)</f>
        <v>0</v>
      </c>
      <c r="M86" t="s">
        <v>146</v>
      </c>
    </row>
    <row r="87" spans="1:13">
      <c r="A87" t="s">
        <v>147</v>
      </c>
      <c r="B87" t="s">
        <v>132</v>
      </c>
      <c r="C87" t="s">
        <v>133</v>
      </c>
      <c r="D87" t="s">
        <v>14</v>
      </c>
      <c r="E87" t="s">
        <v>15</v>
      </c>
      <c r="F87" t="s">
        <v>31</v>
      </c>
      <c r="G87">
        <f>INDEX(Question_Bank!$G$3:$G$14,MATCH(D87,Question_Bank!$A$3:$A$14,0))</f>
        <v>0</v>
      </c>
      <c r="H87">
        <f>IF(F87=G87,1,0)</f>
        <v>0</v>
      </c>
      <c r="I87">
        <f>H87*INDEX(Question_Bank!$M$3:$M$14,MATCH(D87,Question_Bank!$A$3:$A$14,0))</f>
        <v>0</v>
      </c>
      <c r="J87">
        <f>SUMIFS($I$3:$I$566,$A$3:$A$566,A87)</f>
        <v>0</v>
      </c>
      <c r="K87" s="5">
        <f>J87/SUM(Question_Bank!$M$3:$M$14)</f>
        <v>0</v>
      </c>
      <c r="L87" s="5">
        <f>SUMIFS($I$3:$I$566,$A$3:$A$566,A87,$E$3:$E$566,E87)/SUMIFS(Question_Bank!$M$3:$M$14,Question_Bank!$B$3:$B$14,E87)</f>
        <v>0</v>
      </c>
      <c r="M87" t="s">
        <v>148</v>
      </c>
    </row>
    <row r="88" spans="1:13">
      <c r="A88" t="s">
        <v>147</v>
      </c>
      <c r="B88" t="s">
        <v>132</v>
      </c>
      <c r="C88" t="s">
        <v>133</v>
      </c>
      <c r="D88" t="s">
        <v>26</v>
      </c>
      <c r="E88" t="s">
        <v>15</v>
      </c>
      <c r="F88" t="s">
        <v>31</v>
      </c>
      <c r="G88">
        <f>INDEX(Question_Bank!$G$3:$G$14,MATCH(D88,Question_Bank!$A$3:$A$14,0))</f>
        <v>0</v>
      </c>
      <c r="H88">
        <f>IF(F88=G88,1,0)</f>
        <v>0</v>
      </c>
      <c r="I88">
        <f>H88*INDEX(Question_Bank!$M$3:$M$14,MATCH(D88,Question_Bank!$A$3:$A$14,0))</f>
        <v>0</v>
      </c>
      <c r="J88">
        <f>SUMIFS($I$3:$I$566,$A$3:$A$566,A88)</f>
        <v>0</v>
      </c>
      <c r="K88" s="5">
        <f>J88/SUM(Question_Bank!$M$3:$M$14)</f>
        <v>0</v>
      </c>
      <c r="L88" s="5">
        <f>SUMIFS($I$3:$I$566,$A$3:$A$566,A88,$E$3:$E$566,E88)/SUMIFS(Question_Bank!$M$3:$M$14,Question_Bank!$B$3:$B$14,E88)</f>
        <v>0</v>
      </c>
      <c r="M88" t="s">
        <v>148</v>
      </c>
    </row>
    <row r="89" spans="1:13">
      <c r="A89" t="s">
        <v>147</v>
      </c>
      <c r="B89" t="s">
        <v>132</v>
      </c>
      <c r="C89" t="s">
        <v>133</v>
      </c>
      <c r="D89" t="s">
        <v>37</v>
      </c>
      <c r="E89" t="s">
        <v>15</v>
      </c>
      <c r="F89" t="s">
        <v>23</v>
      </c>
      <c r="G89">
        <f>INDEX(Question_Bank!$G$3:$G$14,MATCH(D89,Question_Bank!$A$3:$A$14,0))</f>
        <v>0</v>
      </c>
      <c r="H89">
        <f>IF(F89=G89,1,0)</f>
        <v>0</v>
      </c>
      <c r="I89">
        <f>H89*INDEX(Question_Bank!$M$3:$M$14,MATCH(D89,Question_Bank!$A$3:$A$14,0))</f>
        <v>0</v>
      </c>
      <c r="J89">
        <f>SUMIFS($I$3:$I$566,$A$3:$A$566,A89)</f>
        <v>0</v>
      </c>
      <c r="K89" s="5">
        <f>J89/SUM(Question_Bank!$M$3:$M$14)</f>
        <v>0</v>
      </c>
      <c r="L89" s="5">
        <f>SUMIFS($I$3:$I$566,$A$3:$A$566,A89,$E$3:$E$566,E89)/SUMIFS(Question_Bank!$M$3:$M$14,Question_Bank!$B$3:$B$14,E89)</f>
        <v>0</v>
      </c>
      <c r="M89" t="s">
        <v>148</v>
      </c>
    </row>
    <row r="90" spans="1:13">
      <c r="A90" t="s">
        <v>147</v>
      </c>
      <c r="B90" t="s">
        <v>132</v>
      </c>
      <c r="C90" t="s">
        <v>133</v>
      </c>
      <c r="D90" t="s">
        <v>45</v>
      </c>
      <c r="E90" t="s">
        <v>46</v>
      </c>
      <c r="F90" t="s">
        <v>31</v>
      </c>
      <c r="G90">
        <f>INDEX(Question_Bank!$G$3:$G$14,MATCH(D90,Question_Bank!$A$3:$A$14,0))</f>
        <v>0</v>
      </c>
      <c r="H90">
        <f>IF(F90=G90,1,0)</f>
        <v>0</v>
      </c>
      <c r="I90">
        <f>H90*INDEX(Question_Bank!$M$3:$M$14,MATCH(D90,Question_Bank!$A$3:$A$14,0))</f>
        <v>0</v>
      </c>
      <c r="J90">
        <f>SUMIFS($I$3:$I$566,$A$3:$A$566,A90)</f>
        <v>0</v>
      </c>
      <c r="K90" s="5">
        <f>J90/SUM(Question_Bank!$M$3:$M$14)</f>
        <v>0</v>
      </c>
      <c r="L90" s="5">
        <f>SUMIFS($I$3:$I$566,$A$3:$A$566,A90,$E$3:$E$566,E90)/SUMIFS(Question_Bank!$M$3:$M$14,Question_Bank!$B$3:$B$14,E90)</f>
        <v>0</v>
      </c>
      <c r="M90" t="s">
        <v>148</v>
      </c>
    </row>
    <row r="91" spans="1:13">
      <c r="A91" t="s">
        <v>147</v>
      </c>
      <c r="B91" t="s">
        <v>132</v>
      </c>
      <c r="C91" t="s">
        <v>133</v>
      </c>
      <c r="D91" t="s">
        <v>54</v>
      </c>
      <c r="E91" t="s">
        <v>46</v>
      </c>
      <c r="F91" t="s">
        <v>20</v>
      </c>
      <c r="G91">
        <f>INDEX(Question_Bank!$G$3:$G$14,MATCH(D91,Question_Bank!$A$3:$A$14,0))</f>
        <v>0</v>
      </c>
      <c r="H91">
        <f>IF(F91=G91,1,0)</f>
        <v>0</v>
      </c>
      <c r="I91">
        <f>H91*INDEX(Question_Bank!$M$3:$M$14,MATCH(D91,Question_Bank!$A$3:$A$14,0))</f>
        <v>0</v>
      </c>
      <c r="J91">
        <f>SUMIFS($I$3:$I$566,$A$3:$A$566,A91)</f>
        <v>0</v>
      </c>
      <c r="K91" s="5">
        <f>J91/SUM(Question_Bank!$M$3:$M$14)</f>
        <v>0</v>
      </c>
      <c r="L91" s="5">
        <f>SUMIFS($I$3:$I$566,$A$3:$A$566,A91,$E$3:$E$566,E91)/SUMIFS(Question_Bank!$M$3:$M$14,Question_Bank!$B$3:$B$14,E91)</f>
        <v>0</v>
      </c>
      <c r="M91" t="s">
        <v>148</v>
      </c>
    </row>
    <row r="92" spans="1:13">
      <c r="A92" t="s">
        <v>147</v>
      </c>
      <c r="B92" t="s">
        <v>132</v>
      </c>
      <c r="C92" t="s">
        <v>133</v>
      </c>
      <c r="D92" t="s">
        <v>62</v>
      </c>
      <c r="E92" t="s">
        <v>46</v>
      </c>
      <c r="F92" t="s">
        <v>34</v>
      </c>
      <c r="G92">
        <f>INDEX(Question_Bank!$G$3:$G$14,MATCH(D92,Question_Bank!$A$3:$A$14,0))</f>
        <v>0</v>
      </c>
      <c r="H92">
        <f>IF(F92=G92,1,0)</f>
        <v>0</v>
      </c>
      <c r="I92">
        <f>H92*INDEX(Question_Bank!$M$3:$M$14,MATCH(D92,Question_Bank!$A$3:$A$14,0))</f>
        <v>0</v>
      </c>
      <c r="J92">
        <f>SUMIFS($I$3:$I$566,$A$3:$A$566,A92)</f>
        <v>0</v>
      </c>
      <c r="K92" s="5">
        <f>J92/SUM(Question_Bank!$M$3:$M$14)</f>
        <v>0</v>
      </c>
      <c r="L92" s="5">
        <f>SUMIFS($I$3:$I$566,$A$3:$A$566,A92,$E$3:$E$566,E92)/SUMIFS(Question_Bank!$M$3:$M$14,Question_Bank!$B$3:$B$14,E92)</f>
        <v>0</v>
      </c>
      <c r="M92" t="s">
        <v>148</v>
      </c>
    </row>
    <row r="93" spans="1:13">
      <c r="A93" t="s">
        <v>147</v>
      </c>
      <c r="B93" t="s">
        <v>132</v>
      </c>
      <c r="C93" t="s">
        <v>133</v>
      </c>
      <c r="D93" t="s">
        <v>70</v>
      </c>
      <c r="E93" t="s">
        <v>71</v>
      </c>
      <c r="F93" t="s">
        <v>23</v>
      </c>
      <c r="G93">
        <f>INDEX(Question_Bank!$G$3:$G$14,MATCH(D93,Question_Bank!$A$3:$A$14,0))</f>
        <v>0</v>
      </c>
      <c r="H93">
        <f>IF(F93=G93,1,0)</f>
        <v>0</v>
      </c>
      <c r="I93">
        <f>H93*INDEX(Question_Bank!$M$3:$M$14,MATCH(D93,Question_Bank!$A$3:$A$14,0))</f>
        <v>0</v>
      </c>
      <c r="J93">
        <f>SUMIFS($I$3:$I$566,$A$3:$A$566,A93)</f>
        <v>0</v>
      </c>
      <c r="K93" s="5">
        <f>J93/SUM(Question_Bank!$M$3:$M$14)</f>
        <v>0</v>
      </c>
      <c r="L93" s="5">
        <f>SUMIFS($I$3:$I$566,$A$3:$A$566,A93,$E$3:$E$566,E93)/SUMIFS(Question_Bank!$M$3:$M$14,Question_Bank!$B$3:$B$14,E93)</f>
        <v>0</v>
      </c>
      <c r="M93" t="s">
        <v>148</v>
      </c>
    </row>
    <row r="94" spans="1:13">
      <c r="A94" t="s">
        <v>147</v>
      </c>
      <c r="B94" t="s">
        <v>132</v>
      </c>
      <c r="C94" t="s">
        <v>133</v>
      </c>
      <c r="D94" t="s">
        <v>79</v>
      </c>
      <c r="E94" t="s">
        <v>71</v>
      </c>
      <c r="F94" t="s">
        <v>20</v>
      </c>
      <c r="G94">
        <f>INDEX(Question_Bank!$G$3:$G$14,MATCH(D94,Question_Bank!$A$3:$A$14,0))</f>
        <v>0</v>
      </c>
      <c r="H94">
        <f>IF(F94=G94,1,0)</f>
        <v>0</v>
      </c>
      <c r="I94">
        <f>H94*INDEX(Question_Bank!$M$3:$M$14,MATCH(D94,Question_Bank!$A$3:$A$14,0))</f>
        <v>0</v>
      </c>
      <c r="J94">
        <f>SUMIFS($I$3:$I$566,$A$3:$A$566,A94)</f>
        <v>0</v>
      </c>
      <c r="K94" s="5">
        <f>J94/SUM(Question_Bank!$M$3:$M$14)</f>
        <v>0</v>
      </c>
      <c r="L94" s="5">
        <f>SUMIFS($I$3:$I$566,$A$3:$A$566,A94,$E$3:$E$566,E94)/SUMIFS(Question_Bank!$M$3:$M$14,Question_Bank!$B$3:$B$14,E94)</f>
        <v>0</v>
      </c>
      <c r="M94" t="s">
        <v>148</v>
      </c>
    </row>
    <row r="95" spans="1:13">
      <c r="A95" t="s">
        <v>147</v>
      </c>
      <c r="B95" t="s">
        <v>132</v>
      </c>
      <c r="C95" t="s">
        <v>133</v>
      </c>
      <c r="D95" t="s">
        <v>87</v>
      </c>
      <c r="E95" t="s">
        <v>71</v>
      </c>
      <c r="F95" t="s">
        <v>23</v>
      </c>
      <c r="G95">
        <f>INDEX(Question_Bank!$G$3:$G$14,MATCH(D95,Question_Bank!$A$3:$A$14,0))</f>
        <v>0</v>
      </c>
      <c r="H95">
        <f>IF(F95=G95,1,0)</f>
        <v>0</v>
      </c>
      <c r="I95">
        <f>H95*INDEX(Question_Bank!$M$3:$M$14,MATCH(D95,Question_Bank!$A$3:$A$14,0))</f>
        <v>0</v>
      </c>
      <c r="J95">
        <f>SUMIFS($I$3:$I$566,$A$3:$A$566,A95)</f>
        <v>0</v>
      </c>
      <c r="K95" s="5">
        <f>J95/SUM(Question_Bank!$M$3:$M$14)</f>
        <v>0</v>
      </c>
      <c r="L95" s="5">
        <f>SUMIFS($I$3:$I$566,$A$3:$A$566,A95,$E$3:$E$566,E95)/SUMIFS(Question_Bank!$M$3:$M$14,Question_Bank!$B$3:$B$14,E95)</f>
        <v>0</v>
      </c>
      <c r="M95" t="s">
        <v>148</v>
      </c>
    </row>
    <row r="96" spans="1:13">
      <c r="A96" t="s">
        <v>147</v>
      </c>
      <c r="B96" t="s">
        <v>132</v>
      </c>
      <c r="C96" t="s">
        <v>133</v>
      </c>
      <c r="D96" t="s">
        <v>95</v>
      </c>
      <c r="E96" t="s">
        <v>96</v>
      </c>
      <c r="F96" t="s">
        <v>34</v>
      </c>
      <c r="G96">
        <f>INDEX(Question_Bank!$G$3:$G$14,MATCH(D96,Question_Bank!$A$3:$A$14,0))</f>
        <v>0</v>
      </c>
      <c r="H96">
        <f>IF(F96=G96,1,0)</f>
        <v>0</v>
      </c>
      <c r="I96">
        <f>H96*INDEX(Question_Bank!$M$3:$M$14,MATCH(D96,Question_Bank!$A$3:$A$14,0))</f>
        <v>0</v>
      </c>
      <c r="J96">
        <f>SUMIFS($I$3:$I$566,$A$3:$A$566,A96)</f>
        <v>0</v>
      </c>
      <c r="K96" s="5">
        <f>J96/SUM(Question_Bank!$M$3:$M$14)</f>
        <v>0</v>
      </c>
      <c r="L96" s="5">
        <f>SUMIFS($I$3:$I$566,$A$3:$A$566,A96,$E$3:$E$566,E96)/SUMIFS(Question_Bank!$M$3:$M$14,Question_Bank!$B$3:$B$14,E96)</f>
        <v>0</v>
      </c>
      <c r="M96" t="s">
        <v>148</v>
      </c>
    </row>
    <row r="97" spans="1:13">
      <c r="A97" t="s">
        <v>147</v>
      </c>
      <c r="B97" t="s">
        <v>132</v>
      </c>
      <c r="C97" t="s">
        <v>133</v>
      </c>
      <c r="D97" t="s">
        <v>104</v>
      </c>
      <c r="E97" t="s">
        <v>96</v>
      </c>
      <c r="F97" t="s">
        <v>31</v>
      </c>
      <c r="G97">
        <f>INDEX(Question_Bank!$G$3:$G$14,MATCH(D97,Question_Bank!$A$3:$A$14,0))</f>
        <v>0</v>
      </c>
      <c r="H97">
        <f>IF(F97=G97,1,0)</f>
        <v>0</v>
      </c>
      <c r="I97">
        <f>H97*INDEX(Question_Bank!$M$3:$M$14,MATCH(D97,Question_Bank!$A$3:$A$14,0))</f>
        <v>0</v>
      </c>
      <c r="J97">
        <f>SUMIFS($I$3:$I$566,$A$3:$A$566,A97)</f>
        <v>0</v>
      </c>
      <c r="K97" s="5">
        <f>J97/SUM(Question_Bank!$M$3:$M$14)</f>
        <v>0</v>
      </c>
      <c r="L97" s="5">
        <f>SUMIFS($I$3:$I$566,$A$3:$A$566,A97,$E$3:$E$566,E97)/SUMIFS(Question_Bank!$M$3:$M$14,Question_Bank!$B$3:$B$14,E97)</f>
        <v>0</v>
      </c>
      <c r="M97" t="s">
        <v>148</v>
      </c>
    </row>
    <row r="98" spans="1:13">
      <c r="A98" t="s">
        <v>147</v>
      </c>
      <c r="B98" t="s">
        <v>132</v>
      </c>
      <c r="C98" t="s">
        <v>133</v>
      </c>
      <c r="D98" t="s">
        <v>112</v>
      </c>
      <c r="E98" t="s">
        <v>96</v>
      </c>
      <c r="F98" t="s">
        <v>23</v>
      </c>
      <c r="G98">
        <f>INDEX(Question_Bank!$G$3:$G$14,MATCH(D98,Question_Bank!$A$3:$A$14,0))</f>
        <v>0</v>
      </c>
      <c r="H98">
        <f>IF(F98=G98,1,0)</f>
        <v>0</v>
      </c>
      <c r="I98">
        <f>H98*INDEX(Question_Bank!$M$3:$M$14,MATCH(D98,Question_Bank!$A$3:$A$14,0))</f>
        <v>0</v>
      </c>
      <c r="J98">
        <f>SUMIFS($I$3:$I$566,$A$3:$A$566,A98)</f>
        <v>0</v>
      </c>
      <c r="K98" s="5">
        <f>J98/SUM(Question_Bank!$M$3:$M$14)</f>
        <v>0</v>
      </c>
      <c r="L98" s="5">
        <f>SUMIFS($I$3:$I$566,$A$3:$A$566,A98,$E$3:$E$566,E98)/SUMIFS(Question_Bank!$M$3:$M$14,Question_Bank!$B$3:$B$14,E98)</f>
        <v>0</v>
      </c>
      <c r="M98" t="s">
        <v>148</v>
      </c>
    </row>
    <row r="99" spans="1:13">
      <c r="A99" t="s">
        <v>149</v>
      </c>
      <c r="B99" t="s">
        <v>132</v>
      </c>
      <c r="C99" t="s">
        <v>133</v>
      </c>
      <c r="D99" t="s">
        <v>14</v>
      </c>
      <c r="E99" t="s">
        <v>15</v>
      </c>
      <c r="F99" t="s">
        <v>20</v>
      </c>
      <c r="G99">
        <f>INDEX(Question_Bank!$G$3:$G$14,MATCH(D99,Question_Bank!$A$3:$A$14,0))</f>
        <v>0</v>
      </c>
      <c r="H99">
        <f>IF(F99=G99,1,0)</f>
        <v>0</v>
      </c>
      <c r="I99">
        <f>H99*INDEX(Question_Bank!$M$3:$M$14,MATCH(D99,Question_Bank!$A$3:$A$14,0))</f>
        <v>0</v>
      </c>
      <c r="J99">
        <f>SUMIFS($I$3:$I$566,$A$3:$A$566,A99)</f>
        <v>0</v>
      </c>
      <c r="K99" s="5">
        <f>J99/SUM(Question_Bank!$M$3:$M$14)</f>
        <v>0</v>
      </c>
      <c r="L99" s="5">
        <f>SUMIFS($I$3:$I$566,$A$3:$A$566,A99,$E$3:$E$566,E99)/SUMIFS(Question_Bank!$M$3:$M$14,Question_Bank!$B$3:$B$14,E99)</f>
        <v>0</v>
      </c>
      <c r="M99" t="s">
        <v>150</v>
      </c>
    </row>
    <row r="100" spans="1:13">
      <c r="A100" t="s">
        <v>149</v>
      </c>
      <c r="B100" t="s">
        <v>132</v>
      </c>
      <c r="C100" t="s">
        <v>133</v>
      </c>
      <c r="D100" t="s">
        <v>26</v>
      </c>
      <c r="E100" t="s">
        <v>15</v>
      </c>
      <c r="F100" t="s">
        <v>34</v>
      </c>
      <c r="G100">
        <f>INDEX(Question_Bank!$G$3:$G$14,MATCH(D100,Question_Bank!$A$3:$A$14,0))</f>
        <v>0</v>
      </c>
      <c r="H100">
        <f>IF(F100=G100,1,0)</f>
        <v>0</v>
      </c>
      <c r="I100">
        <f>H100*INDEX(Question_Bank!$M$3:$M$14,MATCH(D100,Question_Bank!$A$3:$A$14,0))</f>
        <v>0</v>
      </c>
      <c r="J100">
        <f>SUMIFS($I$3:$I$566,$A$3:$A$566,A100)</f>
        <v>0</v>
      </c>
      <c r="K100" s="5">
        <f>J100/SUM(Question_Bank!$M$3:$M$14)</f>
        <v>0</v>
      </c>
      <c r="L100" s="5">
        <f>SUMIFS($I$3:$I$566,$A$3:$A$566,A100,$E$3:$E$566,E100)/SUMIFS(Question_Bank!$M$3:$M$14,Question_Bank!$B$3:$B$14,E100)</f>
        <v>0</v>
      </c>
      <c r="M100" t="s">
        <v>150</v>
      </c>
    </row>
    <row r="101" spans="1:13">
      <c r="A101" t="s">
        <v>149</v>
      </c>
      <c r="B101" t="s">
        <v>132</v>
      </c>
      <c r="C101" t="s">
        <v>133</v>
      </c>
      <c r="D101" t="s">
        <v>37</v>
      </c>
      <c r="E101" t="s">
        <v>15</v>
      </c>
      <c r="F101" t="s">
        <v>31</v>
      </c>
      <c r="G101">
        <f>INDEX(Question_Bank!$G$3:$G$14,MATCH(D101,Question_Bank!$A$3:$A$14,0))</f>
        <v>0</v>
      </c>
      <c r="H101">
        <f>IF(F101=G101,1,0)</f>
        <v>0</v>
      </c>
      <c r="I101">
        <f>H101*INDEX(Question_Bank!$M$3:$M$14,MATCH(D101,Question_Bank!$A$3:$A$14,0))</f>
        <v>0</v>
      </c>
      <c r="J101">
        <f>SUMIFS($I$3:$I$566,$A$3:$A$566,A101)</f>
        <v>0</v>
      </c>
      <c r="K101" s="5">
        <f>J101/SUM(Question_Bank!$M$3:$M$14)</f>
        <v>0</v>
      </c>
      <c r="L101" s="5">
        <f>SUMIFS($I$3:$I$566,$A$3:$A$566,A101,$E$3:$E$566,E101)/SUMIFS(Question_Bank!$M$3:$M$14,Question_Bank!$B$3:$B$14,E101)</f>
        <v>0</v>
      </c>
      <c r="M101" t="s">
        <v>150</v>
      </c>
    </row>
    <row r="102" spans="1:13">
      <c r="A102" t="s">
        <v>149</v>
      </c>
      <c r="B102" t="s">
        <v>132</v>
      </c>
      <c r="C102" t="s">
        <v>133</v>
      </c>
      <c r="D102" t="s">
        <v>45</v>
      </c>
      <c r="E102" t="s">
        <v>46</v>
      </c>
      <c r="F102" t="s">
        <v>34</v>
      </c>
      <c r="G102">
        <f>INDEX(Question_Bank!$G$3:$G$14,MATCH(D102,Question_Bank!$A$3:$A$14,0))</f>
        <v>0</v>
      </c>
      <c r="H102">
        <f>IF(F102=G102,1,0)</f>
        <v>0</v>
      </c>
      <c r="I102">
        <f>H102*INDEX(Question_Bank!$M$3:$M$14,MATCH(D102,Question_Bank!$A$3:$A$14,0))</f>
        <v>0</v>
      </c>
      <c r="J102">
        <f>SUMIFS($I$3:$I$566,$A$3:$A$566,A102)</f>
        <v>0</v>
      </c>
      <c r="K102" s="5">
        <f>J102/SUM(Question_Bank!$M$3:$M$14)</f>
        <v>0</v>
      </c>
      <c r="L102" s="5">
        <f>SUMIFS($I$3:$I$566,$A$3:$A$566,A102,$E$3:$E$566,E102)/SUMIFS(Question_Bank!$M$3:$M$14,Question_Bank!$B$3:$B$14,E102)</f>
        <v>0</v>
      </c>
      <c r="M102" t="s">
        <v>150</v>
      </c>
    </row>
    <row r="103" spans="1:13">
      <c r="A103" t="s">
        <v>149</v>
      </c>
      <c r="B103" t="s">
        <v>132</v>
      </c>
      <c r="C103" t="s">
        <v>133</v>
      </c>
      <c r="D103" t="s">
        <v>54</v>
      </c>
      <c r="E103" t="s">
        <v>46</v>
      </c>
      <c r="F103" t="s">
        <v>31</v>
      </c>
      <c r="G103">
        <f>INDEX(Question_Bank!$G$3:$G$14,MATCH(D103,Question_Bank!$A$3:$A$14,0))</f>
        <v>0</v>
      </c>
      <c r="H103">
        <f>IF(F103=G103,1,0)</f>
        <v>0</v>
      </c>
      <c r="I103">
        <f>H103*INDEX(Question_Bank!$M$3:$M$14,MATCH(D103,Question_Bank!$A$3:$A$14,0))</f>
        <v>0</v>
      </c>
      <c r="J103">
        <f>SUMIFS($I$3:$I$566,$A$3:$A$566,A103)</f>
        <v>0</v>
      </c>
      <c r="K103" s="5">
        <f>J103/SUM(Question_Bank!$M$3:$M$14)</f>
        <v>0</v>
      </c>
      <c r="L103" s="5">
        <f>SUMIFS($I$3:$I$566,$A$3:$A$566,A103,$E$3:$E$566,E103)/SUMIFS(Question_Bank!$M$3:$M$14,Question_Bank!$B$3:$B$14,E103)</f>
        <v>0</v>
      </c>
      <c r="M103" t="s">
        <v>150</v>
      </c>
    </row>
    <row r="104" spans="1:13">
      <c r="A104" t="s">
        <v>149</v>
      </c>
      <c r="B104" t="s">
        <v>132</v>
      </c>
      <c r="C104" t="s">
        <v>133</v>
      </c>
      <c r="D104" t="s">
        <v>62</v>
      </c>
      <c r="E104" t="s">
        <v>46</v>
      </c>
      <c r="F104" t="s">
        <v>31</v>
      </c>
      <c r="G104">
        <f>INDEX(Question_Bank!$G$3:$G$14,MATCH(D104,Question_Bank!$A$3:$A$14,0))</f>
        <v>0</v>
      </c>
      <c r="H104">
        <f>IF(F104=G104,1,0)</f>
        <v>0</v>
      </c>
      <c r="I104">
        <f>H104*INDEX(Question_Bank!$M$3:$M$14,MATCH(D104,Question_Bank!$A$3:$A$14,0))</f>
        <v>0</v>
      </c>
      <c r="J104">
        <f>SUMIFS($I$3:$I$566,$A$3:$A$566,A104)</f>
        <v>0</v>
      </c>
      <c r="K104" s="5">
        <f>J104/SUM(Question_Bank!$M$3:$M$14)</f>
        <v>0</v>
      </c>
      <c r="L104" s="5">
        <f>SUMIFS($I$3:$I$566,$A$3:$A$566,A104,$E$3:$E$566,E104)/SUMIFS(Question_Bank!$M$3:$M$14,Question_Bank!$B$3:$B$14,E104)</f>
        <v>0</v>
      </c>
      <c r="M104" t="s">
        <v>150</v>
      </c>
    </row>
    <row r="105" spans="1:13">
      <c r="A105" t="s">
        <v>149</v>
      </c>
      <c r="B105" t="s">
        <v>132</v>
      </c>
      <c r="C105" t="s">
        <v>133</v>
      </c>
      <c r="D105" t="s">
        <v>70</v>
      </c>
      <c r="E105" t="s">
        <v>71</v>
      </c>
      <c r="F105" t="s">
        <v>31</v>
      </c>
      <c r="G105">
        <f>INDEX(Question_Bank!$G$3:$G$14,MATCH(D105,Question_Bank!$A$3:$A$14,0))</f>
        <v>0</v>
      </c>
      <c r="H105">
        <f>IF(F105=G105,1,0)</f>
        <v>0</v>
      </c>
      <c r="I105">
        <f>H105*INDEX(Question_Bank!$M$3:$M$14,MATCH(D105,Question_Bank!$A$3:$A$14,0))</f>
        <v>0</v>
      </c>
      <c r="J105">
        <f>SUMIFS($I$3:$I$566,$A$3:$A$566,A105)</f>
        <v>0</v>
      </c>
      <c r="K105" s="5">
        <f>J105/SUM(Question_Bank!$M$3:$M$14)</f>
        <v>0</v>
      </c>
      <c r="L105" s="5">
        <f>SUMIFS($I$3:$I$566,$A$3:$A$566,A105,$E$3:$E$566,E105)/SUMIFS(Question_Bank!$M$3:$M$14,Question_Bank!$B$3:$B$14,E105)</f>
        <v>0</v>
      </c>
      <c r="M105" t="s">
        <v>150</v>
      </c>
    </row>
    <row r="106" spans="1:13">
      <c r="A106" t="s">
        <v>149</v>
      </c>
      <c r="B106" t="s">
        <v>132</v>
      </c>
      <c r="C106" t="s">
        <v>133</v>
      </c>
      <c r="D106" t="s">
        <v>79</v>
      </c>
      <c r="E106" t="s">
        <v>71</v>
      </c>
      <c r="F106" t="s">
        <v>31</v>
      </c>
      <c r="G106">
        <f>INDEX(Question_Bank!$G$3:$G$14,MATCH(D106,Question_Bank!$A$3:$A$14,0))</f>
        <v>0</v>
      </c>
      <c r="H106">
        <f>IF(F106=G106,1,0)</f>
        <v>0</v>
      </c>
      <c r="I106">
        <f>H106*INDEX(Question_Bank!$M$3:$M$14,MATCH(D106,Question_Bank!$A$3:$A$14,0))</f>
        <v>0</v>
      </c>
      <c r="J106">
        <f>SUMIFS($I$3:$I$566,$A$3:$A$566,A106)</f>
        <v>0</v>
      </c>
      <c r="K106" s="5">
        <f>J106/SUM(Question_Bank!$M$3:$M$14)</f>
        <v>0</v>
      </c>
      <c r="L106" s="5">
        <f>SUMIFS($I$3:$I$566,$A$3:$A$566,A106,$E$3:$E$566,E106)/SUMIFS(Question_Bank!$M$3:$M$14,Question_Bank!$B$3:$B$14,E106)</f>
        <v>0</v>
      </c>
      <c r="M106" t="s">
        <v>150</v>
      </c>
    </row>
    <row r="107" spans="1:13">
      <c r="A107" t="s">
        <v>149</v>
      </c>
      <c r="B107" t="s">
        <v>132</v>
      </c>
      <c r="C107" t="s">
        <v>133</v>
      </c>
      <c r="D107" t="s">
        <v>87</v>
      </c>
      <c r="E107" t="s">
        <v>71</v>
      </c>
      <c r="F107" t="s">
        <v>23</v>
      </c>
      <c r="G107">
        <f>INDEX(Question_Bank!$G$3:$G$14,MATCH(D107,Question_Bank!$A$3:$A$14,0))</f>
        <v>0</v>
      </c>
      <c r="H107">
        <f>IF(F107=G107,1,0)</f>
        <v>0</v>
      </c>
      <c r="I107">
        <f>H107*INDEX(Question_Bank!$M$3:$M$14,MATCH(D107,Question_Bank!$A$3:$A$14,0))</f>
        <v>0</v>
      </c>
      <c r="J107">
        <f>SUMIFS($I$3:$I$566,$A$3:$A$566,A107)</f>
        <v>0</v>
      </c>
      <c r="K107" s="5">
        <f>J107/SUM(Question_Bank!$M$3:$M$14)</f>
        <v>0</v>
      </c>
      <c r="L107" s="5">
        <f>SUMIFS($I$3:$I$566,$A$3:$A$566,A107,$E$3:$E$566,E107)/SUMIFS(Question_Bank!$M$3:$M$14,Question_Bank!$B$3:$B$14,E107)</f>
        <v>0</v>
      </c>
      <c r="M107" t="s">
        <v>150</v>
      </c>
    </row>
    <row r="108" spans="1:13">
      <c r="A108" t="s">
        <v>149</v>
      </c>
      <c r="B108" t="s">
        <v>132</v>
      </c>
      <c r="C108" t="s">
        <v>133</v>
      </c>
      <c r="D108" t="s">
        <v>95</v>
      </c>
      <c r="E108" t="s">
        <v>96</v>
      </c>
      <c r="F108" t="s">
        <v>34</v>
      </c>
      <c r="G108">
        <f>INDEX(Question_Bank!$G$3:$G$14,MATCH(D108,Question_Bank!$A$3:$A$14,0))</f>
        <v>0</v>
      </c>
      <c r="H108">
        <f>IF(F108=G108,1,0)</f>
        <v>0</v>
      </c>
      <c r="I108">
        <f>H108*INDEX(Question_Bank!$M$3:$M$14,MATCH(D108,Question_Bank!$A$3:$A$14,0))</f>
        <v>0</v>
      </c>
      <c r="J108">
        <f>SUMIFS($I$3:$I$566,$A$3:$A$566,A108)</f>
        <v>0</v>
      </c>
      <c r="K108" s="5">
        <f>J108/SUM(Question_Bank!$M$3:$M$14)</f>
        <v>0</v>
      </c>
      <c r="L108" s="5">
        <f>SUMIFS($I$3:$I$566,$A$3:$A$566,A108,$E$3:$E$566,E108)/SUMIFS(Question_Bank!$M$3:$M$14,Question_Bank!$B$3:$B$14,E108)</f>
        <v>0</v>
      </c>
      <c r="M108" t="s">
        <v>150</v>
      </c>
    </row>
    <row r="109" spans="1:13">
      <c r="A109" t="s">
        <v>149</v>
      </c>
      <c r="B109" t="s">
        <v>132</v>
      </c>
      <c r="C109" t="s">
        <v>133</v>
      </c>
      <c r="D109" t="s">
        <v>104</v>
      </c>
      <c r="E109" t="s">
        <v>96</v>
      </c>
      <c r="F109" t="s">
        <v>23</v>
      </c>
      <c r="G109">
        <f>INDEX(Question_Bank!$G$3:$G$14,MATCH(D109,Question_Bank!$A$3:$A$14,0))</f>
        <v>0</v>
      </c>
      <c r="H109">
        <f>IF(F109=G109,1,0)</f>
        <v>0</v>
      </c>
      <c r="I109">
        <f>H109*INDEX(Question_Bank!$M$3:$M$14,MATCH(D109,Question_Bank!$A$3:$A$14,0))</f>
        <v>0</v>
      </c>
      <c r="J109">
        <f>SUMIFS($I$3:$I$566,$A$3:$A$566,A109)</f>
        <v>0</v>
      </c>
      <c r="K109" s="5">
        <f>J109/SUM(Question_Bank!$M$3:$M$14)</f>
        <v>0</v>
      </c>
      <c r="L109" s="5">
        <f>SUMIFS($I$3:$I$566,$A$3:$A$566,A109,$E$3:$E$566,E109)/SUMIFS(Question_Bank!$M$3:$M$14,Question_Bank!$B$3:$B$14,E109)</f>
        <v>0</v>
      </c>
      <c r="M109" t="s">
        <v>150</v>
      </c>
    </row>
    <row r="110" spans="1:13">
      <c r="A110" t="s">
        <v>149</v>
      </c>
      <c r="B110" t="s">
        <v>132</v>
      </c>
      <c r="C110" t="s">
        <v>133</v>
      </c>
      <c r="D110" t="s">
        <v>112</v>
      </c>
      <c r="E110" t="s">
        <v>96</v>
      </c>
      <c r="F110" t="s">
        <v>23</v>
      </c>
      <c r="G110">
        <f>INDEX(Question_Bank!$G$3:$G$14,MATCH(D110,Question_Bank!$A$3:$A$14,0))</f>
        <v>0</v>
      </c>
      <c r="H110">
        <f>IF(F110=G110,1,0)</f>
        <v>0</v>
      </c>
      <c r="I110">
        <f>H110*INDEX(Question_Bank!$M$3:$M$14,MATCH(D110,Question_Bank!$A$3:$A$14,0))</f>
        <v>0</v>
      </c>
      <c r="J110">
        <f>SUMIFS($I$3:$I$566,$A$3:$A$566,A110)</f>
        <v>0</v>
      </c>
      <c r="K110" s="5">
        <f>J110/SUM(Question_Bank!$M$3:$M$14)</f>
        <v>0</v>
      </c>
      <c r="L110" s="5">
        <f>SUMIFS($I$3:$I$566,$A$3:$A$566,A110,$E$3:$E$566,E110)/SUMIFS(Question_Bank!$M$3:$M$14,Question_Bank!$B$3:$B$14,E110)</f>
        <v>0</v>
      </c>
      <c r="M110" t="s">
        <v>150</v>
      </c>
    </row>
    <row r="111" spans="1:13">
      <c r="A111" t="s">
        <v>151</v>
      </c>
      <c r="B111" t="s">
        <v>132</v>
      </c>
      <c r="C111" t="s">
        <v>133</v>
      </c>
      <c r="D111" t="s">
        <v>14</v>
      </c>
      <c r="E111" t="s">
        <v>15</v>
      </c>
      <c r="F111" t="s">
        <v>31</v>
      </c>
      <c r="G111">
        <f>INDEX(Question_Bank!$G$3:$G$14,MATCH(D111,Question_Bank!$A$3:$A$14,0))</f>
        <v>0</v>
      </c>
      <c r="H111">
        <f>IF(F111=G111,1,0)</f>
        <v>0</v>
      </c>
      <c r="I111">
        <f>H111*INDEX(Question_Bank!$M$3:$M$14,MATCH(D111,Question_Bank!$A$3:$A$14,0))</f>
        <v>0</v>
      </c>
      <c r="J111">
        <f>SUMIFS($I$3:$I$566,$A$3:$A$566,A111)</f>
        <v>0</v>
      </c>
      <c r="K111" s="5">
        <f>J111/SUM(Question_Bank!$M$3:$M$14)</f>
        <v>0</v>
      </c>
      <c r="L111" s="5">
        <f>SUMIFS($I$3:$I$566,$A$3:$A$566,A111,$E$3:$E$566,E111)/SUMIFS(Question_Bank!$M$3:$M$14,Question_Bank!$B$3:$B$14,E111)</f>
        <v>0</v>
      </c>
      <c r="M111" t="s">
        <v>152</v>
      </c>
    </row>
    <row r="112" spans="1:13">
      <c r="A112" t="s">
        <v>151</v>
      </c>
      <c r="B112" t="s">
        <v>132</v>
      </c>
      <c r="C112" t="s">
        <v>133</v>
      </c>
      <c r="D112" t="s">
        <v>26</v>
      </c>
      <c r="E112" t="s">
        <v>15</v>
      </c>
      <c r="F112" t="s">
        <v>34</v>
      </c>
      <c r="G112">
        <f>INDEX(Question_Bank!$G$3:$G$14,MATCH(D112,Question_Bank!$A$3:$A$14,0))</f>
        <v>0</v>
      </c>
      <c r="H112">
        <f>IF(F112=G112,1,0)</f>
        <v>0</v>
      </c>
      <c r="I112">
        <f>H112*INDEX(Question_Bank!$M$3:$M$14,MATCH(D112,Question_Bank!$A$3:$A$14,0))</f>
        <v>0</v>
      </c>
      <c r="J112">
        <f>SUMIFS($I$3:$I$566,$A$3:$A$566,A112)</f>
        <v>0</v>
      </c>
      <c r="K112" s="5">
        <f>J112/SUM(Question_Bank!$M$3:$M$14)</f>
        <v>0</v>
      </c>
      <c r="L112" s="5">
        <f>SUMIFS($I$3:$I$566,$A$3:$A$566,A112,$E$3:$E$566,E112)/SUMIFS(Question_Bank!$M$3:$M$14,Question_Bank!$B$3:$B$14,E112)</f>
        <v>0</v>
      </c>
      <c r="M112" t="s">
        <v>152</v>
      </c>
    </row>
    <row r="113" spans="1:13">
      <c r="A113" t="s">
        <v>151</v>
      </c>
      <c r="B113" t="s">
        <v>132</v>
      </c>
      <c r="C113" t="s">
        <v>133</v>
      </c>
      <c r="D113" t="s">
        <v>37</v>
      </c>
      <c r="E113" t="s">
        <v>15</v>
      </c>
      <c r="F113" t="s">
        <v>23</v>
      </c>
      <c r="G113">
        <f>INDEX(Question_Bank!$G$3:$G$14,MATCH(D113,Question_Bank!$A$3:$A$14,0))</f>
        <v>0</v>
      </c>
      <c r="H113">
        <f>IF(F113=G113,1,0)</f>
        <v>0</v>
      </c>
      <c r="I113">
        <f>H113*INDEX(Question_Bank!$M$3:$M$14,MATCH(D113,Question_Bank!$A$3:$A$14,0))</f>
        <v>0</v>
      </c>
      <c r="J113">
        <f>SUMIFS($I$3:$I$566,$A$3:$A$566,A113)</f>
        <v>0</v>
      </c>
      <c r="K113" s="5">
        <f>J113/SUM(Question_Bank!$M$3:$M$14)</f>
        <v>0</v>
      </c>
      <c r="L113" s="5">
        <f>SUMIFS($I$3:$I$566,$A$3:$A$566,A113,$E$3:$E$566,E113)/SUMIFS(Question_Bank!$M$3:$M$14,Question_Bank!$B$3:$B$14,E113)</f>
        <v>0</v>
      </c>
      <c r="M113" t="s">
        <v>152</v>
      </c>
    </row>
    <row r="114" spans="1:13">
      <c r="A114" t="s">
        <v>151</v>
      </c>
      <c r="B114" t="s">
        <v>132</v>
      </c>
      <c r="C114" t="s">
        <v>133</v>
      </c>
      <c r="D114" t="s">
        <v>45</v>
      </c>
      <c r="E114" t="s">
        <v>46</v>
      </c>
      <c r="F114" t="s">
        <v>31</v>
      </c>
      <c r="G114">
        <f>INDEX(Question_Bank!$G$3:$G$14,MATCH(D114,Question_Bank!$A$3:$A$14,0))</f>
        <v>0</v>
      </c>
      <c r="H114">
        <f>IF(F114=G114,1,0)</f>
        <v>0</v>
      </c>
      <c r="I114">
        <f>H114*INDEX(Question_Bank!$M$3:$M$14,MATCH(D114,Question_Bank!$A$3:$A$14,0))</f>
        <v>0</v>
      </c>
      <c r="J114">
        <f>SUMIFS($I$3:$I$566,$A$3:$A$566,A114)</f>
        <v>0</v>
      </c>
      <c r="K114" s="5">
        <f>J114/SUM(Question_Bank!$M$3:$M$14)</f>
        <v>0</v>
      </c>
      <c r="L114" s="5">
        <f>SUMIFS($I$3:$I$566,$A$3:$A$566,A114,$E$3:$E$566,E114)/SUMIFS(Question_Bank!$M$3:$M$14,Question_Bank!$B$3:$B$14,E114)</f>
        <v>0</v>
      </c>
      <c r="M114" t="s">
        <v>152</v>
      </c>
    </row>
    <row r="115" spans="1:13">
      <c r="A115" t="s">
        <v>151</v>
      </c>
      <c r="B115" t="s">
        <v>132</v>
      </c>
      <c r="C115" t="s">
        <v>133</v>
      </c>
      <c r="D115" t="s">
        <v>54</v>
      </c>
      <c r="E115" t="s">
        <v>46</v>
      </c>
      <c r="F115" t="s">
        <v>31</v>
      </c>
      <c r="G115">
        <f>INDEX(Question_Bank!$G$3:$G$14,MATCH(D115,Question_Bank!$A$3:$A$14,0))</f>
        <v>0</v>
      </c>
      <c r="H115">
        <f>IF(F115=G115,1,0)</f>
        <v>0</v>
      </c>
      <c r="I115">
        <f>H115*INDEX(Question_Bank!$M$3:$M$14,MATCH(D115,Question_Bank!$A$3:$A$14,0))</f>
        <v>0</v>
      </c>
      <c r="J115">
        <f>SUMIFS($I$3:$I$566,$A$3:$A$566,A115)</f>
        <v>0</v>
      </c>
      <c r="K115" s="5">
        <f>J115/SUM(Question_Bank!$M$3:$M$14)</f>
        <v>0</v>
      </c>
      <c r="L115" s="5">
        <f>SUMIFS($I$3:$I$566,$A$3:$A$566,A115,$E$3:$E$566,E115)/SUMIFS(Question_Bank!$M$3:$M$14,Question_Bank!$B$3:$B$14,E115)</f>
        <v>0</v>
      </c>
      <c r="M115" t="s">
        <v>152</v>
      </c>
    </row>
    <row r="116" spans="1:13">
      <c r="A116" t="s">
        <v>151</v>
      </c>
      <c r="B116" t="s">
        <v>132</v>
      </c>
      <c r="C116" t="s">
        <v>133</v>
      </c>
      <c r="D116" t="s">
        <v>62</v>
      </c>
      <c r="E116" t="s">
        <v>46</v>
      </c>
      <c r="F116" t="s">
        <v>23</v>
      </c>
      <c r="G116">
        <f>INDEX(Question_Bank!$G$3:$G$14,MATCH(D116,Question_Bank!$A$3:$A$14,0))</f>
        <v>0</v>
      </c>
      <c r="H116">
        <f>IF(F116=G116,1,0)</f>
        <v>0</v>
      </c>
      <c r="I116">
        <f>H116*INDEX(Question_Bank!$M$3:$M$14,MATCH(D116,Question_Bank!$A$3:$A$14,0))</f>
        <v>0</v>
      </c>
      <c r="J116">
        <f>SUMIFS($I$3:$I$566,$A$3:$A$566,A116)</f>
        <v>0</v>
      </c>
      <c r="K116" s="5">
        <f>J116/SUM(Question_Bank!$M$3:$M$14)</f>
        <v>0</v>
      </c>
      <c r="L116" s="5">
        <f>SUMIFS($I$3:$I$566,$A$3:$A$566,A116,$E$3:$E$566,E116)/SUMIFS(Question_Bank!$M$3:$M$14,Question_Bank!$B$3:$B$14,E116)</f>
        <v>0</v>
      </c>
      <c r="M116" t="s">
        <v>152</v>
      </c>
    </row>
    <row r="117" spans="1:13">
      <c r="A117" t="s">
        <v>151</v>
      </c>
      <c r="B117" t="s">
        <v>132</v>
      </c>
      <c r="C117" t="s">
        <v>133</v>
      </c>
      <c r="D117" t="s">
        <v>70</v>
      </c>
      <c r="E117" t="s">
        <v>71</v>
      </c>
      <c r="F117" t="s">
        <v>23</v>
      </c>
      <c r="G117">
        <f>INDEX(Question_Bank!$G$3:$G$14,MATCH(D117,Question_Bank!$A$3:$A$14,0))</f>
        <v>0</v>
      </c>
      <c r="H117">
        <f>IF(F117=G117,1,0)</f>
        <v>0</v>
      </c>
      <c r="I117">
        <f>H117*INDEX(Question_Bank!$M$3:$M$14,MATCH(D117,Question_Bank!$A$3:$A$14,0))</f>
        <v>0</v>
      </c>
      <c r="J117">
        <f>SUMIFS($I$3:$I$566,$A$3:$A$566,A117)</f>
        <v>0</v>
      </c>
      <c r="K117" s="5">
        <f>J117/SUM(Question_Bank!$M$3:$M$14)</f>
        <v>0</v>
      </c>
      <c r="L117" s="5">
        <f>SUMIFS($I$3:$I$566,$A$3:$A$566,A117,$E$3:$E$566,E117)/SUMIFS(Question_Bank!$M$3:$M$14,Question_Bank!$B$3:$B$14,E117)</f>
        <v>0</v>
      </c>
      <c r="M117" t="s">
        <v>152</v>
      </c>
    </row>
    <row r="118" spans="1:13">
      <c r="A118" t="s">
        <v>151</v>
      </c>
      <c r="B118" t="s">
        <v>132</v>
      </c>
      <c r="C118" t="s">
        <v>133</v>
      </c>
      <c r="D118" t="s">
        <v>79</v>
      </c>
      <c r="E118" t="s">
        <v>71</v>
      </c>
      <c r="F118" t="s">
        <v>20</v>
      </c>
      <c r="G118">
        <f>INDEX(Question_Bank!$G$3:$G$14,MATCH(D118,Question_Bank!$A$3:$A$14,0))</f>
        <v>0</v>
      </c>
      <c r="H118">
        <f>IF(F118=G118,1,0)</f>
        <v>0</v>
      </c>
      <c r="I118">
        <f>H118*INDEX(Question_Bank!$M$3:$M$14,MATCH(D118,Question_Bank!$A$3:$A$14,0))</f>
        <v>0</v>
      </c>
      <c r="J118">
        <f>SUMIFS($I$3:$I$566,$A$3:$A$566,A118)</f>
        <v>0</v>
      </c>
      <c r="K118" s="5">
        <f>J118/SUM(Question_Bank!$M$3:$M$14)</f>
        <v>0</v>
      </c>
      <c r="L118" s="5">
        <f>SUMIFS($I$3:$I$566,$A$3:$A$566,A118,$E$3:$E$566,E118)/SUMIFS(Question_Bank!$M$3:$M$14,Question_Bank!$B$3:$B$14,E118)</f>
        <v>0</v>
      </c>
      <c r="M118" t="s">
        <v>152</v>
      </c>
    </row>
    <row r="119" spans="1:13">
      <c r="A119" t="s">
        <v>151</v>
      </c>
      <c r="B119" t="s">
        <v>132</v>
      </c>
      <c r="C119" t="s">
        <v>133</v>
      </c>
      <c r="D119" t="s">
        <v>87</v>
      </c>
      <c r="E119" t="s">
        <v>71</v>
      </c>
      <c r="F119" t="s">
        <v>34</v>
      </c>
      <c r="G119">
        <f>INDEX(Question_Bank!$G$3:$G$14,MATCH(D119,Question_Bank!$A$3:$A$14,0))</f>
        <v>0</v>
      </c>
      <c r="H119">
        <f>IF(F119=G119,1,0)</f>
        <v>0</v>
      </c>
      <c r="I119">
        <f>H119*INDEX(Question_Bank!$M$3:$M$14,MATCH(D119,Question_Bank!$A$3:$A$14,0))</f>
        <v>0</v>
      </c>
      <c r="J119">
        <f>SUMIFS($I$3:$I$566,$A$3:$A$566,A119)</f>
        <v>0</v>
      </c>
      <c r="K119" s="5">
        <f>J119/SUM(Question_Bank!$M$3:$M$14)</f>
        <v>0</v>
      </c>
      <c r="L119" s="5">
        <f>SUMIFS($I$3:$I$566,$A$3:$A$566,A119,$E$3:$E$566,E119)/SUMIFS(Question_Bank!$M$3:$M$14,Question_Bank!$B$3:$B$14,E119)</f>
        <v>0</v>
      </c>
      <c r="M119" t="s">
        <v>152</v>
      </c>
    </row>
    <row r="120" spans="1:13">
      <c r="A120" t="s">
        <v>151</v>
      </c>
      <c r="B120" t="s">
        <v>132</v>
      </c>
      <c r="C120" t="s">
        <v>133</v>
      </c>
      <c r="D120" t="s">
        <v>95</v>
      </c>
      <c r="E120" t="s">
        <v>96</v>
      </c>
      <c r="F120" t="s">
        <v>31</v>
      </c>
      <c r="G120">
        <f>INDEX(Question_Bank!$G$3:$G$14,MATCH(D120,Question_Bank!$A$3:$A$14,0))</f>
        <v>0</v>
      </c>
      <c r="H120">
        <f>IF(F120=G120,1,0)</f>
        <v>0</v>
      </c>
      <c r="I120">
        <f>H120*INDEX(Question_Bank!$M$3:$M$14,MATCH(D120,Question_Bank!$A$3:$A$14,0))</f>
        <v>0</v>
      </c>
      <c r="J120">
        <f>SUMIFS($I$3:$I$566,$A$3:$A$566,A120)</f>
        <v>0</v>
      </c>
      <c r="K120" s="5">
        <f>J120/SUM(Question_Bank!$M$3:$M$14)</f>
        <v>0</v>
      </c>
      <c r="L120" s="5">
        <f>SUMIFS($I$3:$I$566,$A$3:$A$566,A120,$E$3:$E$566,E120)/SUMIFS(Question_Bank!$M$3:$M$14,Question_Bank!$B$3:$B$14,E120)</f>
        <v>0</v>
      </c>
      <c r="M120" t="s">
        <v>152</v>
      </c>
    </row>
    <row r="121" spans="1:13">
      <c r="A121" t="s">
        <v>151</v>
      </c>
      <c r="B121" t="s">
        <v>132</v>
      </c>
      <c r="C121" t="s">
        <v>133</v>
      </c>
      <c r="D121" t="s">
        <v>104</v>
      </c>
      <c r="E121" t="s">
        <v>96</v>
      </c>
      <c r="F121" t="s">
        <v>20</v>
      </c>
      <c r="G121">
        <f>INDEX(Question_Bank!$G$3:$G$14,MATCH(D121,Question_Bank!$A$3:$A$14,0))</f>
        <v>0</v>
      </c>
      <c r="H121">
        <f>IF(F121=G121,1,0)</f>
        <v>0</v>
      </c>
      <c r="I121">
        <f>H121*INDEX(Question_Bank!$M$3:$M$14,MATCH(D121,Question_Bank!$A$3:$A$14,0))</f>
        <v>0</v>
      </c>
      <c r="J121">
        <f>SUMIFS($I$3:$I$566,$A$3:$A$566,A121)</f>
        <v>0</v>
      </c>
      <c r="K121" s="5">
        <f>J121/SUM(Question_Bank!$M$3:$M$14)</f>
        <v>0</v>
      </c>
      <c r="L121" s="5">
        <f>SUMIFS($I$3:$I$566,$A$3:$A$566,A121,$E$3:$E$566,E121)/SUMIFS(Question_Bank!$M$3:$M$14,Question_Bank!$B$3:$B$14,E121)</f>
        <v>0</v>
      </c>
      <c r="M121" t="s">
        <v>152</v>
      </c>
    </row>
    <row r="122" spans="1:13">
      <c r="A122" t="s">
        <v>151</v>
      </c>
      <c r="B122" t="s">
        <v>132</v>
      </c>
      <c r="C122" t="s">
        <v>133</v>
      </c>
      <c r="D122" t="s">
        <v>112</v>
      </c>
      <c r="E122" t="s">
        <v>96</v>
      </c>
      <c r="F122" t="s">
        <v>20</v>
      </c>
      <c r="G122">
        <f>INDEX(Question_Bank!$G$3:$G$14,MATCH(D122,Question_Bank!$A$3:$A$14,0))</f>
        <v>0</v>
      </c>
      <c r="H122">
        <f>IF(F122=G122,1,0)</f>
        <v>0</v>
      </c>
      <c r="I122">
        <f>H122*INDEX(Question_Bank!$M$3:$M$14,MATCH(D122,Question_Bank!$A$3:$A$14,0))</f>
        <v>0</v>
      </c>
      <c r="J122">
        <f>SUMIFS($I$3:$I$566,$A$3:$A$566,A122)</f>
        <v>0</v>
      </c>
      <c r="K122" s="5">
        <f>J122/SUM(Question_Bank!$M$3:$M$14)</f>
        <v>0</v>
      </c>
      <c r="L122" s="5">
        <f>SUMIFS($I$3:$I$566,$A$3:$A$566,A122,$E$3:$E$566,E122)/SUMIFS(Question_Bank!$M$3:$M$14,Question_Bank!$B$3:$B$14,E122)</f>
        <v>0</v>
      </c>
      <c r="M122" t="s">
        <v>152</v>
      </c>
    </row>
    <row r="123" spans="1:13">
      <c r="A123" t="s">
        <v>153</v>
      </c>
      <c r="B123" t="s">
        <v>132</v>
      </c>
      <c r="C123" t="s">
        <v>133</v>
      </c>
      <c r="D123" t="s">
        <v>14</v>
      </c>
      <c r="E123" t="s">
        <v>15</v>
      </c>
      <c r="F123" t="s">
        <v>34</v>
      </c>
      <c r="G123">
        <f>INDEX(Question_Bank!$G$3:$G$14,MATCH(D123,Question_Bank!$A$3:$A$14,0))</f>
        <v>0</v>
      </c>
      <c r="H123">
        <f>IF(F123=G123,1,0)</f>
        <v>0</v>
      </c>
      <c r="I123">
        <f>H123*INDEX(Question_Bank!$M$3:$M$14,MATCH(D123,Question_Bank!$A$3:$A$14,0))</f>
        <v>0</v>
      </c>
      <c r="J123">
        <f>SUMIFS($I$3:$I$566,$A$3:$A$566,A123)</f>
        <v>0</v>
      </c>
      <c r="K123" s="5">
        <f>J123/SUM(Question_Bank!$M$3:$M$14)</f>
        <v>0</v>
      </c>
      <c r="L123" s="5">
        <f>SUMIFS($I$3:$I$566,$A$3:$A$566,A123,$E$3:$E$566,E123)/SUMIFS(Question_Bank!$M$3:$M$14,Question_Bank!$B$3:$B$14,E123)</f>
        <v>0</v>
      </c>
      <c r="M123" t="s">
        <v>154</v>
      </c>
    </row>
    <row r="124" spans="1:13">
      <c r="A124" t="s">
        <v>153</v>
      </c>
      <c r="B124" t="s">
        <v>132</v>
      </c>
      <c r="C124" t="s">
        <v>133</v>
      </c>
      <c r="D124" t="s">
        <v>26</v>
      </c>
      <c r="E124" t="s">
        <v>15</v>
      </c>
      <c r="F124" t="s">
        <v>34</v>
      </c>
      <c r="G124">
        <f>INDEX(Question_Bank!$G$3:$G$14,MATCH(D124,Question_Bank!$A$3:$A$14,0))</f>
        <v>0</v>
      </c>
      <c r="H124">
        <f>IF(F124=G124,1,0)</f>
        <v>0</v>
      </c>
      <c r="I124">
        <f>H124*INDEX(Question_Bank!$M$3:$M$14,MATCH(D124,Question_Bank!$A$3:$A$14,0))</f>
        <v>0</v>
      </c>
      <c r="J124">
        <f>SUMIFS($I$3:$I$566,$A$3:$A$566,A124)</f>
        <v>0</v>
      </c>
      <c r="K124" s="5">
        <f>J124/SUM(Question_Bank!$M$3:$M$14)</f>
        <v>0</v>
      </c>
      <c r="L124" s="5">
        <f>SUMIFS($I$3:$I$566,$A$3:$A$566,A124,$E$3:$E$566,E124)/SUMIFS(Question_Bank!$M$3:$M$14,Question_Bank!$B$3:$B$14,E124)</f>
        <v>0</v>
      </c>
      <c r="M124" t="s">
        <v>154</v>
      </c>
    </row>
    <row r="125" spans="1:13">
      <c r="A125" t="s">
        <v>153</v>
      </c>
      <c r="B125" t="s">
        <v>132</v>
      </c>
      <c r="C125" t="s">
        <v>133</v>
      </c>
      <c r="D125" t="s">
        <v>37</v>
      </c>
      <c r="E125" t="s">
        <v>15</v>
      </c>
      <c r="F125" t="s">
        <v>23</v>
      </c>
      <c r="G125">
        <f>INDEX(Question_Bank!$G$3:$G$14,MATCH(D125,Question_Bank!$A$3:$A$14,0))</f>
        <v>0</v>
      </c>
      <c r="H125">
        <f>IF(F125=G125,1,0)</f>
        <v>0</v>
      </c>
      <c r="I125">
        <f>H125*INDEX(Question_Bank!$M$3:$M$14,MATCH(D125,Question_Bank!$A$3:$A$14,0))</f>
        <v>0</v>
      </c>
      <c r="J125">
        <f>SUMIFS($I$3:$I$566,$A$3:$A$566,A125)</f>
        <v>0</v>
      </c>
      <c r="K125" s="5">
        <f>J125/SUM(Question_Bank!$M$3:$M$14)</f>
        <v>0</v>
      </c>
      <c r="L125" s="5">
        <f>SUMIFS($I$3:$I$566,$A$3:$A$566,A125,$E$3:$E$566,E125)/SUMIFS(Question_Bank!$M$3:$M$14,Question_Bank!$B$3:$B$14,E125)</f>
        <v>0</v>
      </c>
      <c r="M125" t="s">
        <v>154</v>
      </c>
    </row>
    <row r="126" spans="1:13">
      <c r="A126" t="s">
        <v>153</v>
      </c>
      <c r="B126" t="s">
        <v>132</v>
      </c>
      <c r="C126" t="s">
        <v>133</v>
      </c>
      <c r="D126" t="s">
        <v>45</v>
      </c>
      <c r="E126" t="s">
        <v>46</v>
      </c>
      <c r="F126" t="s">
        <v>20</v>
      </c>
      <c r="G126">
        <f>INDEX(Question_Bank!$G$3:$G$14,MATCH(D126,Question_Bank!$A$3:$A$14,0))</f>
        <v>0</v>
      </c>
      <c r="H126">
        <f>IF(F126=G126,1,0)</f>
        <v>0</v>
      </c>
      <c r="I126">
        <f>H126*INDEX(Question_Bank!$M$3:$M$14,MATCH(D126,Question_Bank!$A$3:$A$14,0))</f>
        <v>0</v>
      </c>
      <c r="J126">
        <f>SUMIFS($I$3:$I$566,$A$3:$A$566,A126)</f>
        <v>0</v>
      </c>
      <c r="K126" s="5">
        <f>J126/SUM(Question_Bank!$M$3:$M$14)</f>
        <v>0</v>
      </c>
      <c r="L126" s="5">
        <f>SUMIFS($I$3:$I$566,$A$3:$A$566,A126,$E$3:$E$566,E126)/SUMIFS(Question_Bank!$M$3:$M$14,Question_Bank!$B$3:$B$14,E126)</f>
        <v>0</v>
      </c>
      <c r="M126" t="s">
        <v>154</v>
      </c>
    </row>
    <row r="127" spans="1:13">
      <c r="A127" t="s">
        <v>153</v>
      </c>
      <c r="B127" t="s">
        <v>132</v>
      </c>
      <c r="C127" t="s">
        <v>133</v>
      </c>
      <c r="D127" t="s">
        <v>54</v>
      </c>
      <c r="E127" t="s">
        <v>46</v>
      </c>
      <c r="F127" t="s">
        <v>23</v>
      </c>
      <c r="G127">
        <f>INDEX(Question_Bank!$G$3:$G$14,MATCH(D127,Question_Bank!$A$3:$A$14,0))</f>
        <v>0</v>
      </c>
      <c r="H127">
        <f>IF(F127=G127,1,0)</f>
        <v>0</v>
      </c>
      <c r="I127">
        <f>H127*INDEX(Question_Bank!$M$3:$M$14,MATCH(D127,Question_Bank!$A$3:$A$14,0))</f>
        <v>0</v>
      </c>
      <c r="J127">
        <f>SUMIFS($I$3:$I$566,$A$3:$A$566,A127)</f>
        <v>0</v>
      </c>
      <c r="K127" s="5">
        <f>J127/SUM(Question_Bank!$M$3:$M$14)</f>
        <v>0</v>
      </c>
      <c r="L127" s="5">
        <f>SUMIFS($I$3:$I$566,$A$3:$A$566,A127,$E$3:$E$566,E127)/SUMIFS(Question_Bank!$M$3:$M$14,Question_Bank!$B$3:$B$14,E127)</f>
        <v>0</v>
      </c>
      <c r="M127" t="s">
        <v>154</v>
      </c>
    </row>
    <row r="128" spans="1:13">
      <c r="A128" t="s">
        <v>153</v>
      </c>
      <c r="B128" t="s">
        <v>132</v>
      </c>
      <c r="C128" t="s">
        <v>133</v>
      </c>
      <c r="D128" t="s">
        <v>62</v>
      </c>
      <c r="E128" t="s">
        <v>46</v>
      </c>
      <c r="F128" t="s">
        <v>31</v>
      </c>
      <c r="G128">
        <f>INDEX(Question_Bank!$G$3:$G$14,MATCH(D128,Question_Bank!$A$3:$A$14,0))</f>
        <v>0</v>
      </c>
      <c r="H128">
        <f>IF(F128=G128,1,0)</f>
        <v>0</v>
      </c>
      <c r="I128">
        <f>H128*INDEX(Question_Bank!$M$3:$M$14,MATCH(D128,Question_Bank!$A$3:$A$14,0))</f>
        <v>0</v>
      </c>
      <c r="J128">
        <f>SUMIFS($I$3:$I$566,$A$3:$A$566,A128)</f>
        <v>0</v>
      </c>
      <c r="K128" s="5">
        <f>J128/SUM(Question_Bank!$M$3:$M$14)</f>
        <v>0</v>
      </c>
      <c r="L128" s="5">
        <f>SUMIFS($I$3:$I$566,$A$3:$A$566,A128,$E$3:$E$566,E128)/SUMIFS(Question_Bank!$M$3:$M$14,Question_Bank!$B$3:$B$14,E128)</f>
        <v>0</v>
      </c>
      <c r="M128" t="s">
        <v>154</v>
      </c>
    </row>
    <row r="129" spans="1:13">
      <c r="A129" t="s">
        <v>153</v>
      </c>
      <c r="B129" t="s">
        <v>132</v>
      </c>
      <c r="C129" t="s">
        <v>133</v>
      </c>
      <c r="D129" t="s">
        <v>70</v>
      </c>
      <c r="E129" t="s">
        <v>71</v>
      </c>
      <c r="F129" t="s">
        <v>23</v>
      </c>
      <c r="G129">
        <f>INDEX(Question_Bank!$G$3:$G$14,MATCH(D129,Question_Bank!$A$3:$A$14,0))</f>
        <v>0</v>
      </c>
      <c r="H129">
        <f>IF(F129=G129,1,0)</f>
        <v>0</v>
      </c>
      <c r="I129">
        <f>H129*INDEX(Question_Bank!$M$3:$M$14,MATCH(D129,Question_Bank!$A$3:$A$14,0))</f>
        <v>0</v>
      </c>
      <c r="J129">
        <f>SUMIFS($I$3:$I$566,$A$3:$A$566,A129)</f>
        <v>0</v>
      </c>
      <c r="K129" s="5">
        <f>J129/SUM(Question_Bank!$M$3:$M$14)</f>
        <v>0</v>
      </c>
      <c r="L129" s="5">
        <f>SUMIFS($I$3:$I$566,$A$3:$A$566,A129,$E$3:$E$566,E129)/SUMIFS(Question_Bank!$M$3:$M$14,Question_Bank!$B$3:$B$14,E129)</f>
        <v>0</v>
      </c>
      <c r="M129" t="s">
        <v>154</v>
      </c>
    </row>
    <row r="130" spans="1:13">
      <c r="A130" t="s">
        <v>153</v>
      </c>
      <c r="B130" t="s">
        <v>132</v>
      </c>
      <c r="C130" t="s">
        <v>133</v>
      </c>
      <c r="D130" t="s">
        <v>79</v>
      </c>
      <c r="E130" t="s">
        <v>71</v>
      </c>
      <c r="F130" t="s">
        <v>23</v>
      </c>
      <c r="G130">
        <f>INDEX(Question_Bank!$G$3:$G$14,MATCH(D130,Question_Bank!$A$3:$A$14,0))</f>
        <v>0</v>
      </c>
      <c r="H130">
        <f>IF(F130=G130,1,0)</f>
        <v>0</v>
      </c>
      <c r="I130">
        <f>H130*INDEX(Question_Bank!$M$3:$M$14,MATCH(D130,Question_Bank!$A$3:$A$14,0))</f>
        <v>0</v>
      </c>
      <c r="J130">
        <f>SUMIFS($I$3:$I$566,$A$3:$A$566,A130)</f>
        <v>0</v>
      </c>
      <c r="K130" s="5">
        <f>J130/SUM(Question_Bank!$M$3:$M$14)</f>
        <v>0</v>
      </c>
      <c r="L130" s="5">
        <f>SUMIFS($I$3:$I$566,$A$3:$A$566,A130,$E$3:$E$566,E130)/SUMIFS(Question_Bank!$M$3:$M$14,Question_Bank!$B$3:$B$14,E130)</f>
        <v>0</v>
      </c>
      <c r="M130" t="s">
        <v>154</v>
      </c>
    </row>
    <row r="131" spans="1:13">
      <c r="A131" t="s">
        <v>153</v>
      </c>
      <c r="B131" t="s">
        <v>132</v>
      </c>
      <c r="C131" t="s">
        <v>133</v>
      </c>
      <c r="D131" t="s">
        <v>87</v>
      </c>
      <c r="E131" t="s">
        <v>71</v>
      </c>
      <c r="F131" t="s">
        <v>34</v>
      </c>
      <c r="G131">
        <f>INDEX(Question_Bank!$G$3:$G$14,MATCH(D131,Question_Bank!$A$3:$A$14,0))</f>
        <v>0</v>
      </c>
      <c r="H131">
        <f>IF(F131=G131,1,0)</f>
        <v>0</v>
      </c>
      <c r="I131">
        <f>H131*INDEX(Question_Bank!$M$3:$M$14,MATCH(D131,Question_Bank!$A$3:$A$14,0))</f>
        <v>0</v>
      </c>
      <c r="J131">
        <f>SUMIFS($I$3:$I$566,$A$3:$A$566,A131)</f>
        <v>0</v>
      </c>
      <c r="K131" s="5">
        <f>J131/SUM(Question_Bank!$M$3:$M$14)</f>
        <v>0</v>
      </c>
      <c r="L131" s="5">
        <f>SUMIFS($I$3:$I$566,$A$3:$A$566,A131,$E$3:$E$566,E131)/SUMIFS(Question_Bank!$M$3:$M$14,Question_Bank!$B$3:$B$14,E131)</f>
        <v>0</v>
      </c>
      <c r="M131" t="s">
        <v>154</v>
      </c>
    </row>
    <row r="132" spans="1:13">
      <c r="A132" t="s">
        <v>153</v>
      </c>
      <c r="B132" t="s">
        <v>132</v>
      </c>
      <c r="C132" t="s">
        <v>133</v>
      </c>
      <c r="D132" t="s">
        <v>95</v>
      </c>
      <c r="E132" t="s">
        <v>96</v>
      </c>
      <c r="F132" t="s">
        <v>34</v>
      </c>
      <c r="G132">
        <f>INDEX(Question_Bank!$G$3:$G$14,MATCH(D132,Question_Bank!$A$3:$A$14,0))</f>
        <v>0</v>
      </c>
      <c r="H132">
        <f>IF(F132=G132,1,0)</f>
        <v>0</v>
      </c>
      <c r="I132">
        <f>H132*INDEX(Question_Bank!$M$3:$M$14,MATCH(D132,Question_Bank!$A$3:$A$14,0))</f>
        <v>0</v>
      </c>
      <c r="J132">
        <f>SUMIFS($I$3:$I$566,$A$3:$A$566,A132)</f>
        <v>0</v>
      </c>
      <c r="K132" s="5">
        <f>J132/SUM(Question_Bank!$M$3:$M$14)</f>
        <v>0</v>
      </c>
      <c r="L132" s="5">
        <f>SUMIFS($I$3:$I$566,$A$3:$A$566,A132,$E$3:$E$566,E132)/SUMIFS(Question_Bank!$M$3:$M$14,Question_Bank!$B$3:$B$14,E132)</f>
        <v>0</v>
      </c>
      <c r="M132" t="s">
        <v>154</v>
      </c>
    </row>
    <row r="133" spans="1:13">
      <c r="A133" t="s">
        <v>153</v>
      </c>
      <c r="B133" t="s">
        <v>132</v>
      </c>
      <c r="C133" t="s">
        <v>133</v>
      </c>
      <c r="D133" t="s">
        <v>104</v>
      </c>
      <c r="E133" t="s">
        <v>96</v>
      </c>
      <c r="F133" t="s">
        <v>20</v>
      </c>
      <c r="G133">
        <f>INDEX(Question_Bank!$G$3:$G$14,MATCH(D133,Question_Bank!$A$3:$A$14,0))</f>
        <v>0</v>
      </c>
      <c r="H133">
        <f>IF(F133=G133,1,0)</f>
        <v>0</v>
      </c>
      <c r="I133">
        <f>H133*INDEX(Question_Bank!$M$3:$M$14,MATCH(D133,Question_Bank!$A$3:$A$14,0))</f>
        <v>0</v>
      </c>
      <c r="J133">
        <f>SUMIFS($I$3:$I$566,$A$3:$A$566,A133)</f>
        <v>0</v>
      </c>
      <c r="K133" s="5">
        <f>J133/SUM(Question_Bank!$M$3:$M$14)</f>
        <v>0</v>
      </c>
      <c r="L133" s="5">
        <f>SUMIFS($I$3:$I$566,$A$3:$A$566,A133,$E$3:$E$566,E133)/SUMIFS(Question_Bank!$M$3:$M$14,Question_Bank!$B$3:$B$14,E133)</f>
        <v>0</v>
      </c>
      <c r="M133" t="s">
        <v>154</v>
      </c>
    </row>
    <row r="134" spans="1:13">
      <c r="A134" t="s">
        <v>153</v>
      </c>
      <c r="B134" t="s">
        <v>132</v>
      </c>
      <c r="C134" t="s">
        <v>133</v>
      </c>
      <c r="D134" t="s">
        <v>112</v>
      </c>
      <c r="E134" t="s">
        <v>96</v>
      </c>
      <c r="F134" t="s">
        <v>34</v>
      </c>
      <c r="G134">
        <f>INDEX(Question_Bank!$G$3:$G$14,MATCH(D134,Question_Bank!$A$3:$A$14,0))</f>
        <v>0</v>
      </c>
      <c r="H134">
        <f>IF(F134=G134,1,0)</f>
        <v>0</v>
      </c>
      <c r="I134">
        <f>H134*INDEX(Question_Bank!$M$3:$M$14,MATCH(D134,Question_Bank!$A$3:$A$14,0))</f>
        <v>0</v>
      </c>
      <c r="J134">
        <f>SUMIFS($I$3:$I$566,$A$3:$A$566,A134)</f>
        <v>0</v>
      </c>
      <c r="K134" s="5">
        <f>J134/SUM(Question_Bank!$M$3:$M$14)</f>
        <v>0</v>
      </c>
      <c r="L134" s="5">
        <f>SUMIFS($I$3:$I$566,$A$3:$A$566,A134,$E$3:$E$566,E134)/SUMIFS(Question_Bank!$M$3:$M$14,Question_Bank!$B$3:$B$14,E134)</f>
        <v>0</v>
      </c>
      <c r="M134" t="s">
        <v>154</v>
      </c>
    </row>
    <row r="135" spans="1:13">
      <c r="A135" t="s">
        <v>155</v>
      </c>
      <c r="B135" t="s">
        <v>132</v>
      </c>
      <c r="C135" t="s">
        <v>133</v>
      </c>
      <c r="D135" t="s">
        <v>14</v>
      </c>
      <c r="E135" t="s">
        <v>15</v>
      </c>
      <c r="F135" t="s">
        <v>23</v>
      </c>
      <c r="G135">
        <f>INDEX(Question_Bank!$G$3:$G$14,MATCH(D135,Question_Bank!$A$3:$A$14,0))</f>
        <v>0</v>
      </c>
      <c r="H135">
        <f>IF(F135=G135,1,0)</f>
        <v>0</v>
      </c>
      <c r="I135">
        <f>H135*INDEX(Question_Bank!$M$3:$M$14,MATCH(D135,Question_Bank!$A$3:$A$14,0))</f>
        <v>0</v>
      </c>
      <c r="J135">
        <f>SUMIFS($I$3:$I$566,$A$3:$A$566,A135)</f>
        <v>0</v>
      </c>
      <c r="K135" s="5">
        <f>J135/SUM(Question_Bank!$M$3:$M$14)</f>
        <v>0</v>
      </c>
      <c r="L135" s="5">
        <f>SUMIFS($I$3:$I$566,$A$3:$A$566,A135,$E$3:$E$566,E135)/SUMIFS(Question_Bank!$M$3:$M$14,Question_Bank!$B$3:$B$14,E135)</f>
        <v>0</v>
      </c>
      <c r="M135" t="s">
        <v>156</v>
      </c>
    </row>
    <row r="136" spans="1:13">
      <c r="A136" t="s">
        <v>155</v>
      </c>
      <c r="B136" t="s">
        <v>132</v>
      </c>
      <c r="C136" t="s">
        <v>133</v>
      </c>
      <c r="D136" t="s">
        <v>26</v>
      </c>
      <c r="E136" t="s">
        <v>15</v>
      </c>
      <c r="F136" t="s">
        <v>31</v>
      </c>
      <c r="G136">
        <f>INDEX(Question_Bank!$G$3:$G$14,MATCH(D136,Question_Bank!$A$3:$A$14,0))</f>
        <v>0</v>
      </c>
      <c r="H136">
        <f>IF(F136=G136,1,0)</f>
        <v>0</v>
      </c>
      <c r="I136">
        <f>H136*INDEX(Question_Bank!$M$3:$M$14,MATCH(D136,Question_Bank!$A$3:$A$14,0))</f>
        <v>0</v>
      </c>
      <c r="J136">
        <f>SUMIFS($I$3:$I$566,$A$3:$A$566,A136)</f>
        <v>0</v>
      </c>
      <c r="K136" s="5">
        <f>J136/SUM(Question_Bank!$M$3:$M$14)</f>
        <v>0</v>
      </c>
      <c r="L136" s="5">
        <f>SUMIFS($I$3:$I$566,$A$3:$A$566,A136,$E$3:$E$566,E136)/SUMIFS(Question_Bank!$M$3:$M$14,Question_Bank!$B$3:$B$14,E136)</f>
        <v>0</v>
      </c>
      <c r="M136" t="s">
        <v>156</v>
      </c>
    </row>
    <row r="137" spans="1:13">
      <c r="A137" t="s">
        <v>155</v>
      </c>
      <c r="B137" t="s">
        <v>132</v>
      </c>
      <c r="C137" t="s">
        <v>133</v>
      </c>
      <c r="D137" t="s">
        <v>37</v>
      </c>
      <c r="E137" t="s">
        <v>15</v>
      </c>
      <c r="F137" t="s">
        <v>34</v>
      </c>
      <c r="G137">
        <f>INDEX(Question_Bank!$G$3:$G$14,MATCH(D137,Question_Bank!$A$3:$A$14,0))</f>
        <v>0</v>
      </c>
      <c r="H137">
        <f>IF(F137=G137,1,0)</f>
        <v>0</v>
      </c>
      <c r="I137">
        <f>H137*INDEX(Question_Bank!$M$3:$M$14,MATCH(D137,Question_Bank!$A$3:$A$14,0))</f>
        <v>0</v>
      </c>
      <c r="J137">
        <f>SUMIFS($I$3:$I$566,$A$3:$A$566,A137)</f>
        <v>0</v>
      </c>
      <c r="K137" s="5">
        <f>J137/SUM(Question_Bank!$M$3:$M$14)</f>
        <v>0</v>
      </c>
      <c r="L137" s="5">
        <f>SUMIFS($I$3:$I$566,$A$3:$A$566,A137,$E$3:$E$566,E137)/SUMIFS(Question_Bank!$M$3:$M$14,Question_Bank!$B$3:$B$14,E137)</f>
        <v>0</v>
      </c>
      <c r="M137" t="s">
        <v>156</v>
      </c>
    </row>
    <row r="138" spans="1:13">
      <c r="A138" t="s">
        <v>155</v>
      </c>
      <c r="B138" t="s">
        <v>132</v>
      </c>
      <c r="C138" t="s">
        <v>133</v>
      </c>
      <c r="D138" t="s">
        <v>45</v>
      </c>
      <c r="E138" t="s">
        <v>46</v>
      </c>
      <c r="F138" t="s">
        <v>31</v>
      </c>
      <c r="G138">
        <f>INDEX(Question_Bank!$G$3:$G$14,MATCH(D138,Question_Bank!$A$3:$A$14,0))</f>
        <v>0</v>
      </c>
      <c r="H138">
        <f>IF(F138=G138,1,0)</f>
        <v>0</v>
      </c>
      <c r="I138">
        <f>H138*INDEX(Question_Bank!$M$3:$M$14,MATCH(D138,Question_Bank!$A$3:$A$14,0))</f>
        <v>0</v>
      </c>
      <c r="J138">
        <f>SUMIFS($I$3:$I$566,$A$3:$A$566,A138)</f>
        <v>0</v>
      </c>
      <c r="K138" s="5">
        <f>J138/SUM(Question_Bank!$M$3:$M$14)</f>
        <v>0</v>
      </c>
      <c r="L138" s="5">
        <f>SUMIFS($I$3:$I$566,$A$3:$A$566,A138,$E$3:$E$566,E138)/SUMIFS(Question_Bank!$M$3:$M$14,Question_Bank!$B$3:$B$14,E138)</f>
        <v>0</v>
      </c>
      <c r="M138" t="s">
        <v>156</v>
      </c>
    </row>
    <row r="139" spans="1:13">
      <c r="A139" t="s">
        <v>155</v>
      </c>
      <c r="B139" t="s">
        <v>132</v>
      </c>
      <c r="C139" t="s">
        <v>133</v>
      </c>
      <c r="D139" t="s">
        <v>54</v>
      </c>
      <c r="E139" t="s">
        <v>46</v>
      </c>
      <c r="F139" t="s">
        <v>34</v>
      </c>
      <c r="G139">
        <f>INDEX(Question_Bank!$G$3:$G$14,MATCH(D139,Question_Bank!$A$3:$A$14,0))</f>
        <v>0</v>
      </c>
      <c r="H139">
        <f>IF(F139=G139,1,0)</f>
        <v>0</v>
      </c>
      <c r="I139">
        <f>H139*INDEX(Question_Bank!$M$3:$M$14,MATCH(D139,Question_Bank!$A$3:$A$14,0))</f>
        <v>0</v>
      </c>
      <c r="J139">
        <f>SUMIFS($I$3:$I$566,$A$3:$A$566,A139)</f>
        <v>0</v>
      </c>
      <c r="K139" s="5">
        <f>J139/SUM(Question_Bank!$M$3:$M$14)</f>
        <v>0</v>
      </c>
      <c r="L139" s="5">
        <f>SUMIFS($I$3:$I$566,$A$3:$A$566,A139,$E$3:$E$566,E139)/SUMIFS(Question_Bank!$M$3:$M$14,Question_Bank!$B$3:$B$14,E139)</f>
        <v>0</v>
      </c>
      <c r="M139" t="s">
        <v>156</v>
      </c>
    </row>
    <row r="140" spans="1:13">
      <c r="A140" t="s">
        <v>155</v>
      </c>
      <c r="B140" t="s">
        <v>132</v>
      </c>
      <c r="C140" t="s">
        <v>133</v>
      </c>
      <c r="D140" t="s">
        <v>62</v>
      </c>
      <c r="E140" t="s">
        <v>46</v>
      </c>
      <c r="F140" t="s">
        <v>31</v>
      </c>
      <c r="G140">
        <f>INDEX(Question_Bank!$G$3:$G$14,MATCH(D140,Question_Bank!$A$3:$A$14,0))</f>
        <v>0</v>
      </c>
      <c r="H140">
        <f>IF(F140=G140,1,0)</f>
        <v>0</v>
      </c>
      <c r="I140">
        <f>H140*INDEX(Question_Bank!$M$3:$M$14,MATCH(D140,Question_Bank!$A$3:$A$14,0))</f>
        <v>0</v>
      </c>
      <c r="J140">
        <f>SUMIFS($I$3:$I$566,$A$3:$A$566,A140)</f>
        <v>0</v>
      </c>
      <c r="K140" s="5">
        <f>J140/SUM(Question_Bank!$M$3:$M$14)</f>
        <v>0</v>
      </c>
      <c r="L140" s="5">
        <f>SUMIFS($I$3:$I$566,$A$3:$A$566,A140,$E$3:$E$566,E140)/SUMIFS(Question_Bank!$M$3:$M$14,Question_Bank!$B$3:$B$14,E140)</f>
        <v>0</v>
      </c>
      <c r="M140" t="s">
        <v>156</v>
      </c>
    </row>
    <row r="141" spans="1:13">
      <c r="A141" t="s">
        <v>155</v>
      </c>
      <c r="B141" t="s">
        <v>132</v>
      </c>
      <c r="C141" t="s">
        <v>133</v>
      </c>
      <c r="D141" t="s">
        <v>70</v>
      </c>
      <c r="E141" t="s">
        <v>71</v>
      </c>
      <c r="F141" t="s">
        <v>20</v>
      </c>
      <c r="G141">
        <f>INDEX(Question_Bank!$G$3:$G$14,MATCH(D141,Question_Bank!$A$3:$A$14,0))</f>
        <v>0</v>
      </c>
      <c r="H141">
        <f>IF(F141=G141,1,0)</f>
        <v>0</v>
      </c>
      <c r="I141">
        <f>H141*INDEX(Question_Bank!$M$3:$M$14,MATCH(D141,Question_Bank!$A$3:$A$14,0))</f>
        <v>0</v>
      </c>
      <c r="J141">
        <f>SUMIFS($I$3:$I$566,$A$3:$A$566,A141)</f>
        <v>0</v>
      </c>
      <c r="K141" s="5">
        <f>J141/SUM(Question_Bank!$M$3:$M$14)</f>
        <v>0</v>
      </c>
      <c r="L141" s="5">
        <f>SUMIFS($I$3:$I$566,$A$3:$A$566,A141,$E$3:$E$566,E141)/SUMIFS(Question_Bank!$M$3:$M$14,Question_Bank!$B$3:$B$14,E141)</f>
        <v>0</v>
      </c>
      <c r="M141" t="s">
        <v>156</v>
      </c>
    </row>
    <row r="142" spans="1:13">
      <c r="A142" t="s">
        <v>155</v>
      </c>
      <c r="B142" t="s">
        <v>132</v>
      </c>
      <c r="C142" t="s">
        <v>133</v>
      </c>
      <c r="D142" t="s">
        <v>79</v>
      </c>
      <c r="E142" t="s">
        <v>71</v>
      </c>
      <c r="F142" t="s">
        <v>31</v>
      </c>
      <c r="G142">
        <f>INDEX(Question_Bank!$G$3:$G$14,MATCH(D142,Question_Bank!$A$3:$A$14,0))</f>
        <v>0</v>
      </c>
      <c r="H142">
        <f>IF(F142=G142,1,0)</f>
        <v>0</v>
      </c>
      <c r="I142">
        <f>H142*INDEX(Question_Bank!$M$3:$M$14,MATCH(D142,Question_Bank!$A$3:$A$14,0))</f>
        <v>0</v>
      </c>
      <c r="J142">
        <f>SUMIFS($I$3:$I$566,$A$3:$A$566,A142)</f>
        <v>0</v>
      </c>
      <c r="K142" s="5">
        <f>J142/SUM(Question_Bank!$M$3:$M$14)</f>
        <v>0</v>
      </c>
      <c r="L142" s="5">
        <f>SUMIFS($I$3:$I$566,$A$3:$A$566,A142,$E$3:$E$566,E142)/SUMIFS(Question_Bank!$M$3:$M$14,Question_Bank!$B$3:$B$14,E142)</f>
        <v>0</v>
      </c>
      <c r="M142" t="s">
        <v>156</v>
      </c>
    </row>
    <row r="143" spans="1:13">
      <c r="A143" t="s">
        <v>155</v>
      </c>
      <c r="B143" t="s">
        <v>132</v>
      </c>
      <c r="C143" t="s">
        <v>133</v>
      </c>
      <c r="D143" t="s">
        <v>87</v>
      </c>
      <c r="E143" t="s">
        <v>71</v>
      </c>
      <c r="F143" t="s">
        <v>34</v>
      </c>
      <c r="G143">
        <f>INDEX(Question_Bank!$G$3:$G$14,MATCH(D143,Question_Bank!$A$3:$A$14,0))</f>
        <v>0</v>
      </c>
      <c r="H143">
        <f>IF(F143=G143,1,0)</f>
        <v>0</v>
      </c>
      <c r="I143">
        <f>H143*INDEX(Question_Bank!$M$3:$M$14,MATCH(D143,Question_Bank!$A$3:$A$14,0))</f>
        <v>0</v>
      </c>
      <c r="J143">
        <f>SUMIFS($I$3:$I$566,$A$3:$A$566,A143)</f>
        <v>0</v>
      </c>
      <c r="K143" s="5">
        <f>J143/SUM(Question_Bank!$M$3:$M$14)</f>
        <v>0</v>
      </c>
      <c r="L143" s="5">
        <f>SUMIFS($I$3:$I$566,$A$3:$A$566,A143,$E$3:$E$566,E143)/SUMIFS(Question_Bank!$M$3:$M$14,Question_Bank!$B$3:$B$14,E143)</f>
        <v>0</v>
      </c>
      <c r="M143" t="s">
        <v>156</v>
      </c>
    </row>
    <row r="144" spans="1:13">
      <c r="A144" t="s">
        <v>155</v>
      </c>
      <c r="B144" t="s">
        <v>132</v>
      </c>
      <c r="C144" t="s">
        <v>133</v>
      </c>
      <c r="D144" t="s">
        <v>95</v>
      </c>
      <c r="E144" t="s">
        <v>96</v>
      </c>
      <c r="F144" t="s">
        <v>34</v>
      </c>
      <c r="G144">
        <f>INDEX(Question_Bank!$G$3:$G$14,MATCH(D144,Question_Bank!$A$3:$A$14,0))</f>
        <v>0</v>
      </c>
      <c r="H144">
        <f>IF(F144=G144,1,0)</f>
        <v>0</v>
      </c>
      <c r="I144">
        <f>H144*INDEX(Question_Bank!$M$3:$M$14,MATCH(D144,Question_Bank!$A$3:$A$14,0))</f>
        <v>0</v>
      </c>
      <c r="J144">
        <f>SUMIFS($I$3:$I$566,$A$3:$A$566,A144)</f>
        <v>0</v>
      </c>
      <c r="K144" s="5">
        <f>J144/SUM(Question_Bank!$M$3:$M$14)</f>
        <v>0</v>
      </c>
      <c r="L144" s="5">
        <f>SUMIFS($I$3:$I$566,$A$3:$A$566,A144,$E$3:$E$566,E144)/SUMIFS(Question_Bank!$M$3:$M$14,Question_Bank!$B$3:$B$14,E144)</f>
        <v>0</v>
      </c>
      <c r="M144" t="s">
        <v>156</v>
      </c>
    </row>
    <row r="145" spans="1:13">
      <c r="A145" t="s">
        <v>155</v>
      </c>
      <c r="B145" t="s">
        <v>132</v>
      </c>
      <c r="C145" t="s">
        <v>133</v>
      </c>
      <c r="D145" t="s">
        <v>104</v>
      </c>
      <c r="E145" t="s">
        <v>96</v>
      </c>
      <c r="F145" t="s">
        <v>34</v>
      </c>
      <c r="G145">
        <f>INDEX(Question_Bank!$G$3:$G$14,MATCH(D145,Question_Bank!$A$3:$A$14,0))</f>
        <v>0</v>
      </c>
      <c r="H145">
        <f>IF(F145=G145,1,0)</f>
        <v>0</v>
      </c>
      <c r="I145">
        <f>H145*INDEX(Question_Bank!$M$3:$M$14,MATCH(D145,Question_Bank!$A$3:$A$14,0))</f>
        <v>0</v>
      </c>
      <c r="J145">
        <f>SUMIFS($I$3:$I$566,$A$3:$A$566,A145)</f>
        <v>0</v>
      </c>
      <c r="K145" s="5">
        <f>J145/SUM(Question_Bank!$M$3:$M$14)</f>
        <v>0</v>
      </c>
      <c r="L145" s="5">
        <f>SUMIFS($I$3:$I$566,$A$3:$A$566,A145,$E$3:$E$566,E145)/SUMIFS(Question_Bank!$M$3:$M$14,Question_Bank!$B$3:$B$14,E145)</f>
        <v>0</v>
      </c>
      <c r="M145" t="s">
        <v>156</v>
      </c>
    </row>
    <row r="146" spans="1:13">
      <c r="A146" t="s">
        <v>155</v>
      </c>
      <c r="B146" t="s">
        <v>132</v>
      </c>
      <c r="C146" t="s">
        <v>133</v>
      </c>
      <c r="D146" t="s">
        <v>112</v>
      </c>
      <c r="E146" t="s">
        <v>96</v>
      </c>
      <c r="F146" t="s">
        <v>23</v>
      </c>
      <c r="G146">
        <f>INDEX(Question_Bank!$G$3:$G$14,MATCH(D146,Question_Bank!$A$3:$A$14,0))</f>
        <v>0</v>
      </c>
      <c r="H146">
        <f>IF(F146=G146,1,0)</f>
        <v>0</v>
      </c>
      <c r="I146">
        <f>H146*INDEX(Question_Bank!$M$3:$M$14,MATCH(D146,Question_Bank!$A$3:$A$14,0))</f>
        <v>0</v>
      </c>
      <c r="J146">
        <f>SUMIFS($I$3:$I$566,$A$3:$A$566,A146)</f>
        <v>0</v>
      </c>
      <c r="K146" s="5">
        <f>J146/SUM(Question_Bank!$M$3:$M$14)</f>
        <v>0</v>
      </c>
      <c r="L146" s="5">
        <f>SUMIFS($I$3:$I$566,$A$3:$A$566,A146,$E$3:$E$566,E146)/SUMIFS(Question_Bank!$M$3:$M$14,Question_Bank!$B$3:$B$14,E146)</f>
        <v>0</v>
      </c>
      <c r="M146" t="s">
        <v>156</v>
      </c>
    </row>
    <row r="147" spans="1:13">
      <c r="A147" t="s">
        <v>157</v>
      </c>
      <c r="B147" t="s">
        <v>132</v>
      </c>
      <c r="C147" t="s">
        <v>133</v>
      </c>
      <c r="D147" t="s">
        <v>14</v>
      </c>
      <c r="E147" t="s">
        <v>15</v>
      </c>
      <c r="F147" t="s">
        <v>20</v>
      </c>
      <c r="G147">
        <f>INDEX(Question_Bank!$G$3:$G$14,MATCH(D147,Question_Bank!$A$3:$A$14,0))</f>
        <v>0</v>
      </c>
      <c r="H147">
        <f>IF(F147=G147,1,0)</f>
        <v>0</v>
      </c>
      <c r="I147">
        <f>H147*INDEX(Question_Bank!$M$3:$M$14,MATCH(D147,Question_Bank!$A$3:$A$14,0))</f>
        <v>0</v>
      </c>
      <c r="J147">
        <f>SUMIFS($I$3:$I$566,$A$3:$A$566,A147)</f>
        <v>0</v>
      </c>
      <c r="K147" s="5">
        <f>J147/SUM(Question_Bank!$M$3:$M$14)</f>
        <v>0</v>
      </c>
      <c r="L147" s="5">
        <f>SUMIFS($I$3:$I$566,$A$3:$A$566,A147,$E$3:$E$566,E147)/SUMIFS(Question_Bank!$M$3:$M$14,Question_Bank!$B$3:$B$14,E147)</f>
        <v>0</v>
      </c>
      <c r="M147" t="s">
        <v>158</v>
      </c>
    </row>
    <row r="148" spans="1:13">
      <c r="A148" t="s">
        <v>157</v>
      </c>
      <c r="B148" t="s">
        <v>132</v>
      </c>
      <c r="C148" t="s">
        <v>133</v>
      </c>
      <c r="D148" t="s">
        <v>26</v>
      </c>
      <c r="E148" t="s">
        <v>15</v>
      </c>
      <c r="F148" t="s">
        <v>20</v>
      </c>
      <c r="G148">
        <f>INDEX(Question_Bank!$G$3:$G$14,MATCH(D148,Question_Bank!$A$3:$A$14,0))</f>
        <v>0</v>
      </c>
      <c r="H148">
        <f>IF(F148=G148,1,0)</f>
        <v>0</v>
      </c>
      <c r="I148">
        <f>H148*INDEX(Question_Bank!$M$3:$M$14,MATCH(D148,Question_Bank!$A$3:$A$14,0))</f>
        <v>0</v>
      </c>
      <c r="J148">
        <f>SUMIFS($I$3:$I$566,$A$3:$A$566,A148)</f>
        <v>0</v>
      </c>
      <c r="K148" s="5">
        <f>J148/SUM(Question_Bank!$M$3:$M$14)</f>
        <v>0</v>
      </c>
      <c r="L148" s="5">
        <f>SUMIFS($I$3:$I$566,$A$3:$A$566,A148,$E$3:$E$566,E148)/SUMIFS(Question_Bank!$M$3:$M$14,Question_Bank!$B$3:$B$14,E148)</f>
        <v>0</v>
      </c>
      <c r="M148" t="s">
        <v>158</v>
      </c>
    </row>
    <row r="149" spans="1:13">
      <c r="A149" t="s">
        <v>157</v>
      </c>
      <c r="B149" t="s">
        <v>132</v>
      </c>
      <c r="C149" t="s">
        <v>133</v>
      </c>
      <c r="D149" t="s">
        <v>37</v>
      </c>
      <c r="E149" t="s">
        <v>15</v>
      </c>
      <c r="F149" t="s">
        <v>23</v>
      </c>
      <c r="G149">
        <f>INDEX(Question_Bank!$G$3:$G$14,MATCH(D149,Question_Bank!$A$3:$A$14,0))</f>
        <v>0</v>
      </c>
      <c r="H149">
        <f>IF(F149=G149,1,0)</f>
        <v>0</v>
      </c>
      <c r="I149">
        <f>H149*INDEX(Question_Bank!$M$3:$M$14,MATCH(D149,Question_Bank!$A$3:$A$14,0))</f>
        <v>0</v>
      </c>
      <c r="J149">
        <f>SUMIFS($I$3:$I$566,$A$3:$A$566,A149)</f>
        <v>0</v>
      </c>
      <c r="K149" s="5">
        <f>J149/SUM(Question_Bank!$M$3:$M$14)</f>
        <v>0</v>
      </c>
      <c r="L149" s="5">
        <f>SUMIFS($I$3:$I$566,$A$3:$A$566,A149,$E$3:$E$566,E149)/SUMIFS(Question_Bank!$M$3:$M$14,Question_Bank!$B$3:$B$14,E149)</f>
        <v>0</v>
      </c>
      <c r="M149" t="s">
        <v>158</v>
      </c>
    </row>
    <row r="150" spans="1:13">
      <c r="A150" t="s">
        <v>157</v>
      </c>
      <c r="B150" t="s">
        <v>132</v>
      </c>
      <c r="C150" t="s">
        <v>133</v>
      </c>
      <c r="D150" t="s">
        <v>45</v>
      </c>
      <c r="E150" t="s">
        <v>46</v>
      </c>
      <c r="F150" t="s">
        <v>34</v>
      </c>
      <c r="G150">
        <f>INDEX(Question_Bank!$G$3:$G$14,MATCH(D150,Question_Bank!$A$3:$A$14,0))</f>
        <v>0</v>
      </c>
      <c r="H150">
        <f>IF(F150=G150,1,0)</f>
        <v>0</v>
      </c>
      <c r="I150">
        <f>H150*INDEX(Question_Bank!$M$3:$M$14,MATCH(D150,Question_Bank!$A$3:$A$14,0))</f>
        <v>0</v>
      </c>
      <c r="J150">
        <f>SUMIFS($I$3:$I$566,$A$3:$A$566,A150)</f>
        <v>0</v>
      </c>
      <c r="K150" s="5">
        <f>J150/SUM(Question_Bank!$M$3:$M$14)</f>
        <v>0</v>
      </c>
      <c r="L150" s="5">
        <f>SUMIFS($I$3:$I$566,$A$3:$A$566,A150,$E$3:$E$566,E150)/SUMIFS(Question_Bank!$M$3:$M$14,Question_Bank!$B$3:$B$14,E150)</f>
        <v>0</v>
      </c>
      <c r="M150" t="s">
        <v>158</v>
      </c>
    </row>
    <row r="151" spans="1:13">
      <c r="A151" t="s">
        <v>157</v>
      </c>
      <c r="B151" t="s">
        <v>132</v>
      </c>
      <c r="C151" t="s">
        <v>133</v>
      </c>
      <c r="D151" t="s">
        <v>54</v>
      </c>
      <c r="E151" t="s">
        <v>46</v>
      </c>
      <c r="F151" t="s">
        <v>23</v>
      </c>
      <c r="G151">
        <f>INDEX(Question_Bank!$G$3:$G$14,MATCH(D151,Question_Bank!$A$3:$A$14,0))</f>
        <v>0</v>
      </c>
      <c r="H151">
        <f>IF(F151=G151,1,0)</f>
        <v>0</v>
      </c>
      <c r="I151">
        <f>H151*INDEX(Question_Bank!$M$3:$M$14,MATCH(D151,Question_Bank!$A$3:$A$14,0))</f>
        <v>0</v>
      </c>
      <c r="J151">
        <f>SUMIFS($I$3:$I$566,$A$3:$A$566,A151)</f>
        <v>0</v>
      </c>
      <c r="K151" s="5">
        <f>J151/SUM(Question_Bank!$M$3:$M$14)</f>
        <v>0</v>
      </c>
      <c r="L151" s="5">
        <f>SUMIFS($I$3:$I$566,$A$3:$A$566,A151,$E$3:$E$566,E151)/SUMIFS(Question_Bank!$M$3:$M$14,Question_Bank!$B$3:$B$14,E151)</f>
        <v>0</v>
      </c>
      <c r="M151" t="s">
        <v>158</v>
      </c>
    </row>
    <row r="152" spans="1:13">
      <c r="A152" t="s">
        <v>157</v>
      </c>
      <c r="B152" t="s">
        <v>132</v>
      </c>
      <c r="C152" t="s">
        <v>133</v>
      </c>
      <c r="D152" t="s">
        <v>62</v>
      </c>
      <c r="E152" t="s">
        <v>46</v>
      </c>
      <c r="F152" t="s">
        <v>31</v>
      </c>
      <c r="G152">
        <f>INDEX(Question_Bank!$G$3:$G$14,MATCH(D152,Question_Bank!$A$3:$A$14,0))</f>
        <v>0</v>
      </c>
      <c r="H152">
        <f>IF(F152=G152,1,0)</f>
        <v>0</v>
      </c>
      <c r="I152">
        <f>H152*INDEX(Question_Bank!$M$3:$M$14,MATCH(D152,Question_Bank!$A$3:$A$14,0))</f>
        <v>0</v>
      </c>
      <c r="J152">
        <f>SUMIFS($I$3:$I$566,$A$3:$A$566,A152)</f>
        <v>0</v>
      </c>
      <c r="K152" s="5">
        <f>J152/SUM(Question_Bank!$M$3:$M$14)</f>
        <v>0</v>
      </c>
      <c r="L152" s="5">
        <f>SUMIFS($I$3:$I$566,$A$3:$A$566,A152,$E$3:$E$566,E152)/SUMIFS(Question_Bank!$M$3:$M$14,Question_Bank!$B$3:$B$14,E152)</f>
        <v>0</v>
      </c>
      <c r="M152" t="s">
        <v>158</v>
      </c>
    </row>
    <row r="153" spans="1:13">
      <c r="A153" t="s">
        <v>157</v>
      </c>
      <c r="B153" t="s">
        <v>132</v>
      </c>
      <c r="C153" t="s">
        <v>133</v>
      </c>
      <c r="D153" t="s">
        <v>70</v>
      </c>
      <c r="E153" t="s">
        <v>71</v>
      </c>
      <c r="F153" t="s">
        <v>31</v>
      </c>
      <c r="G153">
        <f>INDEX(Question_Bank!$G$3:$G$14,MATCH(D153,Question_Bank!$A$3:$A$14,0))</f>
        <v>0</v>
      </c>
      <c r="H153">
        <f>IF(F153=G153,1,0)</f>
        <v>0</v>
      </c>
      <c r="I153">
        <f>H153*INDEX(Question_Bank!$M$3:$M$14,MATCH(D153,Question_Bank!$A$3:$A$14,0))</f>
        <v>0</v>
      </c>
      <c r="J153">
        <f>SUMIFS($I$3:$I$566,$A$3:$A$566,A153)</f>
        <v>0</v>
      </c>
      <c r="K153" s="5">
        <f>J153/SUM(Question_Bank!$M$3:$M$14)</f>
        <v>0</v>
      </c>
      <c r="L153" s="5">
        <f>SUMIFS($I$3:$I$566,$A$3:$A$566,A153,$E$3:$E$566,E153)/SUMIFS(Question_Bank!$M$3:$M$14,Question_Bank!$B$3:$B$14,E153)</f>
        <v>0</v>
      </c>
      <c r="M153" t="s">
        <v>158</v>
      </c>
    </row>
    <row r="154" spans="1:13">
      <c r="A154" t="s">
        <v>157</v>
      </c>
      <c r="B154" t="s">
        <v>132</v>
      </c>
      <c r="C154" t="s">
        <v>133</v>
      </c>
      <c r="D154" t="s">
        <v>79</v>
      </c>
      <c r="E154" t="s">
        <v>71</v>
      </c>
      <c r="F154" t="s">
        <v>23</v>
      </c>
      <c r="G154">
        <f>INDEX(Question_Bank!$G$3:$G$14,MATCH(D154,Question_Bank!$A$3:$A$14,0))</f>
        <v>0</v>
      </c>
      <c r="H154">
        <f>IF(F154=G154,1,0)</f>
        <v>0</v>
      </c>
      <c r="I154">
        <f>H154*INDEX(Question_Bank!$M$3:$M$14,MATCH(D154,Question_Bank!$A$3:$A$14,0))</f>
        <v>0</v>
      </c>
      <c r="J154">
        <f>SUMIFS($I$3:$I$566,$A$3:$A$566,A154)</f>
        <v>0</v>
      </c>
      <c r="K154" s="5">
        <f>J154/SUM(Question_Bank!$M$3:$M$14)</f>
        <v>0</v>
      </c>
      <c r="L154" s="5">
        <f>SUMIFS($I$3:$I$566,$A$3:$A$566,A154,$E$3:$E$566,E154)/SUMIFS(Question_Bank!$M$3:$M$14,Question_Bank!$B$3:$B$14,E154)</f>
        <v>0</v>
      </c>
      <c r="M154" t="s">
        <v>158</v>
      </c>
    </row>
    <row r="155" spans="1:13">
      <c r="A155" t="s">
        <v>157</v>
      </c>
      <c r="B155" t="s">
        <v>132</v>
      </c>
      <c r="C155" t="s">
        <v>133</v>
      </c>
      <c r="D155" t="s">
        <v>87</v>
      </c>
      <c r="E155" t="s">
        <v>71</v>
      </c>
      <c r="F155" t="s">
        <v>34</v>
      </c>
      <c r="G155">
        <f>INDEX(Question_Bank!$G$3:$G$14,MATCH(D155,Question_Bank!$A$3:$A$14,0))</f>
        <v>0</v>
      </c>
      <c r="H155">
        <f>IF(F155=G155,1,0)</f>
        <v>0</v>
      </c>
      <c r="I155">
        <f>H155*INDEX(Question_Bank!$M$3:$M$14,MATCH(D155,Question_Bank!$A$3:$A$14,0))</f>
        <v>0</v>
      </c>
      <c r="J155">
        <f>SUMIFS($I$3:$I$566,$A$3:$A$566,A155)</f>
        <v>0</v>
      </c>
      <c r="K155" s="5">
        <f>J155/SUM(Question_Bank!$M$3:$M$14)</f>
        <v>0</v>
      </c>
      <c r="L155" s="5">
        <f>SUMIFS($I$3:$I$566,$A$3:$A$566,A155,$E$3:$E$566,E155)/SUMIFS(Question_Bank!$M$3:$M$14,Question_Bank!$B$3:$B$14,E155)</f>
        <v>0</v>
      </c>
      <c r="M155" t="s">
        <v>158</v>
      </c>
    </row>
    <row r="156" spans="1:13">
      <c r="A156" t="s">
        <v>157</v>
      </c>
      <c r="B156" t="s">
        <v>132</v>
      </c>
      <c r="C156" t="s">
        <v>133</v>
      </c>
      <c r="D156" t="s">
        <v>95</v>
      </c>
      <c r="E156" t="s">
        <v>96</v>
      </c>
      <c r="F156" t="s">
        <v>31</v>
      </c>
      <c r="G156">
        <f>INDEX(Question_Bank!$G$3:$G$14,MATCH(D156,Question_Bank!$A$3:$A$14,0))</f>
        <v>0</v>
      </c>
      <c r="H156">
        <f>IF(F156=G156,1,0)</f>
        <v>0</v>
      </c>
      <c r="I156">
        <f>H156*INDEX(Question_Bank!$M$3:$M$14,MATCH(D156,Question_Bank!$A$3:$A$14,0))</f>
        <v>0</v>
      </c>
      <c r="J156">
        <f>SUMIFS($I$3:$I$566,$A$3:$A$566,A156)</f>
        <v>0</v>
      </c>
      <c r="K156" s="5">
        <f>J156/SUM(Question_Bank!$M$3:$M$14)</f>
        <v>0</v>
      </c>
      <c r="L156" s="5">
        <f>SUMIFS($I$3:$I$566,$A$3:$A$566,A156,$E$3:$E$566,E156)/SUMIFS(Question_Bank!$M$3:$M$14,Question_Bank!$B$3:$B$14,E156)</f>
        <v>0</v>
      </c>
      <c r="M156" t="s">
        <v>158</v>
      </c>
    </row>
    <row r="157" spans="1:13">
      <c r="A157" t="s">
        <v>157</v>
      </c>
      <c r="B157" t="s">
        <v>132</v>
      </c>
      <c r="C157" t="s">
        <v>133</v>
      </c>
      <c r="D157" t="s">
        <v>104</v>
      </c>
      <c r="E157" t="s">
        <v>96</v>
      </c>
      <c r="F157" t="s">
        <v>23</v>
      </c>
      <c r="G157">
        <f>INDEX(Question_Bank!$G$3:$G$14,MATCH(D157,Question_Bank!$A$3:$A$14,0))</f>
        <v>0</v>
      </c>
      <c r="H157">
        <f>IF(F157=G157,1,0)</f>
        <v>0</v>
      </c>
      <c r="I157">
        <f>H157*INDEX(Question_Bank!$M$3:$M$14,MATCH(D157,Question_Bank!$A$3:$A$14,0))</f>
        <v>0</v>
      </c>
      <c r="J157">
        <f>SUMIFS($I$3:$I$566,$A$3:$A$566,A157)</f>
        <v>0</v>
      </c>
      <c r="K157" s="5">
        <f>J157/SUM(Question_Bank!$M$3:$M$14)</f>
        <v>0</v>
      </c>
      <c r="L157" s="5">
        <f>SUMIFS($I$3:$I$566,$A$3:$A$566,A157,$E$3:$E$566,E157)/SUMIFS(Question_Bank!$M$3:$M$14,Question_Bank!$B$3:$B$14,E157)</f>
        <v>0</v>
      </c>
      <c r="M157" t="s">
        <v>158</v>
      </c>
    </row>
    <row r="158" spans="1:13">
      <c r="A158" t="s">
        <v>157</v>
      </c>
      <c r="B158" t="s">
        <v>132</v>
      </c>
      <c r="C158" t="s">
        <v>133</v>
      </c>
      <c r="D158" t="s">
        <v>112</v>
      </c>
      <c r="E158" t="s">
        <v>96</v>
      </c>
      <c r="F158" t="s">
        <v>20</v>
      </c>
      <c r="G158">
        <f>INDEX(Question_Bank!$G$3:$G$14,MATCH(D158,Question_Bank!$A$3:$A$14,0))</f>
        <v>0</v>
      </c>
      <c r="H158">
        <f>IF(F158=G158,1,0)</f>
        <v>0</v>
      </c>
      <c r="I158">
        <f>H158*INDEX(Question_Bank!$M$3:$M$14,MATCH(D158,Question_Bank!$A$3:$A$14,0))</f>
        <v>0</v>
      </c>
      <c r="J158">
        <f>SUMIFS($I$3:$I$566,$A$3:$A$566,A158)</f>
        <v>0</v>
      </c>
      <c r="K158" s="5">
        <f>J158/SUM(Question_Bank!$M$3:$M$14)</f>
        <v>0</v>
      </c>
      <c r="L158" s="5">
        <f>SUMIFS($I$3:$I$566,$A$3:$A$566,A158,$E$3:$E$566,E158)/SUMIFS(Question_Bank!$M$3:$M$14,Question_Bank!$B$3:$B$14,E158)</f>
        <v>0</v>
      </c>
      <c r="M158" t="s">
        <v>158</v>
      </c>
    </row>
    <row r="159" spans="1:13">
      <c r="A159" t="s">
        <v>159</v>
      </c>
      <c r="B159" t="s">
        <v>132</v>
      </c>
      <c r="C159" t="s">
        <v>133</v>
      </c>
      <c r="D159" t="s">
        <v>14</v>
      </c>
      <c r="E159" t="s">
        <v>15</v>
      </c>
      <c r="F159" t="s">
        <v>20</v>
      </c>
      <c r="G159">
        <f>INDEX(Question_Bank!$G$3:$G$14,MATCH(D159,Question_Bank!$A$3:$A$14,0))</f>
        <v>0</v>
      </c>
      <c r="H159">
        <f>IF(F159=G159,1,0)</f>
        <v>0</v>
      </c>
      <c r="I159">
        <f>H159*INDEX(Question_Bank!$M$3:$M$14,MATCH(D159,Question_Bank!$A$3:$A$14,0))</f>
        <v>0</v>
      </c>
      <c r="J159">
        <f>SUMIFS($I$3:$I$566,$A$3:$A$566,A159)</f>
        <v>0</v>
      </c>
      <c r="K159" s="5">
        <f>J159/SUM(Question_Bank!$M$3:$M$14)</f>
        <v>0</v>
      </c>
      <c r="L159" s="5">
        <f>SUMIFS($I$3:$I$566,$A$3:$A$566,A159,$E$3:$E$566,E159)/SUMIFS(Question_Bank!$M$3:$M$14,Question_Bank!$B$3:$B$14,E159)</f>
        <v>0</v>
      </c>
      <c r="M159" t="s">
        <v>160</v>
      </c>
    </row>
    <row r="160" spans="1:13">
      <c r="A160" t="s">
        <v>159</v>
      </c>
      <c r="B160" t="s">
        <v>132</v>
      </c>
      <c r="C160" t="s">
        <v>133</v>
      </c>
      <c r="D160" t="s">
        <v>26</v>
      </c>
      <c r="E160" t="s">
        <v>15</v>
      </c>
      <c r="F160" t="s">
        <v>34</v>
      </c>
      <c r="G160">
        <f>INDEX(Question_Bank!$G$3:$G$14,MATCH(D160,Question_Bank!$A$3:$A$14,0))</f>
        <v>0</v>
      </c>
      <c r="H160">
        <f>IF(F160=G160,1,0)</f>
        <v>0</v>
      </c>
      <c r="I160">
        <f>H160*INDEX(Question_Bank!$M$3:$M$14,MATCH(D160,Question_Bank!$A$3:$A$14,0))</f>
        <v>0</v>
      </c>
      <c r="J160">
        <f>SUMIFS($I$3:$I$566,$A$3:$A$566,A160)</f>
        <v>0</v>
      </c>
      <c r="K160" s="5">
        <f>J160/SUM(Question_Bank!$M$3:$M$14)</f>
        <v>0</v>
      </c>
      <c r="L160" s="5">
        <f>SUMIFS($I$3:$I$566,$A$3:$A$566,A160,$E$3:$E$566,E160)/SUMIFS(Question_Bank!$M$3:$M$14,Question_Bank!$B$3:$B$14,E160)</f>
        <v>0</v>
      </c>
      <c r="M160" t="s">
        <v>160</v>
      </c>
    </row>
    <row r="161" spans="1:13">
      <c r="A161" t="s">
        <v>159</v>
      </c>
      <c r="B161" t="s">
        <v>132</v>
      </c>
      <c r="C161" t="s">
        <v>133</v>
      </c>
      <c r="D161" t="s">
        <v>37</v>
      </c>
      <c r="E161" t="s">
        <v>15</v>
      </c>
      <c r="F161" t="s">
        <v>23</v>
      </c>
      <c r="G161">
        <f>INDEX(Question_Bank!$G$3:$G$14,MATCH(D161,Question_Bank!$A$3:$A$14,0))</f>
        <v>0</v>
      </c>
      <c r="H161">
        <f>IF(F161=G161,1,0)</f>
        <v>0</v>
      </c>
      <c r="I161">
        <f>H161*INDEX(Question_Bank!$M$3:$M$14,MATCH(D161,Question_Bank!$A$3:$A$14,0))</f>
        <v>0</v>
      </c>
      <c r="J161">
        <f>SUMIFS($I$3:$I$566,$A$3:$A$566,A161)</f>
        <v>0</v>
      </c>
      <c r="K161" s="5">
        <f>J161/SUM(Question_Bank!$M$3:$M$14)</f>
        <v>0</v>
      </c>
      <c r="L161" s="5">
        <f>SUMIFS($I$3:$I$566,$A$3:$A$566,A161,$E$3:$E$566,E161)/SUMIFS(Question_Bank!$M$3:$M$14,Question_Bank!$B$3:$B$14,E161)</f>
        <v>0</v>
      </c>
      <c r="M161" t="s">
        <v>160</v>
      </c>
    </row>
    <row r="162" spans="1:13">
      <c r="A162" t="s">
        <v>159</v>
      </c>
      <c r="B162" t="s">
        <v>132</v>
      </c>
      <c r="C162" t="s">
        <v>133</v>
      </c>
      <c r="D162" t="s">
        <v>45</v>
      </c>
      <c r="E162" t="s">
        <v>46</v>
      </c>
      <c r="F162" t="s">
        <v>20</v>
      </c>
      <c r="G162">
        <f>INDEX(Question_Bank!$G$3:$G$14,MATCH(D162,Question_Bank!$A$3:$A$14,0))</f>
        <v>0</v>
      </c>
      <c r="H162">
        <f>IF(F162=G162,1,0)</f>
        <v>0</v>
      </c>
      <c r="I162">
        <f>H162*INDEX(Question_Bank!$M$3:$M$14,MATCH(D162,Question_Bank!$A$3:$A$14,0))</f>
        <v>0</v>
      </c>
      <c r="J162">
        <f>SUMIFS($I$3:$I$566,$A$3:$A$566,A162)</f>
        <v>0</v>
      </c>
      <c r="K162" s="5">
        <f>J162/SUM(Question_Bank!$M$3:$M$14)</f>
        <v>0</v>
      </c>
      <c r="L162" s="5">
        <f>SUMIFS($I$3:$I$566,$A$3:$A$566,A162,$E$3:$E$566,E162)/SUMIFS(Question_Bank!$M$3:$M$14,Question_Bank!$B$3:$B$14,E162)</f>
        <v>0</v>
      </c>
      <c r="M162" t="s">
        <v>160</v>
      </c>
    </row>
    <row r="163" spans="1:13">
      <c r="A163" t="s">
        <v>159</v>
      </c>
      <c r="B163" t="s">
        <v>132</v>
      </c>
      <c r="C163" t="s">
        <v>133</v>
      </c>
      <c r="D163" t="s">
        <v>54</v>
      </c>
      <c r="E163" t="s">
        <v>46</v>
      </c>
      <c r="F163" t="s">
        <v>31</v>
      </c>
      <c r="G163">
        <f>INDEX(Question_Bank!$G$3:$G$14,MATCH(D163,Question_Bank!$A$3:$A$14,0))</f>
        <v>0</v>
      </c>
      <c r="H163">
        <f>IF(F163=G163,1,0)</f>
        <v>0</v>
      </c>
      <c r="I163">
        <f>H163*INDEX(Question_Bank!$M$3:$M$14,MATCH(D163,Question_Bank!$A$3:$A$14,0))</f>
        <v>0</v>
      </c>
      <c r="J163">
        <f>SUMIFS($I$3:$I$566,$A$3:$A$566,A163)</f>
        <v>0</v>
      </c>
      <c r="K163" s="5">
        <f>J163/SUM(Question_Bank!$M$3:$M$14)</f>
        <v>0</v>
      </c>
      <c r="L163" s="5">
        <f>SUMIFS($I$3:$I$566,$A$3:$A$566,A163,$E$3:$E$566,E163)/SUMIFS(Question_Bank!$M$3:$M$14,Question_Bank!$B$3:$B$14,E163)</f>
        <v>0</v>
      </c>
      <c r="M163" t="s">
        <v>160</v>
      </c>
    </row>
    <row r="164" spans="1:13">
      <c r="A164" t="s">
        <v>159</v>
      </c>
      <c r="B164" t="s">
        <v>132</v>
      </c>
      <c r="C164" t="s">
        <v>133</v>
      </c>
      <c r="D164" t="s">
        <v>62</v>
      </c>
      <c r="E164" t="s">
        <v>46</v>
      </c>
      <c r="F164" t="s">
        <v>31</v>
      </c>
      <c r="G164">
        <f>INDEX(Question_Bank!$G$3:$G$14,MATCH(D164,Question_Bank!$A$3:$A$14,0))</f>
        <v>0</v>
      </c>
      <c r="H164">
        <f>IF(F164=G164,1,0)</f>
        <v>0</v>
      </c>
      <c r="I164">
        <f>H164*INDEX(Question_Bank!$M$3:$M$14,MATCH(D164,Question_Bank!$A$3:$A$14,0))</f>
        <v>0</v>
      </c>
      <c r="J164">
        <f>SUMIFS($I$3:$I$566,$A$3:$A$566,A164)</f>
        <v>0</v>
      </c>
      <c r="K164" s="5">
        <f>J164/SUM(Question_Bank!$M$3:$M$14)</f>
        <v>0</v>
      </c>
      <c r="L164" s="5">
        <f>SUMIFS($I$3:$I$566,$A$3:$A$566,A164,$E$3:$E$566,E164)/SUMIFS(Question_Bank!$M$3:$M$14,Question_Bank!$B$3:$B$14,E164)</f>
        <v>0</v>
      </c>
      <c r="M164" t="s">
        <v>160</v>
      </c>
    </row>
    <row r="165" spans="1:13">
      <c r="A165" t="s">
        <v>159</v>
      </c>
      <c r="B165" t="s">
        <v>132</v>
      </c>
      <c r="C165" t="s">
        <v>133</v>
      </c>
      <c r="D165" t="s">
        <v>70</v>
      </c>
      <c r="E165" t="s">
        <v>71</v>
      </c>
      <c r="F165" t="s">
        <v>20</v>
      </c>
      <c r="G165">
        <f>INDEX(Question_Bank!$G$3:$G$14,MATCH(D165,Question_Bank!$A$3:$A$14,0))</f>
        <v>0</v>
      </c>
      <c r="H165">
        <f>IF(F165=G165,1,0)</f>
        <v>0</v>
      </c>
      <c r="I165">
        <f>H165*INDEX(Question_Bank!$M$3:$M$14,MATCH(D165,Question_Bank!$A$3:$A$14,0))</f>
        <v>0</v>
      </c>
      <c r="J165">
        <f>SUMIFS($I$3:$I$566,$A$3:$A$566,A165)</f>
        <v>0</v>
      </c>
      <c r="K165" s="5">
        <f>J165/SUM(Question_Bank!$M$3:$M$14)</f>
        <v>0</v>
      </c>
      <c r="L165" s="5">
        <f>SUMIFS($I$3:$I$566,$A$3:$A$566,A165,$E$3:$E$566,E165)/SUMIFS(Question_Bank!$M$3:$M$14,Question_Bank!$B$3:$B$14,E165)</f>
        <v>0</v>
      </c>
      <c r="M165" t="s">
        <v>160</v>
      </c>
    </row>
    <row r="166" spans="1:13">
      <c r="A166" t="s">
        <v>159</v>
      </c>
      <c r="B166" t="s">
        <v>132</v>
      </c>
      <c r="C166" t="s">
        <v>133</v>
      </c>
      <c r="D166" t="s">
        <v>79</v>
      </c>
      <c r="E166" t="s">
        <v>71</v>
      </c>
      <c r="F166" t="s">
        <v>23</v>
      </c>
      <c r="G166">
        <f>INDEX(Question_Bank!$G$3:$G$14,MATCH(D166,Question_Bank!$A$3:$A$14,0))</f>
        <v>0</v>
      </c>
      <c r="H166">
        <f>IF(F166=G166,1,0)</f>
        <v>0</v>
      </c>
      <c r="I166">
        <f>H166*INDEX(Question_Bank!$M$3:$M$14,MATCH(D166,Question_Bank!$A$3:$A$14,0))</f>
        <v>0</v>
      </c>
      <c r="J166">
        <f>SUMIFS($I$3:$I$566,$A$3:$A$566,A166)</f>
        <v>0</v>
      </c>
      <c r="K166" s="5">
        <f>J166/SUM(Question_Bank!$M$3:$M$14)</f>
        <v>0</v>
      </c>
      <c r="L166" s="5">
        <f>SUMIFS($I$3:$I$566,$A$3:$A$566,A166,$E$3:$E$566,E166)/SUMIFS(Question_Bank!$M$3:$M$14,Question_Bank!$B$3:$B$14,E166)</f>
        <v>0</v>
      </c>
      <c r="M166" t="s">
        <v>160</v>
      </c>
    </row>
    <row r="167" spans="1:13">
      <c r="A167" t="s">
        <v>159</v>
      </c>
      <c r="B167" t="s">
        <v>132</v>
      </c>
      <c r="C167" t="s">
        <v>133</v>
      </c>
      <c r="D167" t="s">
        <v>87</v>
      </c>
      <c r="E167" t="s">
        <v>71</v>
      </c>
      <c r="F167" t="s">
        <v>31</v>
      </c>
      <c r="G167">
        <f>INDEX(Question_Bank!$G$3:$G$14,MATCH(D167,Question_Bank!$A$3:$A$14,0))</f>
        <v>0</v>
      </c>
      <c r="H167">
        <f>IF(F167=G167,1,0)</f>
        <v>0</v>
      </c>
      <c r="I167">
        <f>H167*INDEX(Question_Bank!$M$3:$M$14,MATCH(D167,Question_Bank!$A$3:$A$14,0))</f>
        <v>0</v>
      </c>
      <c r="J167">
        <f>SUMIFS($I$3:$I$566,$A$3:$A$566,A167)</f>
        <v>0</v>
      </c>
      <c r="K167" s="5">
        <f>J167/SUM(Question_Bank!$M$3:$M$14)</f>
        <v>0</v>
      </c>
      <c r="L167" s="5">
        <f>SUMIFS($I$3:$I$566,$A$3:$A$566,A167,$E$3:$E$566,E167)/SUMIFS(Question_Bank!$M$3:$M$14,Question_Bank!$B$3:$B$14,E167)</f>
        <v>0</v>
      </c>
      <c r="M167" t="s">
        <v>160</v>
      </c>
    </row>
    <row r="168" spans="1:13">
      <c r="A168" t="s">
        <v>159</v>
      </c>
      <c r="B168" t="s">
        <v>132</v>
      </c>
      <c r="C168" t="s">
        <v>133</v>
      </c>
      <c r="D168" t="s">
        <v>95</v>
      </c>
      <c r="E168" t="s">
        <v>96</v>
      </c>
      <c r="F168" t="s">
        <v>31</v>
      </c>
      <c r="G168">
        <f>INDEX(Question_Bank!$G$3:$G$14,MATCH(D168,Question_Bank!$A$3:$A$14,0))</f>
        <v>0</v>
      </c>
      <c r="H168">
        <f>IF(F168=G168,1,0)</f>
        <v>0</v>
      </c>
      <c r="I168">
        <f>H168*INDEX(Question_Bank!$M$3:$M$14,MATCH(D168,Question_Bank!$A$3:$A$14,0))</f>
        <v>0</v>
      </c>
      <c r="J168">
        <f>SUMIFS($I$3:$I$566,$A$3:$A$566,A168)</f>
        <v>0</v>
      </c>
      <c r="K168" s="5">
        <f>J168/SUM(Question_Bank!$M$3:$M$14)</f>
        <v>0</v>
      </c>
      <c r="L168" s="5">
        <f>SUMIFS($I$3:$I$566,$A$3:$A$566,A168,$E$3:$E$566,E168)/SUMIFS(Question_Bank!$M$3:$M$14,Question_Bank!$B$3:$B$14,E168)</f>
        <v>0</v>
      </c>
      <c r="M168" t="s">
        <v>160</v>
      </c>
    </row>
    <row r="169" spans="1:13">
      <c r="A169" t="s">
        <v>159</v>
      </c>
      <c r="B169" t="s">
        <v>132</v>
      </c>
      <c r="C169" t="s">
        <v>133</v>
      </c>
      <c r="D169" t="s">
        <v>104</v>
      </c>
      <c r="E169" t="s">
        <v>96</v>
      </c>
      <c r="F169" t="s">
        <v>23</v>
      </c>
      <c r="G169">
        <f>INDEX(Question_Bank!$G$3:$G$14,MATCH(D169,Question_Bank!$A$3:$A$14,0))</f>
        <v>0</v>
      </c>
      <c r="H169">
        <f>IF(F169=G169,1,0)</f>
        <v>0</v>
      </c>
      <c r="I169">
        <f>H169*INDEX(Question_Bank!$M$3:$M$14,MATCH(D169,Question_Bank!$A$3:$A$14,0))</f>
        <v>0</v>
      </c>
      <c r="J169">
        <f>SUMIFS($I$3:$I$566,$A$3:$A$566,A169)</f>
        <v>0</v>
      </c>
      <c r="K169" s="5">
        <f>J169/SUM(Question_Bank!$M$3:$M$14)</f>
        <v>0</v>
      </c>
      <c r="L169" s="5">
        <f>SUMIFS($I$3:$I$566,$A$3:$A$566,A169,$E$3:$E$566,E169)/SUMIFS(Question_Bank!$M$3:$M$14,Question_Bank!$B$3:$B$14,E169)</f>
        <v>0</v>
      </c>
      <c r="M169" t="s">
        <v>160</v>
      </c>
    </row>
    <row r="170" spans="1:13">
      <c r="A170" t="s">
        <v>159</v>
      </c>
      <c r="B170" t="s">
        <v>132</v>
      </c>
      <c r="C170" t="s">
        <v>133</v>
      </c>
      <c r="D170" t="s">
        <v>112</v>
      </c>
      <c r="E170" t="s">
        <v>96</v>
      </c>
      <c r="F170" t="s">
        <v>34</v>
      </c>
      <c r="G170">
        <f>INDEX(Question_Bank!$G$3:$G$14,MATCH(D170,Question_Bank!$A$3:$A$14,0))</f>
        <v>0</v>
      </c>
      <c r="H170">
        <f>IF(F170=G170,1,0)</f>
        <v>0</v>
      </c>
      <c r="I170">
        <f>H170*INDEX(Question_Bank!$M$3:$M$14,MATCH(D170,Question_Bank!$A$3:$A$14,0))</f>
        <v>0</v>
      </c>
      <c r="J170">
        <f>SUMIFS($I$3:$I$566,$A$3:$A$566,A170)</f>
        <v>0</v>
      </c>
      <c r="K170" s="5">
        <f>J170/SUM(Question_Bank!$M$3:$M$14)</f>
        <v>0</v>
      </c>
      <c r="L170" s="5">
        <f>SUMIFS($I$3:$I$566,$A$3:$A$566,A170,$E$3:$E$566,E170)/SUMIFS(Question_Bank!$M$3:$M$14,Question_Bank!$B$3:$B$14,E170)</f>
        <v>0</v>
      </c>
      <c r="M170" t="s">
        <v>160</v>
      </c>
    </row>
    <row r="171" spans="1:13">
      <c r="A171" t="s">
        <v>161</v>
      </c>
      <c r="B171" t="s">
        <v>132</v>
      </c>
      <c r="C171" t="s">
        <v>133</v>
      </c>
      <c r="D171" t="s">
        <v>14</v>
      </c>
      <c r="E171" t="s">
        <v>15</v>
      </c>
      <c r="F171" t="s">
        <v>31</v>
      </c>
      <c r="G171">
        <f>INDEX(Question_Bank!$G$3:$G$14,MATCH(D171,Question_Bank!$A$3:$A$14,0))</f>
        <v>0</v>
      </c>
      <c r="H171">
        <f>IF(F171=G171,1,0)</f>
        <v>0</v>
      </c>
      <c r="I171">
        <f>H171*INDEX(Question_Bank!$M$3:$M$14,MATCH(D171,Question_Bank!$A$3:$A$14,0))</f>
        <v>0</v>
      </c>
      <c r="J171">
        <f>SUMIFS($I$3:$I$566,$A$3:$A$566,A171)</f>
        <v>0</v>
      </c>
      <c r="K171" s="5">
        <f>J171/SUM(Question_Bank!$M$3:$M$14)</f>
        <v>0</v>
      </c>
      <c r="L171" s="5">
        <f>SUMIFS($I$3:$I$566,$A$3:$A$566,A171,$E$3:$E$566,E171)/SUMIFS(Question_Bank!$M$3:$M$14,Question_Bank!$B$3:$B$14,E171)</f>
        <v>0</v>
      </c>
      <c r="M171" t="s">
        <v>162</v>
      </c>
    </row>
    <row r="172" spans="1:13">
      <c r="A172" t="s">
        <v>161</v>
      </c>
      <c r="B172" t="s">
        <v>132</v>
      </c>
      <c r="C172" t="s">
        <v>133</v>
      </c>
      <c r="D172" t="s">
        <v>26</v>
      </c>
      <c r="E172" t="s">
        <v>15</v>
      </c>
      <c r="F172" t="s">
        <v>20</v>
      </c>
      <c r="G172">
        <f>INDEX(Question_Bank!$G$3:$G$14,MATCH(D172,Question_Bank!$A$3:$A$14,0))</f>
        <v>0</v>
      </c>
      <c r="H172">
        <f>IF(F172=G172,1,0)</f>
        <v>0</v>
      </c>
      <c r="I172">
        <f>H172*INDEX(Question_Bank!$M$3:$M$14,MATCH(D172,Question_Bank!$A$3:$A$14,0))</f>
        <v>0</v>
      </c>
      <c r="J172">
        <f>SUMIFS($I$3:$I$566,$A$3:$A$566,A172)</f>
        <v>0</v>
      </c>
      <c r="K172" s="5">
        <f>J172/SUM(Question_Bank!$M$3:$M$14)</f>
        <v>0</v>
      </c>
      <c r="L172" s="5">
        <f>SUMIFS($I$3:$I$566,$A$3:$A$566,A172,$E$3:$E$566,E172)/SUMIFS(Question_Bank!$M$3:$M$14,Question_Bank!$B$3:$B$14,E172)</f>
        <v>0</v>
      </c>
      <c r="M172" t="s">
        <v>162</v>
      </c>
    </row>
    <row r="173" spans="1:13">
      <c r="A173" t="s">
        <v>161</v>
      </c>
      <c r="B173" t="s">
        <v>132</v>
      </c>
      <c r="C173" t="s">
        <v>133</v>
      </c>
      <c r="D173" t="s">
        <v>37</v>
      </c>
      <c r="E173" t="s">
        <v>15</v>
      </c>
      <c r="F173" t="s">
        <v>23</v>
      </c>
      <c r="G173">
        <f>INDEX(Question_Bank!$G$3:$G$14,MATCH(D173,Question_Bank!$A$3:$A$14,0))</f>
        <v>0</v>
      </c>
      <c r="H173">
        <f>IF(F173=G173,1,0)</f>
        <v>0</v>
      </c>
      <c r="I173">
        <f>H173*INDEX(Question_Bank!$M$3:$M$14,MATCH(D173,Question_Bank!$A$3:$A$14,0))</f>
        <v>0</v>
      </c>
      <c r="J173">
        <f>SUMIFS($I$3:$I$566,$A$3:$A$566,A173)</f>
        <v>0</v>
      </c>
      <c r="K173" s="5">
        <f>J173/SUM(Question_Bank!$M$3:$M$14)</f>
        <v>0</v>
      </c>
      <c r="L173" s="5">
        <f>SUMIFS($I$3:$I$566,$A$3:$A$566,A173,$E$3:$E$566,E173)/SUMIFS(Question_Bank!$M$3:$M$14,Question_Bank!$B$3:$B$14,E173)</f>
        <v>0</v>
      </c>
      <c r="M173" t="s">
        <v>162</v>
      </c>
    </row>
    <row r="174" spans="1:13">
      <c r="A174" t="s">
        <v>161</v>
      </c>
      <c r="B174" t="s">
        <v>132</v>
      </c>
      <c r="C174" t="s">
        <v>133</v>
      </c>
      <c r="D174" t="s">
        <v>45</v>
      </c>
      <c r="E174" t="s">
        <v>46</v>
      </c>
      <c r="F174" t="s">
        <v>31</v>
      </c>
      <c r="G174">
        <f>INDEX(Question_Bank!$G$3:$G$14,MATCH(D174,Question_Bank!$A$3:$A$14,0))</f>
        <v>0</v>
      </c>
      <c r="H174">
        <f>IF(F174=G174,1,0)</f>
        <v>0</v>
      </c>
      <c r="I174">
        <f>H174*INDEX(Question_Bank!$M$3:$M$14,MATCH(D174,Question_Bank!$A$3:$A$14,0))</f>
        <v>0</v>
      </c>
      <c r="J174">
        <f>SUMIFS($I$3:$I$566,$A$3:$A$566,A174)</f>
        <v>0</v>
      </c>
      <c r="K174" s="5">
        <f>J174/SUM(Question_Bank!$M$3:$M$14)</f>
        <v>0</v>
      </c>
      <c r="L174" s="5">
        <f>SUMIFS($I$3:$I$566,$A$3:$A$566,A174,$E$3:$E$566,E174)/SUMIFS(Question_Bank!$M$3:$M$14,Question_Bank!$B$3:$B$14,E174)</f>
        <v>0</v>
      </c>
      <c r="M174" t="s">
        <v>162</v>
      </c>
    </row>
    <row r="175" spans="1:13">
      <c r="A175" t="s">
        <v>161</v>
      </c>
      <c r="B175" t="s">
        <v>132</v>
      </c>
      <c r="C175" t="s">
        <v>133</v>
      </c>
      <c r="D175" t="s">
        <v>54</v>
      </c>
      <c r="E175" t="s">
        <v>46</v>
      </c>
      <c r="F175" t="s">
        <v>20</v>
      </c>
      <c r="G175">
        <f>INDEX(Question_Bank!$G$3:$G$14,MATCH(D175,Question_Bank!$A$3:$A$14,0))</f>
        <v>0</v>
      </c>
      <c r="H175">
        <f>IF(F175=G175,1,0)</f>
        <v>0</v>
      </c>
      <c r="I175">
        <f>H175*INDEX(Question_Bank!$M$3:$M$14,MATCH(D175,Question_Bank!$A$3:$A$14,0))</f>
        <v>0</v>
      </c>
      <c r="J175">
        <f>SUMIFS($I$3:$I$566,$A$3:$A$566,A175)</f>
        <v>0</v>
      </c>
      <c r="K175" s="5">
        <f>J175/SUM(Question_Bank!$M$3:$M$14)</f>
        <v>0</v>
      </c>
      <c r="L175" s="5">
        <f>SUMIFS($I$3:$I$566,$A$3:$A$566,A175,$E$3:$E$566,E175)/SUMIFS(Question_Bank!$M$3:$M$14,Question_Bank!$B$3:$B$14,E175)</f>
        <v>0</v>
      </c>
      <c r="M175" t="s">
        <v>162</v>
      </c>
    </row>
    <row r="176" spans="1:13">
      <c r="A176" t="s">
        <v>161</v>
      </c>
      <c r="B176" t="s">
        <v>132</v>
      </c>
      <c r="C176" t="s">
        <v>133</v>
      </c>
      <c r="D176" t="s">
        <v>62</v>
      </c>
      <c r="E176" t="s">
        <v>46</v>
      </c>
      <c r="F176" t="s">
        <v>34</v>
      </c>
      <c r="G176">
        <f>INDEX(Question_Bank!$G$3:$G$14,MATCH(D176,Question_Bank!$A$3:$A$14,0))</f>
        <v>0</v>
      </c>
      <c r="H176">
        <f>IF(F176=G176,1,0)</f>
        <v>0</v>
      </c>
      <c r="I176">
        <f>H176*INDEX(Question_Bank!$M$3:$M$14,MATCH(D176,Question_Bank!$A$3:$A$14,0))</f>
        <v>0</v>
      </c>
      <c r="J176">
        <f>SUMIFS($I$3:$I$566,$A$3:$A$566,A176)</f>
        <v>0</v>
      </c>
      <c r="K176" s="5">
        <f>J176/SUM(Question_Bank!$M$3:$M$14)</f>
        <v>0</v>
      </c>
      <c r="L176" s="5">
        <f>SUMIFS($I$3:$I$566,$A$3:$A$566,A176,$E$3:$E$566,E176)/SUMIFS(Question_Bank!$M$3:$M$14,Question_Bank!$B$3:$B$14,E176)</f>
        <v>0</v>
      </c>
      <c r="M176" t="s">
        <v>162</v>
      </c>
    </row>
    <row r="177" spans="1:13">
      <c r="A177" t="s">
        <v>161</v>
      </c>
      <c r="B177" t="s">
        <v>132</v>
      </c>
      <c r="C177" t="s">
        <v>133</v>
      </c>
      <c r="D177" t="s">
        <v>70</v>
      </c>
      <c r="E177" t="s">
        <v>71</v>
      </c>
      <c r="F177" t="s">
        <v>31</v>
      </c>
      <c r="G177">
        <f>INDEX(Question_Bank!$G$3:$G$14,MATCH(D177,Question_Bank!$A$3:$A$14,0))</f>
        <v>0</v>
      </c>
      <c r="H177">
        <f>IF(F177=G177,1,0)</f>
        <v>0</v>
      </c>
      <c r="I177">
        <f>H177*INDEX(Question_Bank!$M$3:$M$14,MATCH(D177,Question_Bank!$A$3:$A$14,0))</f>
        <v>0</v>
      </c>
      <c r="J177">
        <f>SUMIFS($I$3:$I$566,$A$3:$A$566,A177)</f>
        <v>0</v>
      </c>
      <c r="K177" s="5">
        <f>J177/SUM(Question_Bank!$M$3:$M$14)</f>
        <v>0</v>
      </c>
      <c r="L177" s="5">
        <f>SUMIFS($I$3:$I$566,$A$3:$A$566,A177,$E$3:$E$566,E177)/SUMIFS(Question_Bank!$M$3:$M$14,Question_Bank!$B$3:$B$14,E177)</f>
        <v>0</v>
      </c>
      <c r="M177" t="s">
        <v>162</v>
      </c>
    </row>
    <row r="178" spans="1:13">
      <c r="A178" t="s">
        <v>161</v>
      </c>
      <c r="B178" t="s">
        <v>132</v>
      </c>
      <c r="C178" t="s">
        <v>133</v>
      </c>
      <c r="D178" t="s">
        <v>79</v>
      </c>
      <c r="E178" t="s">
        <v>71</v>
      </c>
      <c r="F178" t="s">
        <v>23</v>
      </c>
      <c r="G178">
        <f>INDEX(Question_Bank!$G$3:$G$14,MATCH(D178,Question_Bank!$A$3:$A$14,0))</f>
        <v>0</v>
      </c>
      <c r="H178">
        <f>IF(F178=G178,1,0)</f>
        <v>0</v>
      </c>
      <c r="I178">
        <f>H178*INDEX(Question_Bank!$M$3:$M$14,MATCH(D178,Question_Bank!$A$3:$A$14,0))</f>
        <v>0</v>
      </c>
      <c r="J178">
        <f>SUMIFS($I$3:$I$566,$A$3:$A$566,A178)</f>
        <v>0</v>
      </c>
      <c r="K178" s="5">
        <f>J178/SUM(Question_Bank!$M$3:$M$14)</f>
        <v>0</v>
      </c>
      <c r="L178" s="5">
        <f>SUMIFS($I$3:$I$566,$A$3:$A$566,A178,$E$3:$E$566,E178)/SUMIFS(Question_Bank!$M$3:$M$14,Question_Bank!$B$3:$B$14,E178)</f>
        <v>0</v>
      </c>
      <c r="M178" t="s">
        <v>162</v>
      </c>
    </row>
    <row r="179" spans="1:13">
      <c r="A179" t="s">
        <v>161</v>
      </c>
      <c r="B179" t="s">
        <v>132</v>
      </c>
      <c r="C179" t="s">
        <v>133</v>
      </c>
      <c r="D179" t="s">
        <v>87</v>
      </c>
      <c r="E179" t="s">
        <v>71</v>
      </c>
      <c r="F179" t="s">
        <v>23</v>
      </c>
      <c r="G179">
        <f>INDEX(Question_Bank!$G$3:$G$14,MATCH(D179,Question_Bank!$A$3:$A$14,0))</f>
        <v>0</v>
      </c>
      <c r="H179">
        <f>IF(F179=G179,1,0)</f>
        <v>0</v>
      </c>
      <c r="I179">
        <f>H179*INDEX(Question_Bank!$M$3:$M$14,MATCH(D179,Question_Bank!$A$3:$A$14,0))</f>
        <v>0</v>
      </c>
      <c r="J179">
        <f>SUMIFS($I$3:$I$566,$A$3:$A$566,A179)</f>
        <v>0</v>
      </c>
      <c r="K179" s="5">
        <f>J179/SUM(Question_Bank!$M$3:$M$14)</f>
        <v>0</v>
      </c>
      <c r="L179" s="5">
        <f>SUMIFS($I$3:$I$566,$A$3:$A$566,A179,$E$3:$E$566,E179)/SUMIFS(Question_Bank!$M$3:$M$14,Question_Bank!$B$3:$B$14,E179)</f>
        <v>0</v>
      </c>
      <c r="M179" t="s">
        <v>162</v>
      </c>
    </row>
    <row r="180" spans="1:13">
      <c r="A180" t="s">
        <v>161</v>
      </c>
      <c r="B180" t="s">
        <v>132</v>
      </c>
      <c r="C180" t="s">
        <v>133</v>
      </c>
      <c r="D180" t="s">
        <v>95</v>
      </c>
      <c r="E180" t="s">
        <v>96</v>
      </c>
      <c r="F180" t="s">
        <v>20</v>
      </c>
      <c r="G180">
        <f>INDEX(Question_Bank!$G$3:$G$14,MATCH(D180,Question_Bank!$A$3:$A$14,0))</f>
        <v>0</v>
      </c>
      <c r="H180">
        <f>IF(F180=G180,1,0)</f>
        <v>0</v>
      </c>
      <c r="I180">
        <f>H180*INDEX(Question_Bank!$M$3:$M$14,MATCH(D180,Question_Bank!$A$3:$A$14,0))</f>
        <v>0</v>
      </c>
      <c r="J180">
        <f>SUMIFS($I$3:$I$566,$A$3:$A$566,A180)</f>
        <v>0</v>
      </c>
      <c r="K180" s="5">
        <f>J180/SUM(Question_Bank!$M$3:$M$14)</f>
        <v>0</v>
      </c>
      <c r="L180" s="5">
        <f>SUMIFS($I$3:$I$566,$A$3:$A$566,A180,$E$3:$E$566,E180)/SUMIFS(Question_Bank!$M$3:$M$14,Question_Bank!$B$3:$B$14,E180)</f>
        <v>0</v>
      </c>
      <c r="M180" t="s">
        <v>162</v>
      </c>
    </row>
    <row r="181" spans="1:13">
      <c r="A181" t="s">
        <v>161</v>
      </c>
      <c r="B181" t="s">
        <v>132</v>
      </c>
      <c r="C181" t="s">
        <v>133</v>
      </c>
      <c r="D181" t="s">
        <v>104</v>
      </c>
      <c r="E181" t="s">
        <v>96</v>
      </c>
      <c r="F181" t="s">
        <v>34</v>
      </c>
      <c r="G181">
        <f>INDEX(Question_Bank!$G$3:$G$14,MATCH(D181,Question_Bank!$A$3:$A$14,0))</f>
        <v>0</v>
      </c>
      <c r="H181">
        <f>IF(F181=G181,1,0)</f>
        <v>0</v>
      </c>
      <c r="I181">
        <f>H181*INDEX(Question_Bank!$M$3:$M$14,MATCH(D181,Question_Bank!$A$3:$A$14,0))</f>
        <v>0</v>
      </c>
      <c r="J181">
        <f>SUMIFS($I$3:$I$566,$A$3:$A$566,A181)</f>
        <v>0</v>
      </c>
      <c r="K181" s="5">
        <f>J181/SUM(Question_Bank!$M$3:$M$14)</f>
        <v>0</v>
      </c>
      <c r="L181" s="5">
        <f>SUMIFS($I$3:$I$566,$A$3:$A$566,A181,$E$3:$E$566,E181)/SUMIFS(Question_Bank!$M$3:$M$14,Question_Bank!$B$3:$B$14,E181)</f>
        <v>0</v>
      </c>
      <c r="M181" t="s">
        <v>162</v>
      </c>
    </row>
    <row r="182" spans="1:13">
      <c r="A182" t="s">
        <v>161</v>
      </c>
      <c r="B182" t="s">
        <v>132</v>
      </c>
      <c r="C182" t="s">
        <v>133</v>
      </c>
      <c r="D182" t="s">
        <v>112</v>
      </c>
      <c r="E182" t="s">
        <v>96</v>
      </c>
      <c r="F182" t="s">
        <v>23</v>
      </c>
      <c r="G182">
        <f>INDEX(Question_Bank!$G$3:$G$14,MATCH(D182,Question_Bank!$A$3:$A$14,0))</f>
        <v>0</v>
      </c>
      <c r="H182">
        <f>IF(F182=G182,1,0)</f>
        <v>0</v>
      </c>
      <c r="I182">
        <f>H182*INDEX(Question_Bank!$M$3:$M$14,MATCH(D182,Question_Bank!$A$3:$A$14,0))</f>
        <v>0</v>
      </c>
      <c r="J182">
        <f>SUMIFS($I$3:$I$566,$A$3:$A$566,A182)</f>
        <v>0</v>
      </c>
      <c r="K182" s="5">
        <f>J182/SUM(Question_Bank!$M$3:$M$14)</f>
        <v>0</v>
      </c>
      <c r="L182" s="5">
        <f>SUMIFS($I$3:$I$566,$A$3:$A$566,A182,$E$3:$E$566,E182)/SUMIFS(Question_Bank!$M$3:$M$14,Question_Bank!$B$3:$B$14,E182)</f>
        <v>0</v>
      </c>
      <c r="M182" t="s">
        <v>162</v>
      </c>
    </row>
    <row r="183" spans="1:13">
      <c r="A183" t="s">
        <v>163</v>
      </c>
      <c r="B183" t="s">
        <v>132</v>
      </c>
      <c r="C183" t="s">
        <v>133</v>
      </c>
      <c r="D183" t="s">
        <v>14</v>
      </c>
      <c r="E183" t="s">
        <v>15</v>
      </c>
      <c r="F183" t="s">
        <v>20</v>
      </c>
      <c r="G183">
        <f>INDEX(Question_Bank!$G$3:$G$14,MATCH(D183,Question_Bank!$A$3:$A$14,0))</f>
        <v>0</v>
      </c>
      <c r="H183">
        <f>IF(F183=G183,1,0)</f>
        <v>0</v>
      </c>
      <c r="I183">
        <f>H183*INDEX(Question_Bank!$M$3:$M$14,MATCH(D183,Question_Bank!$A$3:$A$14,0))</f>
        <v>0</v>
      </c>
      <c r="J183">
        <f>SUMIFS($I$3:$I$566,$A$3:$A$566,A183)</f>
        <v>0</v>
      </c>
      <c r="K183" s="5">
        <f>J183/SUM(Question_Bank!$M$3:$M$14)</f>
        <v>0</v>
      </c>
      <c r="L183" s="5">
        <f>SUMIFS($I$3:$I$566,$A$3:$A$566,A183,$E$3:$E$566,E183)/SUMIFS(Question_Bank!$M$3:$M$14,Question_Bank!$B$3:$B$14,E183)</f>
        <v>0</v>
      </c>
      <c r="M183" t="s">
        <v>164</v>
      </c>
    </row>
    <row r="184" spans="1:13">
      <c r="A184" t="s">
        <v>163</v>
      </c>
      <c r="B184" t="s">
        <v>132</v>
      </c>
      <c r="C184" t="s">
        <v>133</v>
      </c>
      <c r="D184" t="s">
        <v>26</v>
      </c>
      <c r="E184" t="s">
        <v>15</v>
      </c>
      <c r="F184" t="s">
        <v>31</v>
      </c>
      <c r="G184">
        <f>INDEX(Question_Bank!$G$3:$G$14,MATCH(D184,Question_Bank!$A$3:$A$14,0))</f>
        <v>0</v>
      </c>
      <c r="H184">
        <f>IF(F184=G184,1,0)</f>
        <v>0</v>
      </c>
      <c r="I184">
        <f>H184*INDEX(Question_Bank!$M$3:$M$14,MATCH(D184,Question_Bank!$A$3:$A$14,0))</f>
        <v>0</v>
      </c>
      <c r="J184">
        <f>SUMIFS($I$3:$I$566,$A$3:$A$566,A184)</f>
        <v>0</v>
      </c>
      <c r="K184" s="5">
        <f>J184/SUM(Question_Bank!$M$3:$M$14)</f>
        <v>0</v>
      </c>
      <c r="L184" s="5">
        <f>SUMIFS($I$3:$I$566,$A$3:$A$566,A184,$E$3:$E$566,E184)/SUMIFS(Question_Bank!$M$3:$M$14,Question_Bank!$B$3:$B$14,E184)</f>
        <v>0</v>
      </c>
      <c r="M184" t="s">
        <v>164</v>
      </c>
    </row>
    <row r="185" spans="1:13">
      <c r="A185" t="s">
        <v>163</v>
      </c>
      <c r="B185" t="s">
        <v>132</v>
      </c>
      <c r="C185" t="s">
        <v>133</v>
      </c>
      <c r="D185" t="s">
        <v>37</v>
      </c>
      <c r="E185" t="s">
        <v>15</v>
      </c>
      <c r="F185" t="s">
        <v>23</v>
      </c>
      <c r="G185">
        <f>INDEX(Question_Bank!$G$3:$G$14,MATCH(D185,Question_Bank!$A$3:$A$14,0))</f>
        <v>0</v>
      </c>
      <c r="H185">
        <f>IF(F185=G185,1,0)</f>
        <v>0</v>
      </c>
      <c r="I185">
        <f>H185*INDEX(Question_Bank!$M$3:$M$14,MATCH(D185,Question_Bank!$A$3:$A$14,0))</f>
        <v>0</v>
      </c>
      <c r="J185">
        <f>SUMIFS($I$3:$I$566,$A$3:$A$566,A185)</f>
        <v>0</v>
      </c>
      <c r="K185" s="5">
        <f>J185/SUM(Question_Bank!$M$3:$M$14)</f>
        <v>0</v>
      </c>
      <c r="L185" s="5">
        <f>SUMIFS($I$3:$I$566,$A$3:$A$566,A185,$E$3:$E$566,E185)/SUMIFS(Question_Bank!$M$3:$M$14,Question_Bank!$B$3:$B$14,E185)</f>
        <v>0</v>
      </c>
      <c r="M185" t="s">
        <v>164</v>
      </c>
    </row>
    <row r="186" spans="1:13">
      <c r="A186" t="s">
        <v>163</v>
      </c>
      <c r="B186" t="s">
        <v>132</v>
      </c>
      <c r="C186" t="s">
        <v>133</v>
      </c>
      <c r="D186" t="s">
        <v>45</v>
      </c>
      <c r="E186" t="s">
        <v>46</v>
      </c>
      <c r="F186" t="s">
        <v>20</v>
      </c>
      <c r="G186">
        <f>INDEX(Question_Bank!$G$3:$G$14,MATCH(D186,Question_Bank!$A$3:$A$14,0))</f>
        <v>0</v>
      </c>
      <c r="H186">
        <f>IF(F186=G186,1,0)</f>
        <v>0</v>
      </c>
      <c r="I186">
        <f>H186*INDEX(Question_Bank!$M$3:$M$14,MATCH(D186,Question_Bank!$A$3:$A$14,0))</f>
        <v>0</v>
      </c>
      <c r="J186">
        <f>SUMIFS($I$3:$I$566,$A$3:$A$566,A186)</f>
        <v>0</v>
      </c>
      <c r="K186" s="5">
        <f>J186/SUM(Question_Bank!$M$3:$M$14)</f>
        <v>0</v>
      </c>
      <c r="L186" s="5">
        <f>SUMIFS($I$3:$I$566,$A$3:$A$566,A186,$E$3:$E$566,E186)/SUMIFS(Question_Bank!$M$3:$M$14,Question_Bank!$B$3:$B$14,E186)</f>
        <v>0</v>
      </c>
      <c r="M186" t="s">
        <v>164</v>
      </c>
    </row>
    <row r="187" spans="1:13">
      <c r="A187" t="s">
        <v>163</v>
      </c>
      <c r="B187" t="s">
        <v>132</v>
      </c>
      <c r="C187" t="s">
        <v>133</v>
      </c>
      <c r="D187" t="s">
        <v>54</v>
      </c>
      <c r="E187" t="s">
        <v>46</v>
      </c>
      <c r="F187" t="s">
        <v>34</v>
      </c>
      <c r="G187">
        <f>INDEX(Question_Bank!$G$3:$G$14,MATCH(D187,Question_Bank!$A$3:$A$14,0))</f>
        <v>0</v>
      </c>
      <c r="H187">
        <f>IF(F187=G187,1,0)</f>
        <v>0</v>
      </c>
      <c r="I187">
        <f>H187*INDEX(Question_Bank!$M$3:$M$14,MATCH(D187,Question_Bank!$A$3:$A$14,0))</f>
        <v>0</v>
      </c>
      <c r="J187">
        <f>SUMIFS($I$3:$I$566,$A$3:$A$566,A187)</f>
        <v>0</v>
      </c>
      <c r="K187" s="5">
        <f>J187/SUM(Question_Bank!$M$3:$M$14)</f>
        <v>0</v>
      </c>
      <c r="L187" s="5">
        <f>SUMIFS($I$3:$I$566,$A$3:$A$566,A187,$E$3:$E$566,E187)/SUMIFS(Question_Bank!$M$3:$M$14,Question_Bank!$B$3:$B$14,E187)</f>
        <v>0</v>
      </c>
      <c r="M187" t="s">
        <v>164</v>
      </c>
    </row>
    <row r="188" spans="1:13">
      <c r="A188" t="s">
        <v>163</v>
      </c>
      <c r="B188" t="s">
        <v>132</v>
      </c>
      <c r="C188" t="s">
        <v>133</v>
      </c>
      <c r="D188" t="s">
        <v>62</v>
      </c>
      <c r="E188" t="s">
        <v>46</v>
      </c>
      <c r="F188" t="s">
        <v>31</v>
      </c>
      <c r="G188">
        <f>INDEX(Question_Bank!$G$3:$G$14,MATCH(D188,Question_Bank!$A$3:$A$14,0))</f>
        <v>0</v>
      </c>
      <c r="H188">
        <f>IF(F188=G188,1,0)</f>
        <v>0</v>
      </c>
      <c r="I188">
        <f>H188*INDEX(Question_Bank!$M$3:$M$14,MATCH(D188,Question_Bank!$A$3:$A$14,0))</f>
        <v>0</v>
      </c>
      <c r="J188">
        <f>SUMIFS($I$3:$I$566,$A$3:$A$566,A188)</f>
        <v>0</v>
      </c>
      <c r="K188" s="5">
        <f>J188/SUM(Question_Bank!$M$3:$M$14)</f>
        <v>0</v>
      </c>
      <c r="L188" s="5">
        <f>SUMIFS($I$3:$I$566,$A$3:$A$566,A188,$E$3:$E$566,E188)/SUMIFS(Question_Bank!$M$3:$M$14,Question_Bank!$B$3:$B$14,E188)</f>
        <v>0</v>
      </c>
      <c r="M188" t="s">
        <v>164</v>
      </c>
    </row>
    <row r="189" spans="1:13">
      <c r="A189" t="s">
        <v>163</v>
      </c>
      <c r="B189" t="s">
        <v>132</v>
      </c>
      <c r="C189" t="s">
        <v>133</v>
      </c>
      <c r="D189" t="s">
        <v>70</v>
      </c>
      <c r="E189" t="s">
        <v>71</v>
      </c>
      <c r="F189" t="s">
        <v>23</v>
      </c>
      <c r="G189">
        <f>INDEX(Question_Bank!$G$3:$G$14,MATCH(D189,Question_Bank!$A$3:$A$14,0))</f>
        <v>0</v>
      </c>
      <c r="H189">
        <f>IF(F189=G189,1,0)</f>
        <v>0</v>
      </c>
      <c r="I189">
        <f>H189*INDEX(Question_Bank!$M$3:$M$14,MATCH(D189,Question_Bank!$A$3:$A$14,0))</f>
        <v>0</v>
      </c>
      <c r="J189">
        <f>SUMIFS($I$3:$I$566,$A$3:$A$566,A189)</f>
        <v>0</v>
      </c>
      <c r="K189" s="5">
        <f>J189/SUM(Question_Bank!$M$3:$M$14)</f>
        <v>0</v>
      </c>
      <c r="L189" s="5">
        <f>SUMIFS($I$3:$I$566,$A$3:$A$566,A189,$E$3:$E$566,E189)/SUMIFS(Question_Bank!$M$3:$M$14,Question_Bank!$B$3:$B$14,E189)</f>
        <v>0</v>
      </c>
      <c r="M189" t="s">
        <v>164</v>
      </c>
    </row>
    <row r="190" spans="1:13">
      <c r="A190" t="s">
        <v>163</v>
      </c>
      <c r="B190" t="s">
        <v>132</v>
      </c>
      <c r="C190" t="s">
        <v>133</v>
      </c>
      <c r="D190" t="s">
        <v>79</v>
      </c>
      <c r="E190" t="s">
        <v>71</v>
      </c>
      <c r="F190" t="s">
        <v>34</v>
      </c>
      <c r="G190">
        <f>INDEX(Question_Bank!$G$3:$G$14,MATCH(D190,Question_Bank!$A$3:$A$14,0))</f>
        <v>0</v>
      </c>
      <c r="H190">
        <f>IF(F190=G190,1,0)</f>
        <v>0</v>
      </c>
      <c r="I190">
        <f>H190*INDEX(Question_Bank!$M$3:$M$14,MATCH(D190,Question_Bank!$A$3:$A$14,0))</f>
        <v>0</v>
      </c>
      <c r="J190">
        <f>SUMIFS($I$3:$I$566,$A$3:$A$566,A190)</f>
        <v>0</v>
      </c>
      <c r="K190" s="5">
        <f>J190/SUM(Question_Bank!$M$3:$M$14)</f>
        <v>0</v>
      </c>
      <c r="L190" s="5">
        <f>SUMIFS($I$3:$I$566,$A$3:$A$566,A190,$E$3:$E$566,E190)/SUMIFS(Question_Bank!$M$3:$M$14,Question_Bank!$B$3:$B$14,E190)</f>
        <v>0</v>
      </c>
      <c r="M190" t="s">
        <v>164</v>
      </c>
    </row>
    <row r="191" spans="1:13">
      <c r="A191" t="s">
        <v>163</v>
      </c>
      <c r="B191" t="s">
        <v>132</v>
      </c>
      <c r="C191" t="s">
        <v>133</v>
      </c>
      <c r="D191" t="s">
        <v>87</v>
      </c>
      <c r="E191" t="s">
        <v>71</v>
      </c>
      <c r="F191" t="s">
        <v>31</v>
      </c>
      <c r="G191">
        <f>INDEX(Question_Bank!$G$3:$G$14,MATCH(D191,Question_Bank!$A$3:$A$14,0))</f>
        <v>0</v>
      </c>
      <c r="H191">
        <f>IF(F191=G191,1,0)</f>
        <v>0</v>
      </c>
      <c r="I191">
        <f>H191*INDEX(Question_Bank!$M$3:$M$14,MATCH(D191,Question_Bank!$A$3:$A$14,0))</f>
        <v>0</v>
      </c>
      <c r="J191">
        <f>SUMIFS($I$3:$I$566,$A$3:$A$566,A191)</f>
        <v>0</v>
      </c>
      <c r="K191" s="5">
        <f>J191/SUM(Question_Bank!$M$3:$M$14)</f>
        <v>0</v>
      </c>
      <c r="L191" s="5">
        <f>SUMIFS($I$3:$I$566,$A$3:$A$566,A191,$E$3:$E$566,E191)/SUMIFS(Question_Bank!$M$3:$M$14,Question_Bank!$B$3:$B$14,E191)</f>
        <v>0</v>
      </c>
      <c r="M191" t="s">
        <v>164</v>
      </c>
    </row>
    <row r="192" spans="1:13">
      <c r="A192" t="s">
        <v>163</v>
      </c>
      <c r="B192" t="s">
        <v>132</v>
      </c>
      <c r="C192" t="s">
        <v>133</v>
      </c>
      <c r="D192" t="s">
        <v>95</v>
      </c>
      <c r="E192" t="s">
        <v>96</v>
      </c>
      <c r="F192" t="s">
        <v>34</v>
      </c>
      <c r="G192">
        <f>INDEX(Question_Bank!$G$3:$G$14,MATCH(D192,Question_Bank!$A$3:$A$14,0))</f>
        <v>0</v>
      </c>
      <c r="H192">
        <f>IF(F192=G192,1,0)</f>
        <v>0</v>
      </c>
      <c r="I192">
        <f>H192*INDEX(Question_Bank!$M$3:$M$14,MATCH(D192,Question_Bank!$A$3:$A$14,0))</f>
        <v>0</v>
      </c>
      <c r="J192">
        <f>SUMIFS($I$3:$I$566,$A$3:$A$566,A192)</f>
        <v>0</v>
      </c>
      <c r="K192" s="5">
        <f>J192/SUM(Question_Bank!$M$3:$M$14)</f>
        <v>0</v>
      </c>
      <c r="L192" s="5">
        <f>SUMIFS($I$3:$I$566,$A$3:$A$566,A192,$E$3:$E$566,E192)/SUMIFS(Question_Bank!$M$3:$M$14,Question_Bank!$B$3:$B$14,E192)</f>
        <v>0</v>
      </c>
      <c r="M192" t="s">
        <v>164</v>
      </c>
    </row>
    <row r="193" spans="1:13">
      <c r="A193" t="s">
        <v>163</v>
      </c>
      <c r="B193" t="s">
        <v>132</v>
      </c>
      <c r="C193" t="s">
        <v>133</v>
      </c>
      <c r="D193" t="s">
        <v>104</v>
      </c>
      <c r="E193" t="s">
        <v>96</v>
      </c>
      <c r="F193" t="s">
        <v>34</v>
      </c>
      <c r="G193">
        <f>INDEX(Question_Bank!$G$3:$G$14,MATCH(D193,Question_Bank!$A$3:$A$14,0))</f>
        <v>0</v>
      </c>
      <c r="H193">
        <f>IF(F193=G193,1,0)</f>
        <v>0</v>
      </c>
      <c r="I193">
        <f>H193*INDEX(Question_Bank!$M$3:$M$14,MATCH(D193,Question_Bank!$A$3:$A$14,0))</f>
        <v>0</v>
      </c>
      <c r="J193">
        <f>SUMIFS($I$3:$I$566,$A$3:$A$566,A193)</f>
        <v>0</v>
      </c>
      <c r="K193" s="5">
        <f>J193/SUM(Question_Bank!$M$3:$M$14)</f>
        <v>0</v>
      </c>
      <c r="L193" s="5">
        <f>SUMIFS($I$3:$I$566,$A$3:$A$566,A193,$E$3:$E$566,E193)/SUMIFS(Question_Bank!$M$3:$M$14,Question_Bank!$B$3:$B$14,E193)</f>
        <v>0</v>
      </c>
      <c r="M193" t="s">
        <v>164</v>
      </c>
    </row>
    <row r="194" spans="1:13">
      <c r="A194" t="s">
        <v>163</v>
      </c>
      <c r="B194" t="s">
        <v>132</v>
      </c>
      <c r="C194" t="s">
        <v>133</v>
      </c>
      <c r="D194" t="s">
        <v>112</v>
      </c>
      <c r="E194" t="s">
        <v>96</v>
      </c>
      <c r="F194" t="s">
        <v>31</v>
      </c>
      <c r="G194">
        <f>INDEX(Question_Bank!$G$3:$G$14,MATCH(D194,Question_Bank!$A$3:$A$14,0))</f>
        <v>0</v>
      </c>
      <c r="H194">
        <f>IF(F194=G194,1,0)</f>
        <v>0</v>
      </c>
      <c r="I194">
        <f>H194*INDEX(Question_Bank!$M$3:$M$14,MATCH(D194,Question_Bank!$A$3:$A$14,0))</f>
        <v>0</v>
      </c>
      <c r="J194">
        <f>SUMIFS($I$3:$I$566,$A$3:$A$566,A194)</f>
        <v>0</v>
      </c>
      <c r="K194" s="5">
        <f>J194/SUM(Question_Bank!$M$3:$M$14)</f>
        <v>0</v>
      </c>
      <c r="L194" s="5">
        <f>SUMIFS($I$3:$I$566,$A$3:$A$566,A194,$E$3:$E$566,E194)/SUMIFS(Question_Bank!$M$3:$M$14,Question_Bank!$B$3:$B$14,E194)</f>
        <v>0</v>
      </c>
      <c r="M194" t="s">
        <v>164</v>
      </c>
    </row>
    <row r="195" spans="1:13">
      <c r="A195" t="s">
        <v>165</v>
      </c>
      <c r="B195" t="s">
        <v>132</v>
      </c>
      <c r="C195" t="s">
        <v>133</v>
      </c>
      <c r="D195" t="s">
        <v>14</v>
      </c>
      <c r="E195" t="s">
        <v>15</v>
      </c>
      <c r="F195" t="s">
        <v>20</v>
      </c>
      <c r="G195">
        <f>INDEX(Question_Bank!$G$3:$G$14,MATCH(D195,Question_Bank!$A$3:$A$14,0))</f>
        <v>0</v>
      </c>
      <c r="H195">
        <f>IF(F195=G195,1,0)</f>
        <v>0</v>
      </c>
      <c r="I195">
        <f>H195*INDEX(Question_Bank!$M$3:$M$14,MATCH(D195,Question_Bank!$A$3:$A$14,0))</f>
        <v>0</v>
      </c>
      <c r="J195">
        <f>SUMIFS($I$3:$I$566,$A$3:$A$566,A195)</f>
        <v>0</v>
      </c>
      <c r="K195" s="5">
        <f>J195/SUM(Question_Bank!$M$3:$M$14)</f>
        <v>0</v>
      </c>
      <c r="L195" s="5">
        <f>SUMIFS($I$3:$I$566,$A$3:$A$566,A195,$E$3:$E$566,E195)/SUMIFS(Question_Bank!$M$3:$M$14,Question_Bank!$B$3:$B$14,E195)</f>
        <v>0</v>
      </c>
      <c r="M195" t="s">
        <v>166</v>
      </c>
    </row>
    <row r="196" spans="1:13">
      <c r="A196" t="s">
        <v>165</v>
      </c>
      <c r="B196" t="s">
        <v>132</v>
      </c>
      <c r="C196" t="s">
        <v>133</v>
      </c>
      <c r="D196" t="s">
        <v>26</v>
      </c>
      <c r="E196" t="s">
        <v>15</v>
      </c>
      <c r="F196" t="s">
        <v>23</v>
      </c>
      <c r="G196">
        <f>INDEX(Question_Bank!$G$3:$G$14,MATCH(D196,Question_Bank!$A$3:$A$14,0))</f>
        <v>0</v>
      </c>
      <c r="H196">
        <f>IF(F196=G196,1,0)</f>
        <v>0</v>
      </c>
      <c r="I196">
        <f>H196*INDEX(Question_Bank!$M$3:$M$14,MATCH(D196,Question_Bank!$A$3:$A$14,0))</f>
        <v>0</v>
      </c>
      <c r="J196">
        <f>SUMIFS($I$3:$I$566,$A$3:$A$566,A196)</f>
        <v>0</v>
      </c>
      <c r="K196" s="5">
        <f>J196/SUM(Question_Bank!$M$3:$M$14)</f>
        <v>0</v>
      </c>
      <c r="L196" s="5">
        <f>SUMIFS($I$3:$I$566,$A$3:$A$566,A196,$E$3:$E$566,E196)/SUMIFS(Question_Bank!$M$3:$M$14,Question_Bank!$B$3:$B$14,E196)</f>
        <v>0</v>
      </c>
      <c r="M196" t="s">
        <v>166</v>
      </c>
    </row>
    <row r="197" spans="1:13">
      <c r="A197" t="s">
        <v>165</v>
      </c>
      <c r="B197" t="s">
        <v>132</v>
      </c>
      <c r="C197" t="s">
        <v>133</v>
      </c>
      <c r="D197" t="s">
        <v>37</v>
      </c>
      <c r="E197" t="s">
        <v>15</v>
      </c>
      <c r="F197" t="s">
        <v>23</v>
      </c>
      <c r="G197">
        <f>INDEX(Question_Bank!$G$3:$G$14,MATCH(D197,Question_Bank!$A$3:$A$14,0))</f>
        <v>0</v>
      </c>
      <c r="H197">
        <f>IF(F197=G197,1,0)</f>
        <v>0</v>
      </c>
      <c r="I197">
        <f>H197*INDEX(Question_Bank!$M$3:$M$14,MATCH(D197,Question_Bank!$A$3:$A$14,0))</f>
        <v>0</v>
      </c>
      <c r="J197">
        <f>SUMIFS($I$3:$I$566,$A$3:$A$566,A197)</f>
        <v>0</v>
      </c>
      <c r="K197" s="5">
        <f>J197/SUM(Question_Bank!$M$3:$M$14)</f>
        <v>0</v>
      </c>
      <c r="L197" s="5">
        <f>SUMIFS($I$3:$I$566,$A$3:$A$566,A197,$E$3:$E$566,E197)/SUMIFS(Question_Bank!$M$3:$M$14,Question_Bank!$B$3:$B$14,E197)</f>
        <v>0</v>
      </c>
      <c r="M197" t="s">
        <v>166</v>
      </c>
    </row>
    <row r="198" spans="1:13">
      <c r="A198" t="s">
        <v>165</v>
      </c>
      <c r="B198" t="s">
        <v>132</v>
      </c>
      <c r="C198" t="s">
        <v>133</v>
      </c>
      <c r="D198" t="s">
        <v>45</v>
      </c>
      <c r="E198" t="s">
        <v>46</v>
      </c>
      <c r="F198" t="s">
        <v>34</v>
      </c>
      <c r="G198">
        <f>INDEX(Question_Bank!$G$3:$G$14,MATCH(D198,Question_Bank!$A$3:$A$14,0))</f>
        <v>0</v>
      </c>
      <c r="H198">
        <f>IF(F198=G198,1,0)</f>
        <v>0</v>
      </c>
      <c r="I198">
        <f>H198*INDEX(Question_Bank!$M$3:$M$14,MATCH(D198,Question_Bank!$A$3:$A$14,0))</f>
        <v>0</v>
      </c>
      <c r="J198">
        <f>SUMIFS($I$3:$I$566,$A$3:$A$566,A198)</f>
        <v>0</v>
      </c>
      <c r="K198" s="5">
        <f>J198/SUM(Question_Bank!$M$3:$M$14)</f>
        <v>0</v>
      </c>
      <c r="L198" s="5">
        <f>SUMIFS($I$3:$I$566,$A$3:$A$566,A198,$E$3:$E$566,E198)/SUMIFS(Question_Bank!$M$3:$M$14,Question_Bank!$B$3:$B$14,E198)</f>
        <v>0</v>
      </c>
      <c r="M198" t="s">
        <v>166</v>
      </c>
    </row>
    <row r="199" spans="1:13">
      <c r="A199" t="s">
        <v>165</v>
      </c>
      <c r="B199" t="s">
        <v>132</v>
      </c>
      <c r="C199" t="s">
        <v>133</v>
      </c>
      <c r="D199" t="s">
        <v>54</v>
      </c>
      <c r="E199" t="s">
        <v>46</v>
      </c>
      <c r="F199" t="s">
        <v>20</v>
      </c>
      <c r="G199">
        <f>INDEX(Question_Bank!$G$3:$G$14,MATCH(D199,Question_Bank!$A$3:$A$14,0))</f>
        <v>0</v>
      </c>
      <c r="H199">
        <f>IF(F199=G199,1,0)</f>
        <v>0</v>
      </c>
      <c r="I199">
        <f>H199*INDEX(Question_Bank!$M$3:$M$14,MATCH(D199,Question_Bank!$A$3:$A$14,0))</f>
        <v>0</v>
      </c>
      <c r="J199">
        <f>SUMIFS($I$3:$I$566,$A$3:$A$566,A199)</f>
        <v>0</v>
      </c>
      <c r="K199" s="5">
        <f>J199/SUM(Question_Bank!$M$3:$M$14)</f>
        <v>0</v>
      </c>
      <c r="L199" s="5">
        <f>SUMIFS($I$3:$I$566,$A$3:$A$566,A199,$E$3:$E$566,E199)/SUMIFS(Question_Bank!$M$3:$M$14,Question_Bank!$B$3:$B$14,E199)</f>
        <v>0</v>
      </c>
      <c r="M199" t="s">
        <v>166</v>
      </c>
    </row>
    <row r="200" spans="1:13">
      <c r="A200" t="s">
        <v>165</v>
      </c>
      <c r="B200" t="s">
        <v>132</v>
      </c>
      <c r="C200" t="s">
        <v>133</v>
      </c>
      <c r="D200" t="s">
        <v>62</v>
      </c>
      <c r="E200" t="s">
        <v>46</v>
      </c>
      <c r="F200" t="s">
        <v>34</v>
      </c>
      <c r="G200">
        <f>INDEX(Question_Bank!$G$3:$G$14,MATCH(D200,Question_Bank!$A$3:$A$14,0))</f>
        <v>0</v>
      </c>
      <c r="H200">
        <f>IF(F200=G200,1,0)</f>
        <v>0</v>
      </c>
      <c r="I200">
        <f>H200*INDEX(Question_Bank!$M$3:$M$14,MATCH(D200,Question_Bank!$A$3:$A$14,0))</f>
        <v>0</v>
      </c>
      <c r="J200">
        <f>SUMIFS($I$3:$I$566,$A$3:$A$566,A200)</f>
        <v>0</v>
      </c>
      <c r="K200" s="5">
        <f>J200/SUM(Question_Bank!$M$3:$M$14)</f>
        <v>0</v>
      </c>
      <c r="L200" s="5">
        <f>SUMIFS($I$3:$I$566,$A$3:$A$566,A200,$E$3:$E$566,E200)/SUMIFS(Question_Bank!$M$3:$M$14,Question_Bank!$B$3:$B$14,E200)</f>
        <v>0</v>
      </c>
      <c r="M200" t="s">
        <v>166</v>
      </c>
    </row>
    <row r="201" spans="1:13">
      <c r="A201" t="s">
        <v>165</v>
      </c>
      <c r="B201" t="s">
        <v>132</v>
      </c>
      <c r="C201" t="s">
        <v>133</v>
      </c>
      <c r="D201" t="s">
        <v>70</v>
      </c>
      <c r="E201" t="s">
        <v>71</v>
      </c>
      <c r="F201" t="s">
        <v>31</v>
      </c>
      <c r="G201">
        <f>INDEX(Question_Bank!$G$3:$G$14,MATCH(D201,Question_Bank!$A$3:$A$14,0))</f>
        <v>0</v>
      </c>
      <c r="H201">
        <f>IF(F201=G201,1,0)</f>
        <v>0</v>
      </c>
      <c r="I201">
        <f>H201*INDEX(Question_Bank!$M$3:$M$14,MATCH(D201,Question_Bank!$A$3:$A$14,0))</f>
        <v>0</v>
      </c>
      <c r="J201">
        <f>SUMIFS($I$3:$I$566,$A$3:$A$566,A201)</f>
        <v>0</v>
      </c>
      <c r="K201" s="5">
        <f>J201/SUM(Question_Bank!$M$3:$M$14)</f>
        <v>0</v>
      </c>
      <c r="L201" s="5">
        <f>SUMIFS($I$3:$I$566,$A$3:$A$566,A201,$E$3:$E$566,E201)/SUMIFS(Question_Bank!$M$3:$M$14,Question_Bank!$B$3:$B$14,E201)</f>
        <v>0</v>
      </c>
      <c r="M201" t="s">
        <v>166</v>
      </c>
    </row>
    <row r="202" spans="1:13">
      <c r="A202" t="s">
        <v>165</v>
      </c>
      <c r="B202" t="s">
        <v>132</v>
      </c>
      <c r="C202" t="s">
        <v>133</v>
      </c>
      <c r="D202" t="s">
        <v>79</v>
      </c>
      <c r="E202" t="s">
        <v>71</v>
      </c>
      <c r="F202" t="s">
        <v>34</v>
      </c>
      <c r="G202">
        <f>INDEX(Question_Bank!$G$3:$G$14,MATCH(D202,Question_Bank!$A$3:$A$14,0))</f>
        <v>0</v>
      </c>
      <c r="H202">
        <f>IF(F202=G202,1,0)</f>
        <v>0</v>
      </c>
      <c r="I202">
        <f>H202*INDEX(Question_Bank!$M$3:$M$14,MATCH(D202,Question_Bank!$A$3:$A$14,0))</f>
        <v>0</v>
      </c>
      <c r="J202">
        <f>SUMIFS($I$3:$I$566,$A$3:$A$566,A202)</f>
        <v>0</v>
      </c>
      <c r="K202" s="5">
        <f>J202/SUM(Question_Bank!$M$3:$M$14)</f>
        <v>0</v>
      </c>
      <c r="L202" s="5">
        <f>SUMIFS($I$3:$I$566,$A$3:$A$566,A202,$E$3:$E$566,E202)/SUMIFS(Question_Bank!$M$3:$M$14,Question_Bank!$B$3:$B$14,E202)</f>
        <v>0</v>
      </c>
      <c r="M202" t="s">
        <v>166</v>
      </c>
    </row>
    <row r="203" spans="1:13">
      <c r="A203" t="s">
        <v>165</v>
      </c>
      <c r="B203" t="s">
        <v>132</v>
      </c>
      <c r="C203" t="s">
        <v>133</v>
      </c>
      <c r="D203" t="s">
        <v>87</v>
      </c>
      <c r="E203" t="s">
        <v>71</v>
      </c>
      <c r="F203" t="s">
        <v>23</v>
      </c>
      <c r="G203">
        <f>INDEX(Question_Bank!$G$3:$G$14,MATCH(D203,Question_Bank!$A$3:$A$14,0))</f>
        <v>0</v>
      </c>
      <c r="H203">
        <f>IF(F203=G203,1,0)</f>
        <v>0</v>
      </c>
      <c r="I203">
        <f>H203*INDEX(Question_Bank!$M$3:$M$14,MATCH(D203,Question_Bank!$A$3:$A$14,0))</f>
        <v>0</v>
      </c>
      <c r="J203">
        <f>SUMIFS($I$3:$I$566,$A$3:$A$566,A203)</f>
        <v>0</v>
      </c>
      <c r="K203" s="5">
        <f>J203/SUM(Question_Bank!$M$3:$M$14)</f>
        <v>0</v>
      </c>
      <c r="L203" s="5">
        <f>SUMIFS($I$3:$I$566,$A$3:$A$566,A203,$E$3:$E$566,E203)/SUMIFS(Question_Bank!$M$3:$M$14,Question_Bank!$B$3:$B$14,E203)</f>
        <v>0</v>
      </c>
      <c r="M203" t="s">
        <v>166</v>
      </c>
    </row>
    <row r="204" spans="1:13">
      <c r="A204" t="s">
        <v>165</v>
      </c>
      <c r="B204" t="s">
        <v>132</v>
      </c>
      <c r="C204" t="s">
        <v>133</v>
      </c>
      <c r="D204" t="s">
        <v>95</v>
      </c>
      <c r="E204" t="s">
        <v>96</v>
      </c>
      <c r="F204" t="s">
        <v>23</v>
      </c>
      <c r="G204">
        <f>INDEX(Question_Bank!$G$3:$G$14,MATCH(D204,Question_Bank!$A$3:$A$14,0))</f>
        <v>0</v>
      </c>
      <c r="H204">
        <f>IF(F204=G204,1,0)</f>
        <v>0</v>
      </c>
      <c r="I204">
        <f>H204*INDEX(Question_Bank!$M$3:$M$14,MATCH(D204,Question_Bank!$A$3:$A$14,0))</f>
        <v>0</v>
      </c>
      <c r="J204">
        <f>SUMIFS($I$3:$I$566,$A$3:$A$566,A204)</f>
        <v>0</v>
      </c>
      <c r="K204" s="5">
        <f>J204/SUM(Question_Bank!$M$3:$M$14)</f>
        <v>0</v>
      </c>
      <c r="L204" s="5">
        <f>SUMIFS($I$3:$I$566,$A$3:$A$566,A204,$E$3:$E$566,E204)/SUMIFS(Question_Bank!$M$3:$M$14,Question_Bank!$B$3:$B$14,E204)</f>
        <v>0</v>
      </c>
      <c r="M204" t="s">
        <v>166</v>
      </c>
    </row>
    <row r="205" spans="1:13">
      <c r="A205" t="s">
        <v>165</v>
      </c>
      <c r="B205" t="s">
        <v>132</v>
      </c>
      <c r="C205" t="s">
        <v>133</v>
      </c>
      <c r="D205" t="s">
        <v>104</v>
      </c>
      <c r="E205" t="s">
        <v>96</v>
      </c>
      <c r="F205" t="s">
        <v>34</v>
      </c>
      <c r="G205">
        <f>INDEX(Question_Bank!$G$3:$G$14,MATCH(D205,Question_Bank!$A$3:$A$14,0))</f>
        <v>0</v>
      </c>
      <c r="H205">
        <f>IF(F205=G205,1,0)</f>
        <v>0</v>
      </c>
      <c r="I205">
        <f>H205*INDEX(Question_Bank!$M$3:$M$14,MATCH(D205,Question_Bank!$A$3:$A$14,0))</f>
        <v>0</v>
      </c>
      <c r="J205">
        <f>SUMIFS($I$3:$I$566,$A$3:$A$566,A205)</f>
        <v>0</v>
      </c>
      <c r="K205" s="5">
        <f>J205/SUM(Question_Bank!$M$3:$M$14)</f>
        <v>0</v>
      </c>
      <c r="L205" s="5">
        <f>SUMIFS($I$3:$I$566,$A$3:$A$566,A205,$E$3:$E$566,E205)/SUMIFS(Question_Bank!$M$3:$M$14,Question_Bank!$B$3:$B$14,E205)</f>
        <v>0</v>
      </c>
      <c r="M205" t="s">
        <v>166</v>
      </c>
    </row>
    <row r="206" spans="1:13">
      <c r="A206" t="s">
        <v>165</v>
      </c>
      <c r="B206" t="s">
        <v>132</v>
      </c>
      <c r="C206" t="s">
        <v>133</v>
      </c>
      <c r="D206" t="s">
        <v>112</v>
      </c>
      <c r="E206" t="s">
        <v>96</v>
      </c>
      <c r="F206" t="s">
        <v>31</v>
      </c>
      <c r="G206">
        <f>INDEX(Question_Bank!$G$3:$G$14,MATCH(D206,Question_Bank!$A$3:$A$14,0))</f>
        <v>0</v>
      </c>
      <c r="H206">
        <f>IF(F206=G206,1,0)</f>
        <v>0</v>
      </c>
      <c r="I206">
        <f>H206*INDEX(Question_Bank!$M$3:$M$14,MATCH(D206,Question_Bank!$A$3:$A$14,0))</f>
        <v>0</v>
      </c>
      <c r="J206">
        <f>SUMIFS($I$3:$I$566,$A$3:$A$566,A206)</f>
        <v>0</v>
      </c>
      <c r="K206" s="5">
        <f>J206/SUM(Question_Bank!$M$3:$M$14)</f>
        <v>0</v>
      </c>
      <c r="L206" s="5">
        <f>SUMIFS($I$3:$I$566,$A$3:$A$566,A206,$E$3:$E$566,E206)/SUMIFS(Question_Bank!$M$3:$M$14,Question_Bank!$B$3:$B$14,E206)</f>
        <v>0</v>
      </c>
      <c r="M206" t="s">
        <v>166</v>
      </c>
    </row>
    <row r="207" spans="1:13">
      <c r="A207" t="s">
        <v>167</v>
      </c>
      <c r="B207" t="s">
        <v>132</v>
      </c>
      <c r="C207" t="s">
        <v>133</v>
      </c>
      <c r="D207" t="s">
        <v>14</v>
      </c>
      <c r="E207" t="s">
        <v>15</v>
      </c>
      <c r="F207" t="s">
        <v>31</v>
      </c>
      <c r="G207">
        <f>INDEX(Question_Bank!$G$3:$G$14,MATCH(D207,Question_Bank!$A$3:$A$14,0))</f>
        <v>0</v>
      </c>
      <c r="H207">
        <f>IF(F207=G207,1,0)</f>
        <v>0</v>
      </c>
      <c r="I207">
        <f>H207*INDEX(Question_Bank!$M$3:$M$14,MATCH(D207,Question_Bank!$A$3:$A$14,0))</f>
        <v>0</v>
      </c>
      <c r="J207">
        <f>SUMIFS($I$3:$I$566,$A$3:$A$566,A207)</f>
        <v>0</v>
      </c>
      <c r="K207" s="5">
        <f>J207/SUM(Question_Bank!$M$3:$M$14)</f>
        <v>0</v>
      </c>
      <c r="L207" s="5">
        <f>SUMIFS($I$3:$I$566,$A$3:$A$566,A207,$E$3:$E$566,E207)/SUMIFS(Question_Bank!$M$3:$M$14,Question_Bank!$B$3:$B$14,E207)</f>
        <v>0</v>
      </c>
      <c r="M207" t="s">
        <v>168</v>
      </c>
    </row>
    <row r="208" spans="1:13">
      <c r="A208" t="s">
        <v>167</v>
      </c>
      <c r="B208" t="s">
        <v>132</v>
      </c>
      <c r="C208" t="s">
        <v>133</v>
      </c>
      <c r="D208" t="s">
        <v>26</v>
      </c>
      <c r="E208" t="s">
        <v>15</v>
      </c>
      <c r="F208" t="s">
        <v>20</v>
      </c>
      <c r="G208">
        <f>INDEX(Question_Bank!$G$3:$G$14,MATCH(D208,Question_Bank!$A$3:$A$14,0))</f>
        <v>0</v>
      </c>
      <c r="H208">
        <f>IF(F208=G208,1,0)</f>
        <v>0</v>
      </c>
      <c r="I208">
        <f>H208*INDEX(Question_Bank!$M$3:$M$14,MATCH(D208,Question_Bank!$A$3:$A$14,0))</f>
        <v>0</v>
      </c>
      <c r="J208">
        <f>SUMIFS($I$3:$I$566,$A$3:$A$566,A208)</f>
        <v>0</v>
      </c>
      <c r="K208" s="5">
        <f>J208/SUM(Question_Bank!$M$3:$M$14)</f>
        <v>0</v>
      </c>
      <c r="L208" s="5">
        <f>SUMIFS($I$3:$I$566,$A$3:$A$566,A208,$E$3:$E$566,E208)/SUMIFS(Question_Bank!$M$3:$M$14,Question_Bank!$B$3:$B$14,E208)</f>
        <v>0</v>
      </c>
      <c r="M208" t="s">
        <v>168</v>
      </c>
    </row>
    <row r="209" spans="1:13">
      <c r="A209" t="s">
        <v>167</v>
      </c>
      <c r="B209" t="s">
        <v>132</v>
      </c>
      <c r="C209" t="s">
        <v>133</v>
      </c>
      <c r="D209" t="s">
        <v>37</v>
      </c>
      <c r="E209" t="s">
        <v>15</v>
      </c>
      <c r="F209" t="s">
        <v>20</v>
      </c>
      <c r="G209">
        <f>INDEX(Question_Bank!$G$3:$G$14,MATCH(D209,Question_Bank!$A$3:$A$14,0))</f>
        <v>0</v>
      </c>
      <c r="H209">
        <f>IF(F209=G209,1,0)</f>
        <v>0</v>
      </c>
      <c r="I209">
        <f>H209*INDEX(Question_Bank!$M$3:$M$14,MATCH(D209,Question_Bank!$A$3:$A$14,0))</f>
        <v>0</v>
      </c>
      <c r="J209">
        <f>SUMIFS($I$3:$I$566,$A$3:$A$566,A209)</f>
        <v>0</v>
      </c>
      <c r="K209" s="5">
        <f>J209/SUM(Question_Bank!$M$3:$M$14)</f>
        <v>0</v>
      </c>
      <c r="L209" s="5">
        <f>SUMIFS($I$3:$I$566,$A$3:$A$566,A209,$E$3:$E$566,E209)/SUMIFS(Question_Bank!$M$3:$M$14,Question_Bank!$B$3:$B$14,E209)</f>
        <v>0</v>
      </c>
      <c r="M209" t="s">
        <v>168</v>
      </c>
    </row>
    <row r="210" spans="1:13">
      <c r="A210" t="s">
        <v>167</v>
      </c>
      <c r="B210" t="s">
        <v>132</v>
      </c>
      <c r="C210" t="s">
        <v>133</v>
      </c>
      <c r="D210" t="s">
        <v>45</v>
      </c>
      <c r="E210" t="s">
        <v>46</v>
      </c>
      <c r="F210" t="s">
        <v>20</v>
      </c>
      <c r="G210">
        <f>INDEX(Question_Bank!$G$3:$G$14,MATCH(D210,Question_Bank!$A$3:$A$14,0))</f>
        <v>0</v>
      </c>
      <c r="H210">
        <f>IF(F210=G210,1,0)</f>
        <v>0</v>
      </c>
      <c r="I210">
        <f>H210*INDEX(Question_Bank!$M$3:$M$14,MATCH(D210,Question_Bank!$A$3:$A$14,0))</f>
        <v>0</v>
      </c>
      <c r="J210">
        <f>SUMIFS($I$3:$I$566,$A$3:$A$566,A210)</f>
        <v>0</v>
      </c>
      <c r="K210" s="5">
        <f>J210/SUM(Question_Bank!$M$3:$M$14)</f>
        <v>0</v>
      </c>
      <c r="L210" s="5">
        <f>SUMIFS($I$3:$I$566,$A$3:$A$566,A210,$E$3:$E$566,E210)/SUMIFS(Question_Bank!$M$3:$M$14,Question_Bank!$B$3:$B$14,E210)</f>
        <v>0</v>
      </c>
      <c r="M210" t="s">
        <v>168</v>
      </c>
    </row>
    <row r="211" spans="1:13">
      <c r="A211" t="s">
        <v>167</v>
      </c>
      <c r="B211" t="s">
        <v>132</v>
      </c>
      <c r="C211" t="s">
        <v>133</v>
      </c>
      <c r="D211" t="s">
        <v>54</v>
      </c>
      <c r="E211" t="s">
        <v>46</v>
      </c>
      <c r="F211" t="s">
        <v>34</v>
      </c>
      <c r="G211">
        <f>INDEX(Question_Bank!$G$3:$G$14,MATCH(D211,Question_Bank!$A$3:$A$14,0))</f>
        <v>0</v>
      </c>
      <c r="H211">
        <f>IF(F211=G211,1,0)</f>
        <v>0</v>
      </c>
      <c r="I211">
        <f>H211*INDEX(Question_Bank!$M$3:$M$14,MATCH(D211,Question_Bank!$A$3:$A$14,0))</f>
        <v>0</v>
      </c>
      <c r="J211">
        <f>SUMIFS($I$3:$I$566,$A$3:$A$566,A211)</f>
        <v>0</v>
      </c>
      <c r="K211" s="5">
        <f>J211/SUM(Question_Bank!$M$3:$M$14)</f>
        <v>0</v>
      </c>
      <c r="L211" s="5">
        <f>SUMIFS($I$3:$I$566,$A$3:$A$566,A211,$E$3:$E$566,E211)/SUMIFS(Question_Bank!$M$3:$M$14,Question_Bank!$B$3:$B$14,E211)</f>
        <v>0</v>
      </c>
      <c r="M211" t="s">
        <v>168</v>
      </c>
    </row>
    <row r="212" spans="1:13">
      <c r="A212" t="s">
        <v>167</v>
      </c>
      <c r="B212" t="s">
        <v>132</v>
      </c>
      <c r="C212" t="s">
        <v>133</v>
      </c>
      <c r="D212" t="s">
        <v>62</v>
      </c>
      <c r="E212" t="s">
        <v>46</v>
      </c>
      <c r="F212" t="s">
        <v>34</v>
      </c>
      <c r="G212">
        <f>INDEX(Question_Bank!$G$3:$G$14,MATCH(D212,Question_Bank!$A$3:$A$14,0))</f>
        <v>0</v>
      </c>
      <c r="H212">
        <f>IF(F212=G212,1,0)</f>
        <v>0</v>
      </c>
      <c r="I212">
        <f>H212*INDEX(Question_Bank!$M$3:$M$14,MATCH(D212,Question_Bank!$A$3:$A$14,0))</f>
        <v>0</v>
      </c>
      <c r="J212">
        <f>SUMIFS($I$3:$I$566,$A$3:$A$566,A212)</f>
        <v>0</v>
      </c>
      <c r="K212" s="5">
        <f>J212/SUM(Question_Bank!$M$3:$M$14)</f>
        <v>0</v>
      </c>
      <c r="L212" s="5">
        <f>SUMIFS($I$3:$I$566,$A$3:$A$566,A212,$E$3:$E$566,E212)/SUMIFS(Question_Bank!$M$3:$M$14,Question_Bank!$B$3:$B$14,E212)</f>
        <v>0</v>
      </c>
      <c r="M212" t="s">
        <v>168</v>
      </c>
    </row>
    <row r="213" spans="1:13">
      <c r="A213" t="s">
        <v>167</v>
      </c>
      <c r="B213" t="s">
        <v>132</v>
      </c>
      <c r="C213" t="s">
        <v>133</v>
      </c>
      <c r="D213" t="s">
        <v>70</v>
      </c>
      <c r="E213" t="s">
        <v>71</v>
      </c>
      <c r="F213" t="s">
        <v>31</v>
      </c>
      <c r="G213">
        <f>INDEX(Question_Bank!$G$3:$G$14,MATCH(D213,Question_Bank!$A$3:$A$14,0))</f>
        <v>0</v>
      </c>
      <c r="H213">
        <f>IF(F213=G213,1,0)</f>
        <v>0</v>
      </c>
      <c r="I213">
        <f>H213*INDEX(Question_Bank!$M$3:$M$14,MATCH(D213,Question_Bank!$A$3:$A$14,0))</f>
        <v>0</v>
      </c>
      <c r="J213">
        <f>SUMIFS($I$3:$I$566,$A$3:$A$566,A213)</f>
        <v>0</v>
      </c>
      <c r="K213" s="5">
        <f>J213/SUM(Question_Bank!$M$3:$M$14)</f>
        <v>0</v>
      </c>
      <c r="L213" s="5">
        <f>SUMIFS($I$3:$I$566,$A$3:$A$566,A213,$E$3:$E$566,E213)/SUMIFS(Question_Bank!$M$3:$M$14,Question_Bank!$B$3:$B$14,E213)</f>
        <v>0</v>
      </c>
      <c r="M213" t="s">
        <v>168</v>
      </c>
    </row>
    <row r="214" spans="1:13">
      <c r="A214" t="s">
        <v>167</v>
      </c>
      <c r="B214" t="s">
        <v>132</v>
      </c>
      <c r="C214" t="s">
        <v>133</v>
      </c>
      <c r="D214" t="s">
        <v>79</v>
      </c>
      <c r="E214" t="s">
        <v>71</v>
      </c>
      <c r="F214" t="s">
        <v>31</v>
      </c>
      <c r="G214">
        <f>INDEX(Question_Bank!$G$3:$G$14,MATCH(D214,Question_Bank!$A$3:$A$14,0))</f>
        <v>0</v>
      </c>
      <c r="H214">
        <f>IF(F214=G214,1,0)</f>
        <v>0</v>
      </c>
      <c r="I214">
        <f>H214*INDEX(Question_Bank!$M$3:$M$14,MATCH(D214,Question_Bank!$A$3:$A$14,0))</f>
        <v>0</v>
      </c>
      <c r="J214">
        <f>SUMIFS($I$3:$I$566,$A$3:$A$566,A214)</f>
        <v>0</v>
      </c>
      <c r="K214" s="5">
        <f>J214/SUM(Question_Bank!$M$3:$M$14)</f>
        <v>0</v>
      </c>
      <c r="L214" s="5">
        <f>SUMIFS($I$3:$I$566,$A$3:$A$566,A214,$E$3:$E$566,E214)/SUMIFS(Question_Bank!$M$3:$M$14,Question_Bank!$B$3:$B$14,E214)</f>
        <v>0</v>
      </c>
      <c r="M214" t="s">
        <v>168</v>
      </c>
    </row>
    <row r="215" spans="1:13">
      <c r="A215" t="s">
        <v>167</v>
      </c>
      <c r="B215" t="s">
        <v>132</v>
      </c>
      <c r="C215" t="s">
        <v>133</v>
      </c>
      <c r="D215" t="s">
        <v>87</v>
      </c>
      <c r="E215" t="s">
        <v>71</v>
      </c>
      <c r="F215" t="s">
        <v>23</v>
      </c>
      <c r="G215">
        <f>INDEX(Question_Bank!$G$3:$G$14,MATCH(D215,Question_Bank!$A$3:$A$14,0))</f>
        <v>0</v>
      </c>
      <c r="H215">
        <f>IF(F215=G215,1,0)</f>
        <v>0</v>
      </c>
      <c r="I215">
        <f>H215*INDEX(Question_Bank!$M$3:$M$14,MATCH(D215,Question_Bank!$A$3:$A$14,0))</f>
        <v>0</v>
      </c>
      <c r="J215">
        <f>SUMIFS($I$3:$I$566,$A$3:$A$566,A215)</f>
        <v>0</v>
      </c>
      <c r="K215" s="5">
        <f>J215/SUM(Question_Bank!$M$3:$M$14)</f>
        <v>0</v>
      </c>
      <c r="L215" s="5">
        <f>SUMIFS($I$3:$I$566,$A$3:$A$566,A215,$E$3:$E$566,E215)/SUMIFS(Question_Bank!$M$3:$M$14,Question_Bank!$B$3:$B$14,E215)</f>
        <v>0</v>
      </c>
      <c r="M215" t="s">
        <v>168</v>
      </c>
    </row>
    <row r="216" spans="1:13">
      <c r="A216" t="s">
        <v>167</v>
      </c>
      <c r="B216" t="s">
        <v>132</v>
      </c>
      <c r="C216" t="s">
        <v>133</v>
      </c>
      <c r="D216" t="s">
        <v>95</v>
      </c>
      <c r="E216" t="s">
        <v>96</v>
      </c>
      <c r="F216" t="s">
        <v>31</v>
      </c>
      <c r="G216">
        <f>INDEX(Question_Bank!$G$3:$G$14,MATCH(D216,Question_Bank!$A$3:$A$14,0))</f>
        <v>0</v>
      </c>
      <c r="H216">
        <f>IF(F216=G216,1,0)</f>
        <v>0</v>
      </c>
      <c r="I216">
        <f>H216*INDEX(Question_Bank!$M$3:$M$14,MATCH(D216,Question_Bank!$A$3:$A$14,0))</f>
        <v>0</v>
      </c>
      <c r="J216">
        <f>SUMIFS($I$3:$I$566,$A$3:$A$566,A216)</f>
        <v>0</v>
      </c>
      <c r="K216" s="5">
        <f>J216/SUM(Question_Bank!$M$3:$M$14)</f>
        <v>0</v>
      </c>
      <c r="L216" s="5">
        <f>SUMIFS($I$3:$I$566,$A$3:$A$566,A216,$E$3:$E$566,E216)/SUMIFS(Question_Bank!$M$3:$M$14,Question_Bank!$B$3:$B$14,E216)</f>
        <v>0</v>
      </c>
      <c r="M216" t="s">
        <v>168</v>
      </c>
    </row>
    <row r="217" spans="1:13">
      <c r="A217" t="s">
        <v>167</v>
      </c>
      <c r="B217" t="s">
        <v>132</v>
      </c>
      <c r="C217" t="s">
        <v>133</v>
      </c>
      <c r="D217" t="s">
        <v>104</v>
      </c>
      <c r="E217" t="s">
        <v>96</v>
      </c>
      <c r="F217" t="s">
        <v>31</v>
      </c>
      <c r="G217">
        <f>INDEX(Question_Bank!$G$3:$G$14,MATCH(D217,Question_Bank!$A$3:$A$14,0))</f>
        <v>0</v>
      </c>
      <c r="H217">
        <f>IF(F217=G217,1,0)</f>
        <v>0</v>
      </c>
      <c r="I217">
        <f>H217*INDEX(Question_Bank!$M$3:$M$14,MATCH(D217,Question_Bank!$A$3:$A$14,0))</f>
        <v>0</v>
      </c>
      <c r="J217">
        <f>SUMIFS($I$3:$I$566,$A$3:$A$566,A217)</f>
        <v>0</v>
      </c>
      <c r="K217" s="5">
        <f>J217/SUM(Question_Bank!$M$3:$M$14)</f>
        <v>0</v>
      </c>
      <c r="L217" s="5">
        <f>SUMIFS($I$3:$I$566,$A$3:$A$566,A217,$E$3:$E$566,E217)/SUMIFS(Question_Bank!$M$3:$M$14,Question_Bank!$B$3:$B$14,E217)</f>
        <v>0</v>
      </c>
      <c r="M217" t="s">
        <v>168</v>
      </c>
    </row>
    <row r="218" spans="1:13">
      <c r="A218" t="s">
        <v>167</v>
      </c>
      <c r="B218" t="s">
        <v>132</v>
      </c>
      <c r="C218" t="s">
        <v>133</v>
      </c>
      <c r="D218" t="s">
        <v>112</v>
      </c>
      <c r="E218" t="s">
        <v>96</v>
      </c>
      <c r="F218" t="s">
        <v>20</v>
      </c>
      <c r="G218">
        <f>INDEX(Question_Bank!$G$3:$G$14,MATCH(D218,Question_Bank!$A$3:$A$14,0))</f>
        <v>0</v>
      </c>
      <c r="H218">
        <f>IF(F218=G218,1,0)</f>
        <v>0</v>
      </c>
      <c r="I218">
        <f>H218*INDEX(Question_Bank!$M$3:$M$14,MATCH(D218,Question_Bank!$A$3:$A$14,0))</f>
        <v>0</v>
      </c>
      <c r="J218">
        <f>SUMIFS($I$3:$I$566,$A$3:$A$566,A218)</f>
        <v>0</v>
      </c>
      <c r="K218" s="5">
        <f>J218/SUM(Question_Bank!$M$3:$M$14)</f>
        <v>0</v>
      </c>
      <c r="L218" s="5">
        <f>SUMIFS($I$3:$I$566,$A$3:$A$566,A218,$E$3:$E$566,E218)/SUMIFS(Question_Bank!$M$3:$M$14,Question_Bank!$B$3:$B$14,E218)</f>
        <v>0</v>
      </c>
      <c r="M218" t="s">
        <v>168</v>
      </c>
    </row>
    <row r="219" spans="1:13">
      <c r="A219" t="s">
        <v>169</v>
      </c>
      <c r="B219" t="s">
        <v>132</v>
      </c>
      <c r="C219" t="s">
        <v>133</v>
      </c>
      <c r="D219" t="s">
        <v>14</v>
      </c>
      <c r="E219" t="s">
        <v>15</v>
      </c>
      <c r="F219" t="s">
        <v>20</v>
      </c>
      <c r="G219">
        <f>INDEX(Question_Bank!$G$3:$G$14,MATCH(D219,Question_Bank!$A$3:$A$14,0))</f>
        <v>0</v>
      </c>
      <c r="H219">
        <f>IF(F219=G219,1,0)</f>
        <v>0</v>
      </c>
      <c r="I219">
        <f>H219*INDEX(Question_Bank!$M$3:$M$14,MATCH(D219,Question_Bank!$A$3:$A$14,0))</f>
        <v>0</v>
      </c>
      <c r="J219">
        <f>SUMIFS($I$3:$I$566,$A$3:$A$566,A219)</f>
        <v>0</v>
      </c>
      <c r="K219" s="5">
        <f>J219/SUM(Question_Bank!$M$3:$M$14)</f>
        <v>0</v>
      </c>
      <c r="L219" s="5">
        <f>SUMIFS($I$3:$I$566,$A$3:$A$566,A219,$E$3:$E$566,E219)/SUMIFS(Question_Bank!$M$3:$M$14,Question_Bank!$B$3:$B$14,E219)</f>
        <v>0</v>
      </c>
      <c r="M219" t="s">
        <v>170</v>
      </c>
    </row>
    <row r="220" spans="1:13">
      <c r="A220" t="s">
        <v>169</v>
      </c>
      <c r="B220" t="s">
        <v>132</v>
      </c>
      <c r="C220" t="s">
        <v>133</v>
      </c>
      <c r="D220" t="s">
        <v>26</v>
      </c>
      <c r="E220" t="s">
        <v>15</v>
      </c>
      <c r="F220" t="s">
        <v>31</v>
      </c>
      <c r="G220">
        <f>INDEX(Question_Bank!$G$3:$G$14,MATCH(D220,Question_Bank!$A$3:$A$14,0))</f>
        <v>0</v>
      </c>
      <c r="H220">
        <f>IF(F220=G220,1,0)</f>
        <v>0</v>
      </c>
      <c r="I220">
        <f>H220*INDEX(Question_Bank!$M$3:$M$14,MATCH(D220,Question_Bank!$A$3:$A$14,0))</f>
        <v>0</v>
      </c>
      <c r="J220">
        <f>SUMIFS($I$3:$I$566,$A$3:$A$566,A220)</f>
        <v>0</v>
      </c>
      <c r="K220" s="5">
        <f>J220/SUM(Question_Bank!$M$3:$M$14)</f>
        <v>0</v>
      </c>
      <c r="L220" s="5">
        <f>SUMIFS($I$3:$I$566,$A$3:$A$566,A220,$E$3:$E$566,E220)/SUMIFS(Question_Bank!$M$3:$M$14,Question_Bank!$B$3:$B$14,E220)</f>
        <v>0</v>
      </c>
      <c r="M220" t="s">
        <v>170</v>
      </c>
    </row>
    <row r="221" spans="1:13">
      <c r="A221" t="s">
        <v>169</v>
      </c>
      <c r="B221" t="s">
        <v>132</v>
      </c>
      <c r="C221" t="s">
        <v>133</v>
      </c>
      <c r="D221" t="s">
        <v>37</v>
      </c>
      <c r="E221" t="s">
        <v>15</v>
      </c>
      <c r="F221" t="s">
        <v>34</v>
      </c>
      <c r="G221">
        <f>INDEX(Question_Bank!$G$3:$G$14,MATCH(D221,Question_Bank!$A$3:$A$14,0))</f>
        <v>0</v>
      </c>
      <c r="H221">
        <f>IF(F221=G221,1,0)</f>
        <v>0</v>
      </c>
      <c r="I221">
        <f>H221*INDEX(Question_Bank!$M$3:$M$14,MATCH(D221,Question_Bank!$A$3:$A$14,0))</f>
        <v>0</v>
      </c>
      <c r="J221">
        <f>SUMIFS($I$3:$I$566,$A$3:$A$566,A221)</f>
        <v>0</v>
      </c>
      <c r="K221" s="5">
        <f>J221/SUM(Question_Bank!$M$3:$M$14)</f>
        <v>0</v>
      </c>
      <c r="L221" s="5">
        <f>SUMIFS($I$3:$I$566,$A$3:$A$566,A221,$E$3:$E$566,E221)/SUMIFS(Question_Bank!$M$3:$M$14,Question_Bank!$B$3:$B$14,E221)</f>
        <v>0</v>
      </c>
      <c r="M221" t="s">
        <v>170</v>
      </c>
    </row>
    <row r="222" spans="1:13">
      <c r="A222" t="s">
        <v>169</v>
      </c>
      <c r="B222" t="s">
        <v>132</v>
      </c>
      <c r="C222" t="s">
        <v>133</v>
      </c>
      <c r="D222" t="s">
        <v>45</v>
      </c>
      <c r="E222" t="s">
        <v>46</v>
      </c>
      <c r="F222" t="s">
        <v>34</v>
      </c>
      <c r="G222">
        <f>INDEX(Question_Bank!$G$3:$G$14,MATCH(D222,Question_Bank!$A$3:$A$14,0))</f>
        <v>0</v>
      </c>
      <c r="H222">
        <f>IF(F222=G222,1,0)</f>
        <v>0</v>
      </c>
      <c r="I222">
        <f>H222*INDEX(Question_Bank!$M$3:$M$14,MATCH(D222,Question_Bank!$A$3:$A$14,0))</f>
        <v>0</v>
      </c>
      <c r="J222">
        <f>SUMIFS($I$3:$I$566,$A$3:$A$566,A222)</f>
        <v>0</v>
      </c>
      <c r="K222" s="5">
        <f>J222/SUM(Question_Bank!$M$3:$M$14)</f>
        <v>0</v>
      </c>
      <c r="L222" s="5">
        <f>SUMIFS($I$3:$I$566,$A$3:$A$566,A222,$E$3:$E$566,E222)/SUMIFS(Question_Bank!$M$3:$M$14,Question_Bank!$B$3:$B$14,E222)</f>
        <v>0</v>
      </c>
      <c r="M222" t="s">
        <v>170</v>
      </c>
    </row>
    <row r="223" spans="1:13">
      <c r="A223" t="s">
        <v>169</v>
      </c>
      <c r="B223" t="s">
        <v>132</v>
      </c>
      <c r="C223" t="s">
        <v>133</v>
      </c>
      <c r="D223" t="s">
        <v>54</v>
      </c>
      <c r="E223" t="s">
        <v>46</v>
      </c>
      <c r="F223" t="s">
        <v>34</v>
      </c>
      <c r="G223">
        <f>INDEX(Question_Bank!$G$3:$G$14,MATCH(D223,Question_Bank!$A$3:$A$14,0))</f>
        <v>0</v>
      </c>
      <c r="H223">
        <f>IF(F223=G223,1,0)</f>
        <v>0</v>
      </c>
      <c r="I223">
        <f>H223*INDEX(Question_Bank!$M$3:$M$14,MATCH(D223,Question_Bank!$A$3:$A$14,0))</f>
        <v>0</v>
      </c>
      <c r="J223">
        <f>SUMIFS($I$3:$I$566,$A$3:$A$566,A223)</f>
        <v>0</v>
      </c>
      <c r="K223" s="5">
        <f>J223/SUM(Question_Bank!$M$3:$M$14)</f>
        <v>0</v>
      </c>
      <c r="L223" s="5">
        <f>SUMIFS($I$3:$I$566,$A$3:$A$566,A223,$E$3:$E$566,E223)/SUMIFS(Question_Bank!$M$3:$M$14,Question_Bank!$B$3:$B$14,E223)</f>
        <v>0</v>
      </c>
      <c r="M223" t="s">
        <v>170</v>
      </c>
    </row>
    <row r="224" spans="1:13">
      <c r="A224" t="s">
        <v>169</v>
      </c>
      <c r="B224" t="s">
        <v>132</v>
      </c>
      <c r="C224" t="s">
        <v>133</v>
      </c>
      <c r="D224" t="s">
        <v>62</v>
      </c>
      <c r="E224" t="s">
        <v>46</v>
      </c>
      <c r="F224" t="s">
        <v>31</v>
      </c>
      <c r="G224">
        <f>INDEX(Question_Bank!$G$3:$G$14,MATCH(D224,Question_Bank!$A$3:$A$14,0))</f>
        <v>0</v>
      </c>
      <c r="H224">
        <f>IF(F224=G224,1,0)</f>
        <v>0</v>
      </c>
      <c r="I224">
        <f>H224*INDEX(Question_Bank!$M$3:$M$14,MATCH(D224,Question_Bank!$A$3:$A$14,0))</f>
        <v>0</v>
      </c>
      <c r="J224">
        <f>SUMIFS($I$3:$I$566,$A$3:$A$566,A224)</f>
        <v>0</v>
      </c>
      <c r="K224" s="5">
        <f>J224/SUM(Question_Bank!$M$3:$M$14)</f>
        <v>0</v>
      </c>
      <c r="L224" s="5">
        <f>SUMIFS($I$3:$I$566,$A$3:$A$566,A224,$E$3:$E$566,E224)/SUMIFS(Question_Bank!$M$3:$M$14,Question_Bank!$B$3:$B$14,E224)</f>
        <v>0</v>
      </c>
      <c r="M224" t="s">
        <v>170</v>
      </c>
    </row>
    <row r="225" spans="1:13">
      <c r="A225" t="s">
        <v>169</v>
      </c>
      <c r="B225" t="s">
        <v>132</v>
      </c>
      <c r="C225" t="s">
        <v>133</v>
      </c>
      <c r="D225" t="s">
        <v>70</v>
      </c>
      <c r="E225" t="s">
        <v>71</v>
      </c>
      <c r="F225" t="s">
        <v>23</v>
      </c>
      <c r="G225">
        <f>INDEX(Question_Bank!$G$3:$G$14,MATCH(D225,Question_Bank!$A$3:$A$14,0))</f>
        <v>0</v>
      </c>
      <c r="H225">
        <f>IF(F225=G225,1,0)</f>
        <v>0</v>
      </c>
      <c r="I225">
        <f>H225*INDEX(Question_Bank!$M$3:$M$14,MATCH(D225,Question_Bank!$A$3:$A$14,0))</f>
        <v>0</v>
      </c>
      <c r="J225">
        <f>SUMIFS($I$3:$I$566,$A$3:$A$566,A225)</f>
        <v>0</v>
      </c>
      <c r="K225" s="5">
        <f>J225/SUM(Question_Bank!$M$3:$M$14)</f>
        <v>0</v>
      </c>
      <c r="L225" s="5">
        <f>SUMIFS($I$3:$I$566,$A$3:$A$566,A225,$E$3:$E$566,E225)/SUMIFS(Question_Bank!$M$3:$M$14,Question_Bank!$B$3:$B$14,E225)</f>
        <v>0</v>
      </c>
      <c r="M225" t="s">
        <v>170</v>
      </c>
    </row>
    <row r="226" spans="1:13">
      <c r="A226" t="s">
        <v>169</v>
      </c>
      <c r="B226" t="s">
        <v>132</v>
      </c>
      <c r="C226" t="s">
        <v>133</v>
      </c>
      <c r="D226" t="s">
        <v>79</v>
      </c>
      <c r="E226" t="s">
        <v>71</v>
      </c>
      <c r="F226" t="s">
        <v>31</v>
      </c>
      <c r="G226">
        <f>INDEX(Question_Bank!$G$3:$G$14,MATCH(D226,Question_Bank!$A$3:$A$14,0))</f>
        <v>0</v>
      </c>
      <c r="H226">
        <f>IF(F226=G226,1,0)</f>
        <v>0</v>
      </c>
      <c r="I226">
        <f>H226*INDEX(Question_Bank!$M$3:$M$14,MATCH(D226,Question_Bank!$A$3:$A$14,0))</f>
        <v>0</v>
      </c>
      <c r="J226">
        <f>SUMIFS($I$3:$I$566,$A$3:$A$566,A226)</f>
        <v>0</v>
      </c>
      <c r="K226" s="5">
        <f>J226/SUM(Question_Bank!$M$3:$M$14)</f>
        <v>0</v>
      </c>
      <c r="L226" s="5">
        <f>SUMIFS($I$3:$I$566,$A$3:$A$566,A226,$E$3:$E$566,E226)/SUMIFS(Question_Bank!$M$3:$M$14,Question_Bank!$B$3:$B$14,E226)</f>
        <v>0</v>
      </c>
      <c r="M226" t="s">
        <v>170</v>
      </c>
    </row>
    <row r="227" spans="1:13">
      <c r="A227" t="s">
        <v>169</v>
      </c>
      <c r="B227" t="s">
        <v>132</v>
      </c>
      <c r="C227" t="s">
        <v>133</v>
      </c>
      <c r="D227" t="s">
        <v>87</v>
      </c>
      <c r="E227" t="s">
        <v>71</v>
      </c>
      <c r="F227" t="s">
        <v>20</v>
      </c>
      <c r="G227">
        <f>INDEX(Question_Bank!$G$3:$G$14,MATCH(D227,Question_Bank!$A$3:$A$14,0))</f>
        <v>0</v>
      </c>
      <c r="H227">
        <f>IF(F227=G227,1,0)</f>
        <v>0</v>
      </c>
      <c r="I227">
        <f>H227*INDEX(Question_Bank!$M$3:$M$14,MATCH(D227,Question_Bank!$A$3:$A$14,0))</f>
        <v>0</v>
      </c>
      <c r="J227">
        <f>SUMIFS($I$3:$I$566,$A$3:$A$566,A227)</f>
        <v>0</v>
      </c>
      <c r="K227" s="5">
        <f>J227/SUM(Question_Bank!$M$3:$M$14)</f>
        <v>0</v>
      </c>
      <c r="L227" s="5">
        <f>SUMIFS($I$3:$I$566,$A$3:$A$566,A227,$E$3:$E$566,E227)/SUMIFS(Question_Bank!$M$3:$M$14,Question_Bank!$B$3:$B$14,E227)</f>
        <v>0</v>
      </c>
      <c r="M227" t="s">
        <v>170</v>
      </c>
    </row>
    <row r="228" spans="1:13">
      <c r="A228" t="s">
        <v>169</v>
      </c>
      <c r="B228" t="s">
        <v>132</v>
      </c>
      <c r="C228" t="s">
        <v>133</v>
      </c>
      <c r="D228" t="s">
        <v>95</v>
      </c>
      <c r="E228" t="s">
        <v>96</v>
      </c>
      <c r="F228" t="s">
        <v>31</v>
      </c>
      <c r="G228">
        <f>INDEX(Question_Bank!$G$3:$G$14,MATCH(D228,Question_Bank!$A$3:$A$14,0))</f>
        <v>0</v>
      </c>
      <c r="H228">
        <f>IF(F228=G228,1,0)</f>
        <v>0</v>
      </c>
      <c r="I228">
        <f>H228*INDEX(Question_Bank!$M$3:$M$14,MATCH(D228,Question_Bank!$A$3:$A$14,0))</f>
        <v>0</v>
      </c>
      <c r="J228">
        <f>SUMIFS($I$3:$I$566,$A$3:$A$566,A228)</f>
        <v>0</v>
      </c>
      <c r="K228" s="5">
        <f>J228/SUM(Question_Bank!$M$3:$M$14)</f>
        <v>0</v>
      </c>
      <c r="L228" s="5">
        <f>SUMIFS($I$3:$I$566,$A$3:$A$566,A228,$E$3:$E$566,E228)/SUMIFS(Question_Bank!$M$3:$M$14,Question_Bank!$B$3:$B$14,E228)</f>
        <v>0</v>
      </c>
      <c r="M228" t="s">
        <v>170</v>
      </c>
    </row>
    <row r="229" spans="1:13">
      <c r="A229" t="s">
        <v>169</v>
      </c>
      <c r="B229" t="s">
        <v>132</v>
      </c>
      <c r="C229" t="s">
        <v>133</v>
      </c>
      <c r="D229" t="s">
        <v>104</v>
      </c>
      <c r="E229" t="s">
        <v>96</v>
      </c>
      <c r="F229" t="s">
        <v>23</v>
      </c>
      <c r="G229">
        <f>INDEX(Question_Bank!$G$3:$G$14,MATCH(D229,Question_Bank!$A$3:$A$14,0))</f>
        <v>0</v>
      </c>
      <c r="H229">
        <f>IF(F229=G229,1,0)</f>
        <v>0</v>
      </c>
      <c r="I229">
        <f>H229*INDEX(Question_Bank!$M$3:$M$14,MATCH(D229,Question_Bank!$A$3:$A$14,0))</f>
        <v>0</v>
      </c>
      <c r="J229">
        <f>SUMIFS($I$3:$I$566,$A$3:$A$566,A229)</f>
        <v>0</v>
      </c>
      <c r="K229" s="5">
        <f>J229/SUM(Question_Bank!$M$3:$M$14)</f>
        <v>0</v>
      </c>
      <c r="L229" s="5">
        <f>SUMIFS($I$3:$I$566,$A$3:$A$566,A229,$E$3:$E$566,E229)/SUMIFS(Question_Bank!$M$3:$M$14,Question_Bank!$B$3:$B$14,E229)</f>
        <v>0</v>
      </c>
      <c r="M229" t="s">
        <v>170</v>
      </c>
    </row>
    <row r="230" spans="1:13">
      <c r="A230" t="s">
        <v>169</v>
      </c>
      <c r="B230" t="s">
        <v>132</v>
      </c>
      <c r="C230" t="s">
        <v>133</v>
      </c>
      <c r="D230" t="s">
        <v>112</v>
      </c>
      <c r="E230" t="s">
        <v>96</v>
      </c>
      <c r="F230" t="s">
        <v>34</v>
      </c>
      <c r="G230">
        <f>INDEX(Question_Bank!$G$3:$G$14,MATCH(D230,Question_Bank!$A$3:$A$14,0))</f>
        <v>0</v>
      </c>
      <c r="H230">
        <f>IF(F230=G230,1,0)</f>
        <v>0</v>
      </c>
      <c r="I230">
        <f>H230*INDEX(Question_Bank!$M$3:$M$14,MATCH(D230,Question_Bank!$A$3:$A$14,0))</f>
        <v>0</v>
      </c>
      <c r="J230">
        <f>SUMIFS($I$3:$I$566,$A$3:$A$566,A230)</f>
        <v>0</v>
      </c>
      <c r="K230" s="5">
        <f>J230/SUM(Question_Bank!$M$3:$M$14)</f>
        <v>0</v>
      </c>
      <c r="L230" s="5">
        <f>SUMIFS($I$3:$I$566,$A$3:$A$566,A230,$E$3:$E$566,E230)/SUMIFS(Question_Bank!$M$3:$M$14,Question_Bank!$B$3:$B$14,E230)</f>
        <v>0</v>
      </c>
      <c r="M230" t="s">
        <v>170</v>
      </c>
    </row>
    <row r="231" spans="1:13">
      <c r="A231" t="s">
        <v>171</v>
      </c>
      <c r="B231" t="s">
        <v>132</v>
      </c>
      <c r="C231" t="s">
        <v>133</v>
      </c>
      <c r="D231" t="s">
        <v>14</v>
      </c>
      <c r="E231" t="s">
        <v>15</v>
      </c>
      <c r="F231" t="s">
        <v>23</v>
      </c>
      <c r="G231">
        <f>INDEX(Question_Bank!$G$3:$G$14,MATCH(D231,Question_Bank!$A$3:$A$14,0))</f>
        <v>0</v>
      </c>
      <c r="H231">
        <f>IF(F231=G231,1,0)</f>
        <v>0</v>
      </c>
      <c r="I231">
        <f>H231*INDEX(Question_Bank!$M$3:$M$14,MATCH(D231,Question_Bank!$A$3:$A$14,0))</f>
        <v>0</v>
      </c>
      <c r="J231">
        <f>SUMIFS($I$3:$I$566,$A$3:$A$566,A231)</f>
        <v>0</v>
      </c>
      <c r="K231" s="5">
        <f>J231/SUM(Question_Bank!$M$3:$M$14)</f>
        <v>0</v>
      </c>
      <c r="L231" s="5">
        <f>SUMIFS($I$3:$I$566,$A$3:$A$566,A231,$E$3:$E$566,E231)/SUMIFS(Question_Bank!$M$3:$M$14,Question_Bank!$B$3:$B$14,E231)</f>
        <v>0</v>
      </c>
      <c r="M231" t="s">
        <v>172</v>
      </c>
    </row>
    <row r="232" spans="1:13">
      <c r="A232" t="s">
        <v>171</v>
      </c>
      <c r="B232" t="s">
        <v>132</v>
      </c>
      <c r="C232" t="s">
        <v>133</v>
      </c>
      <c r="D232" t="s">
        <v>26</v>
      </c>
      <c r="E232" t="s">
        <v>15</v>
      </c>
      <c r="F232" t="s">
        <v>31</v>
      </c>
      <c r="G232">
        <f>INDEX(Question_Bank!$G$3:$G$14,MATCH(D232,Question_Bank!$A$3:$A$14,0))</f>
        <v>0</v>
      </c>
      <c r="H232">
        <f>IF(F232=G232,1,0)</f>
        <v>0</v>
      </c>
      <c r="I232">
        <f>H232*INDEX(Question_Bank!$M$3:$M$14,MATCH(D232,Question_Bank!$A$3:$A$14,0))</f>
        <v>0</v>
      </c>
      <c r="J232">
        <f>SUMIFS($I$3:$I$566,$A$3:$A$566,A232)</f>
        <v>0</v>
      </c>
      <c r="K232" s="5">
        <f>J232/SUM(Question_Bank!$M$3:$M$14)</f>
        <v>0</v>
      </c>
      <c r="L232" s="5">
        <f>SUMIFS($I$3:$I$566,$A$3:$A$566,A232,$E$3:$E$566,E232)/SUMIFS(Question_Bank!$M$3:$M$14,Question_Bank!$B$3:$B$14,E232)</f>
        <v>0</v>
      </c>
      <c r="M232" t="s">
        <v>172</v>
      </c>
    </row>
    <row r="233" spans="1:13">
      <c r="A233" t="s">
        <v>171</v>
      </c>
      <c r="B233" t="s">
        <v>132</v>
      </c>
      <c r="C233" t="s">
        <v>133</v>
      </c>
      <c r="D233" t="s">
        <v>37</v>
      </c>
      <c r="E233" t="s">
        <v>15</v>
      </c>
      <c r="F233" t="s">
        <v>23</v>
      </c>
      <c r="G233">
        <f>INDEX(Question_Bank!$G$3:$G$14,MATCH(D233,Question_Bank!$A$3:$A$14,0))</f>
        <v>0</v>
      </c>
      <c r="H233">
        <f>IF(F233=G233,1,0)</f>
        <v>0</v>
      </c>
      <c r="I233">
        <f>H233*INDEX(Question_Bank!$M$3:$M$14,MATCH(D233,Question_Bank!$A$3:$A$14,0))</f>
        <v>0</v>
      </c>
      <c r="J233">
        <f>SUMIFS($I$3:$I$566,$A$3:$A$566,A233)</f>
        <v>0</v>
      </c>
      <c r="K233" s="5">
        <f>J233/SUM(Question_Bank!$M$3:$M$14)</f>
        <v>0</v>
      </c>
      <c r="L233" s="5">
        <f>SUMIFS($I$3:$I$566,$A$3:$A$566,A233,$E$3:$E$566,E233)/SUMIFS(Question_Bank!$M$3:$M$14,Question_Bank!$B$3:$B$14,E233)</f>
        <v>0</v>
      </c>
      <c r="M233" t="s">
        <v>172</v>
      </c>
    </row>
    <row r="234" spans="1:13">
      <c r="A234" t="s">
        <v>171</v>
      </c>
      <c r="B234" t="s">
        <v>132</v>
      </c>
      <c r="C234" t="s">
        <v>133</v>
      </c>
      <c r="D234" t="s">
        <v>45</v>
      </c>
      <c r="E234" t="s">
        <v>46</v>
      </c>
      <c r="F234" t="s">
        <v>34</v>
      </c>
      <c r="G234">
        <f>INDEX(Question_Bank!$G$3:$G$14,MATCH(D234,Question_Bank!$A$3:$A$14,0))</f>
        <v>0</v>
      </c>
      <c r="H234">
        <f>IF(F234=G234,1,0)</f>
        <v>0</v>
      </c>
      <c r="I234">
        <f>H234*INDEX(Question_Bank!$M$3:$M$14,MATCH(D234,Question_Bank!$A$3:$A$14,0))</f>
        <v>0</v>
      </c>
      <c r="J234">
        <f>SUMIFS($I$3:$I$566,$A$3:$A$566,A234)</f>
        <v>0</v>
      </c>
      <c r="K234" s="5">
        <f>J234/SUM(Question_Bank!$M$3:$M$14)</f>
        <v>0</v>
      </c>
      <c r="L234" s="5">
        <f>SUMIFS($I$3:$I$566,$A$3:$A$566,A234,$E$3:$E$566,E234)/SUMIFS(Question_Bank!$M$3:$M$14,Question_Bank!$B$3:$B$14,E234)</f>
        <v>0</v>
      </c>
      <c r="M234" t="s">
        <v>172</v>
      </c>
    </row>
    <row r="235" spans="1:13">
      <c r="A235" t="s">
        <v>171</v>
      </c>
      <c r="B235" t="s">
        <v>132</v>
      </c>
      <c r="C235" t="s">
        <v>133</v>
      </c>
      <c r="D235" t="s">
        <v>54</v>
      </c>
      <c r="E235" t="s">
        <v>46</v>
      </c>
      <c r="F235" t="s">
        <v>20</v>
      </c>
      <c r="G235">
        <f>INDEX(Question_Bank!$G$3:$G$14,MATCH(D235,Question_Bank!$A$3:$A$14,0))</f>
        <v>0</v>
      </c>
      <c r="H235">
        <f>IF(F235=G235,1,0)</f>
        <v>0</v>
      </c>
      <c r="I235">
        <f>H235*INDEX(Question_Bank!$M$3:$M$14,MATCH(D235,Question_Bank!$A$3:$A$14,0))</f>
        <v>0</v>
      </c>
      <c r="J235">
        <f>SUMIFS($I$3:$I$566,$A$3:$A$566,A235)</f>
        <v>0</v>
      </c>
      <c r="K235" s="5">
        <f>J235/SUM(Question_Bank!$M$3:$M$14)</f>
        <v>0</v>
      </c>
      <c r="L235" s="5">
        <f>SUMIFS($I$3:$I$566,$A$3:$A$566,A235,$E$3:$E$566,E235)/SUMIFS(Question_Bank!$M$3:$M$14,Question_Bank!$B$3:$B$14,E235)</f>
        <v>0</v>
      </c>
      <c r="M235" t="s">
        <v>172</v>
      </c>
    </row>
    <row r="236" spans="1:13">
      <c r="A236" t="s">
        <v>171</v>
      </c>
      <c r="B236" t="s">
        <v>132</v>
      </c>
      <c r="C236" t="s">
        <v>133</v>
      </c>
      <c r="D236" t="s">
        <v>62</v>
      </c>
      <c r="E236" t="s">
        <v>46</v>
      </c>
      <c r="F236" t="s">
        <v>34</v>
      </c>
      <c r="G236">
        <f>INDEX(Question_Bank!$G$3:$G$14,MATCH(D236,Question_Bank!$A$3:$A$14,0))</f>
        <v>0</v>
      </c>
      <c r="H236">
        <f>IF(F236=G236,1,0)</f>
        <v>0</v>
      </c>
      <c r="I236">
        <f>H236*INDEX(Question_Bank!$M$3:$M$14,MATCH(D236,Question_Bank!$A$3:$A$14,0))</f>
        <v>0</v>
      </c>
      <c r="J236">
        <f>SUMIFS($I$3:$I$566,$A$3:$A$566,A236)</f>
        <v>0</v>
      </c>
      <c r="K236" s="5">
        <f>J236/SUM(Question_Bank!$M$3:$M$14)</f>
        <v>0</v>
      </c>
      <c r="L236" s="5">
        <f>SUMIFS($I$3:$I$566,$A$3:$A$566,A236,$E$3:$E$566,E236)/SUMIFS(Question_Bank!$M$3:$M$14,Question_Bank!$B$3:$B$14,E236)</f>
        <v>0</v>
      </c>
      <c r="M236" t="s">
        <v>172</v>
      </c>
    </row>
    <row r="237" spans="1:13">
      <c r="A237" t="s">
        <v>171</v>
      </c>
      <c r="B237" t="s">
        <v>132</v>
      </c>
      <c r="C237" t="s">
        <v>133</v>
      </c>
      <c r="D237" t="s">
        <v>70</v>
      </c>
      <c r="E237" t="s">
        <v>71</v>
      </c>
      <c r="F237" t="s">
        <v>31</v>
      </c>
      <c r="G237">
        <f>INDEX(Question_Bank!$G$3:$G$14,MATCH(D237,Question_Bank!$A$3:$A$14,0))</f>
        <v>0</v>
      </c>
      <c r="H237">
        <f>IF(F237=G237,1,0)</f>
        <v>0</v>
      </c>
      <c r="I237">
        <f>H237*INDEX(Question_Bank!$M$3:$M$14,MATCH(D237,Question_Bank!$A$3:$A$14,0))</f>
        <v>0</v>
      </c>
      <c r="J237">
        <f>SUMIFS($I$3:$I$566,$A$3:$A$566,A237)</f>
        <v>0</v>
      </c>
      <c r="K237" s="5">
        <f>J237/SUM(Question_Bank!$M$3:$M$14)</f>
        <v>0</v>
      </c>
      <c r="L237" s="5">
        <f>SUMIFS($I$3:$I$566,$A$3:$A$566,A237,$E$3:$E$566,E237)/SUMIFS(Question_Bank!$M$3:$M$14,Question_Bank!$B$3:$B$14,E237)</f>
        <v>0</v>
      </c>
      <c r="M237" t="s">
        <v>172</v>
      </c>
    </row>
    <row r="238" spans="1:13">
      <c r="A238" t="s">
        <v>171</v>
      </c>
      <c r="B238" t="s">
        <v>132</v>
      </c>
      <c r="C238" t="s">
        <v>133</v>
      </c>
      <c r="D238" t="s">
        <v>79</v>
      </c>
      <c r="E238" t="s">
        <v>71</v>
      </c>
      <c r="F238" t="s">
        <v>31</v>
      </c>
      <c r="G238">
        <f>INDEX(Question_Bank!$G$3:$G$14,MATCH(D238,Question_Bank!$A$3:$A$14,0))</f>
        <v>0</v>
      </c>
      <c r="H238">
        <f>IF(F238=G238,1,0)</f>
        <v>0</v>
      </c>
      <c r="I238">
        <f>H238*INDEX(Question_Bank!$M$3:$M$14,MATCH(D238,Question_Bank!$A$3:$A$14,0))</f>
        <v>0</v>
      </c>
      <c r="J238">
        <f>SUMIFS($I$3:$I$566,$A$3:$A$566,A238)</f>
        <v>0</v>
      </c>
      <c r="K238" s="5">
        <f>J238/SUM(Question_Bank!$M$3:$M$14)</f>
        <v>0</v>
      </c>
      <c r="L238" s="5">
        <f>SUMIFS($I$3:$I$566,$A$3:$A$566,A238,$E$3:$E$566,E238)/SUMIFS(Question_Bank!$M$3:$M$14,Question_Bank!$B$3:$B$14,E238)</f>
        <v>0</v>
      </c>
      <c r="M238" t="s">
        <v>172</v>
      </c>
    </row>
    <row r="239" spans="1:13">
      <c r="A239" t="s">
        <v>171</v>
      </c>
      <c r="B239" t="s">
        <v>132</v>
      </c>
      <c r="C239" t="s">
        <v>133</v>
      </c>
      <c r="D239" t="s">
        <v>87</v>
      </c>
      <c r="E239" t="s">
        <v>71</v>
      </c>
      <c r="F239" t="s">
        <v>31</v>
      </c>
      <c r="G239">
        <f>INDEX(Question_Bank!$G$3:$G$14,MATCH(D239,Question_Bank!$A$3:$A$14,0))</f>
        <v>0</v>
      </c>
      <c r="H239">
        <f>IF(F239=G239,1,0)</f>
        <v>0</v>
      </c>
      <c r="I239">
        <f>H239*INDEX(Question_Bank!$M$3:$M$14,MATCH(D239,Question_Bank!$A$3:$A$14,0))</f>
        <v>0</v>
      </c>
      <c r="J239">
        <f>SUMIFS($I$3:$I$566,$A$3:$A$566,A239)</f>
        <v>0</v>
      </c>
      <c r="K239" s="5">
        <f>J239/SUM(Question_Bank!$M$3:$M$14)</f>
        <v>0</v>
      </c>
      <c r="L239" s="5">
        <f>SUMIFS($I$3:$I$566,$A$3:$A$566,A239,$E$3:$E$566,E239)/SUMIFS(Question_Bank!$M$3:$M$14,Question_Bank!$B$3:$B$14,E239)</f>
        <v>0</v>
      </c>
      <c r="M239" t="s">
        <v>172</v>
      </c>
    </row>
    <row r="240" spans="1:13">
      <c r="A240" t="s">
        <v>171</v>
      </c>
      <c r="B240" t="s">
        <v>132</v>
      </c>
      <c r="C240" t="s">
        <v>133</v>
      </c>
      <c r="D240" t="s">
        <v>95</v>
      </c>
      <c r="E240" t="s">
        <v>96</v>
      </c>
      <c r="F240" t="s">
        <v>31</v>
      </c>
      <c r="G240">
        <f>INDEX(Question_Bank!$G$3:$G$14,MATCH(D240,Question_Bank!$A$3:$A$14,0))</f>
        <v>0</v>
      </c>
      <c r="H240">
        <f>IF(F240=G240,1,0)</f>
        <v>0</v>
      </c>
      <c r="I240">
        <f>H240*INDEX(Question_Bank!$M$3:$M$14,MATCH(D240,Question_Bank!$A$3:$A$14,0))</f>
        <v>0</v>
      </c>
      <c r="J240">
        <f>SUMIFS($I$3:$I$566,$A$3:$A$566,A240)</f>
        <v>0</v>
      </c>
      <c r="K240" s="5">
        <f>J240/SUM(Question_Bank!$M$3:$M$14)</f>
        <v>0</v>
      </c>
      <c r="L240" s="5">
        <f>SUMIFS($I$3:$I$566,$A$3:$A$566,A240,$E$3:$E$566,E240)/SUMIFS(Question_Bank!$M$3:$M$14,Question_Bank!$B$3:$B$14,E240)</f>
        <v>0</v>
      </c>
      <c r="M240" t="s">
        <v>172</v>
      </c>
    </row>
    <row r="241" spans="1:13">
      <c r="A241" t="s">
        <v>171</v>
      </c>
      <c r="B241" t="s">
        <v>132</v>
      </c>
      <c r="C241" t="s">
        <v>133</v>
      </c>
      <c r="D241" t="s">
        <v>104</v>
      </c>
      <c r="E241" t="s">
        <v>96</v>
      </c>
      <c r="F241" t="s">
        <v>34</v>
      </c>
      <c r="G241">
        <f>INDEX(Question_Bank!$G$3:$G$14,MATCH(D241,Question_Bank!$A$3:$A$14,0))</f>
        <v>0</v>
      </c>
      <c r="H241">
        <f>IF(F241=G241,1,0)</f>
        <v>0</v>
      </c>
      <c r="I241">
        <f>H241*INDEX(Question_Bank!$M$3:$M$14,MATCH(D241,Question_Bank!$A$3:$A$14,0))</f>
        <v>0</v>
      </c>
      <c r="J241">
        <f>SUMIFS($I$3:$I$566,$A$3:$A$566,A241)</f>
        <v>0</v>
      </c>
      <c r="K241" s="5">
        <f>J241/SUM(Question_Bank!$M$3:$M$14)</f>
        <v>0</v>
      </c>
      <c r="L241" s="5">
        <f>SUMIFS($I$3:$I$566,$A$3:$A$566,A241,$E$3:$E$566,E241)/SUMIFS(Question_Bank!$M$3:$M$14,Question_Bank!$B$3:$B$14,E241)</f>
        <v>0</v>
      </c>
      <c r="M241" t="s">
        <v>172</v>
      </c>
    </row>
    <row r="242" spans="1:13">
      <c r="A242" t="s">
        <v>171</v>
      </c>
      <c r="B242" t="s">
        <v>132</v>
      </c>
      <c r="C242" t="s">
        <v>133</v>
      </c>
      <c r="D242" t="s">
        <v>112</v>
      </c>
      <c r="E242" t="s">
        <v>96</v>
      </c>
      <c r="F242" t="s">
        <v>34</v>
      </c>
      <c r="G242">
        <f>INDEX(Question_Bank!$G$3:$G$14,MATCH(D242,Question_Bank!$A$3:$A$14,0))</f>
        <v>0</v>
      </c>
      <c r="H242">
        <f>IF(F242=G242,1,0)</f>
        <v>0</v>
      </c>
      <c r="I242">
        <f>H242*INDEX(Question_Bank!$M$3:$M$14,MATCH(D242,Question_Bank!$A$3:$A$14,0))</f>
        <v>0</v>
      </c>
      <c r="J242">
        <f>SUMIFS($I$3:$I$566,$A$3:$A$566,A242)</f>
        <v>0</v>
      </c>
      <c r="K242" s="5">
        <f>J242/SUM(Question_Bank!$M$3:$M$14)</f>
        <v>0</v>
      </c>
      <c r="L242" s="5">
        <f>SUMIFS($I$3:$I$566,$A$3:$A$566,A242,$E$3:$E$566,E242)/SUMIFS(Question_Bank!$M$3:$M$14,Question_Bank!$B$3:$B$14,E242)</f>
        <v>0</v>
      </c>
      <c r="M242" t="s">
        <v>172</v>
      </c>
    </row>
    <row r="243" spans="1:13">
      <c r="A243" t="s">
        <v>173</v>
      </c>
      <c r="B243" t="s">
        <v>132</v>
      </c>
      <c r="C243" t="s">
        <v>133</v>
      </c>
      <c r="D243" t="s">
        <v>14</v>
      </c>
      <c r="E243" t="s">
        <v>15</v>
      </c>
      <c r="F243" t="s">
        <v>20</v>
      </c>
      <c r="G243">
        <f>INDEX(Question_Bank!$G$3:$G$14,MATCH(D243,Question_Bank!$A$3:$A$14,0))</f>
        <v>0</v>
      </c>
      <c r="H243">
        <f>IF(F243=G243,1,0)</f>
        <v>0</v>
      </c>
      <c r="I243">
        <f>H243*INDEX(Question_Bank!$M$3:$M$14,MATCH(D243,Question_Bank!$A$3:$A$14,0))</f>
        <v>0</v>
      </c>
      <c r="J243">
        <f>SUMIFS($I$3:$I$566,$A$3:$A$566,A243)</f>
        <v>0</v>
      </c>
      <c r="K243" s="5">
        <f>J243/SUM(Question_Bank!$M$3:$M$14)</f>
        <v>0</v>
      </c>
      <c r="L243" s="5">
        <f>SUMIFS($I$3:$I$566,$A$3:$A$566,A243,$E$3:$E$566,E243)/SUMIFS(Question_Bank!$M$3:$M$14,Question_Bank!$B$3:$B$14,E243)</f>
        <v>0</v>
      </c>
      <c r="M243" t="s">
        <v>174</v>
      </c>
    </row>
    <row r="244" spans="1:13">
      <c r="A244" t="s">
        <v>173</v>
      </c>
      <c r="B244" t="s">
        <v>132</v>
      </c>
      <c r="C244" t="s">
        <v>133</v>
      </c>
      <c r="D244" t="s">
        <v>26</v>
      </c>
      <c r="E244" t="s">
        <v>15</v>
      </c>
      <c r="F244" t="s">
        <v>31</v>
      </c>
      <c r="G244">
        <f>INDEX(Question_Bank!$G$3:$G$14,MATCH(D244,Question_Bank!$A$3:$A$14,0))</f>
        <v>0</v>
      </c>
      <c r="H244">
        <f>IF(F244=G244,1,0)</f>
        <v>0</v>
      </c>
      <c r="I244">
        <f>H244*INDEX(Question_Bank!$M$3:$M$14,MATCH(D244,Question_Bank!$A$3:$A$14,0))</f>
        <v>0</v>
      </c>
      <c r="J244">
        <f>SUMIFS($I$3:$I$566,$A$3:$A$566,A244)</f>
        <v>0</v>
      </c>
      <c r="K244" s="5">
        <f>J244/SUM(Question_Bank!$M$3:$M$14)</f>
        <v>0</v>
      </c>
      <c r="L244" s="5">
        <f>SUMIFS($I$3:$I$566,$A$3:$A$566,A244,$E$3:$E$566,E244)/SUMIFS(Question_Bank!$M$3:$M$14,Question_Bank!$B$3:$B$14,E244)</f>
        <v>0</v>
      </c>
      <c r="M244" t="s">
        <v>174</v>
      </c>
    </row>
    <row r="245" spans="1:13">
      <c r="A245" t="s">
        <v>173</v>
      </c>
      <c r="B245" t="s">
        <v>132</v>
      </c>
      <c r="C245" t="s">
        <v>133</v>
      </c>
      <c r="D245" t="s">
        <v>37</v>
      </c>
      <c r="E245" t="s">
        <v>15</v>
      </c>
      <c r="F245" t="s">
        <v>23</v>
      </c>
      <c r="G245">
        <f>INDEX(Question_Bank!$G$3:$G$14,MATCH(D245,Question_Bank!$A$3:$A$14,0))</f>
        <v>0</v>
      </c>
      <c r="H245">
        <f>IF(F245=G245,1,0)</f>
        <v>0</v>
      </c>
      <c r="I245">
        <f>H245*INDEX(Question_Bank!$M$3:$M$14,MATCH(D245,Question_Bank!$A$3:$A$14,0))</f>
        <v>0</v>
      </c>
      <c r="J245">
        <f>SUMIFS($I$3:$I$566,$A$3:$A$566,A245)</f>
        <v>0</v>
      </c>
      <c r="K245" s="5">
        <f>J245/SUM(Question_Bank!$M$3:$M$14)</f>
        <v>0</v>
      </c>
      <c r="L245" s="5">
        <f>SUMIFS($I$3:$I$566,$A$3:$A$566,A245,$E$3:$E$566,E245)/SUMIFS(Question_Bank!$M$3:$M$14,Question_Bank!$B$3:$B$14,E245)</f>
        <v>0</v>
      </c>
      <c r="M245" t="s">
        <v>174</v>
      </c>
    </row>
    <row r="246" spans="1:13">
      <c r="A246" t="s">
        <v>173</v>
      </c>
      <c r="B246" t="s">
        <v>132</v>
      </c>
      <c r="C246" t="s">
        <v>133</v>
      </c>
      <c r="D246" t="s">
        <v>45</v>
      </c>
      <c r="E246" t="s">
        <v>46</v>
      </c>
      <c r="F246" t="s">
        <v>34</v>
      </c>
      <c r="G246">
        <f>INDEX(Question_Bank!$G$3:$G$14,MATCH(D246,Question_Bank!$A$3:$A$14,0))</f>
        <v>0</v>
      </c>
      <c r="H246">
        <f>IF(F246=G246,1,0)</f>
        <v>0</v>
      </c>
      <c r="I246">
        <f>H246*INDEX(Question_Bank!$M$3:$M$14,MATCH(D246,Question_Bank!$A$3:$A$14,0))</f>
        <v>0</v>
      </c>
      <c r="J246">
        <f>SUMIFS($I$3:$I$566,$A$3:$A$566,A246)</f>
        <v>0</v>
      </c>
      <c r="K246" s="5">
        <f>J246/SUM(Question_Bank!$M$3:$M$14)</f>
        <v>0</v>
      </c>
      <c r="L246" s="5">
        <f>SUMIFS($I$3:$I$566,$A$3:$A$566,A246,$E$3:$E$566,E246)/SUMIFS(Question_Bank!$M$3:$M$14,Question_Bank!$B$3:$B$14,E246)</f>
        <v>0</v>
      </c>
      <c r="M246" t="s">
        <v>174</v>
      </c>
    </row>
    <row r="247" spans="1:13">
      <c r="A247" t="s">
        <v>173</v>
      </c>
      <c r="B247" t="s">
        <v>132</v>
      </c>
      <c r="C247" t="s">
        <v>133</v>
      </c>
      <c r="D247" t="s">
        <v>54</v>
      </c>
      <c r="E247" t="s">
        <v>46</v>
      </c>
      <c r="F247" t="s">
        <v>23</v>
      </c>
      <c r="G247">
        <f>INDEX(Question_Bank!$G$3:$G$14,MATCH(D247,Question_Bank!$A$3:$A$14,0))</f>
        <v>0</v>
      </c>
      <c r="H247">
        <f>IF(F247=G247,1,0)</f>
        <v>0</v>
      </c>
      <c r="I247">
        <f>H247*INDEX(Question_Bank!$M$3:$M$14,MATCH(D247,Question_Bank!$A$3:$A$14,0))</f>
        <v>0</v>
      </c>
      <c r="J247">
        <f>SUMIFS($I$3:$I$566,$A$3:$A$566,A247)</f>
        <v>0</v>
      </c>
      <c r="K247" s="5">
        <f>J247/SUM(Question_Bank!$M$3:$M$14)</f>
        <v>0</v>
      </c>
      <c r="L247" s="5">
        <f>SUMIFS($I$3:$I$566,$A$3:$A$566,A247,$E$3:$E$566,E247)/SUMIFS(Question_Bank!$M$3:$M$14,Question_Bank!$B$3:$B$14,E247)</f>
        <v>0</v>
      </c>
      <c r="M247" t="s">
        <v>174</v>
      </c>
    </row>
    <row r="248" spans="1:13">
      <c r="A248" t="s">
        <v>173</v>
      </c>
      <c r="B248" t="s">
        <v>132</v>
      </c>
      <c r="C248" t="s">
        <v>133</v>
      </c>
      <c r="D248" t="s">
        <v>62</v>
      </c>
      <c r="E248" t="s">
        <v>46</v>
      </c>
      <c r="F248" t="s">
        <v>23</v>
      </c>
      <c r="G248">
        <f>INDEX(Question_Bank!$G$3:$G$14,MATCH(D248,Question_Bank!$A$3:$A$14,0))</f>
        <v>0</v>
      </c>
      <c r="H248">
        <f>IF(F248=G248,1,0)</f>
        <v>0</v>
      </c>
      <c r="I248">
        <f>H248*INDEX(Question_Bank!$M$3:$M$14,MATCH(D248,Question_Bank!$A$3:$A$14,0))</f>
        <v>0</v>
      </c>
      <c r="J248">
        <f>SUMIFS($I$3:$I$566,$A$3:$A$566,A248)</f>
        <v>0</v>
      </c>
      <c r="K248" s="5">
        <f>J248/SUM(Question_Bank!$M$3:$M$14)</f>
        <v>0</v>
      </c>
      <c r="L248" s="5">
        <f>SUMIFS($I$3:$I$566,$A$3:$A$566,A248,$E$3:$E$566,E248)/SUMIFS(Question_Bank!$M$3:$M$14,Question_Bank!$B$3:$B$14,E248)</f>
        <v>0</v>
      </c>
      <c r="M248" t="s">
        <v>174</v>
      </c>
    </row>
    <row r="249" spans="1:13">
      <c r="A249" t="s">
        <v>173</v>
      </c>
      <c r="B249" t="s">
        <v>132</v>
      </c>
      <c r="C249" t="s">
        <v>133</v>
      </c>
      <c r="D249" t="s">
        <v>70</v>
      </c>
      <c r="E249" t="s">
        <v>71</v>
      </c>
      <c r="F249" t="s">
        <v>20</v>
      </c>
      <c r="G249">
        <f>INDEX(Question_Bank!$G$3:$G$14,MATCH(D249,Question_Bank!$A$3:$A$14,0))</f>
        <v>0</v>
      </c>
      <c r="H249">
        <f>IF(F249=G249,1,0)</f>
        <v>0</v>
      </c>
      <c r="I249">
        <f>H249*INDEX(Question_Bank!$M$3:$M$14,MATCH(D249,Question_Bank!$A$3:$A$14,0))</f>
        <v>0</v>
      </c>
      <c r="J249">
        <f>SUMIFS($I$3:$I$566,$A$3:$A$566,A249)</f>
        <v>0</v>
      </c>
      <c r="K249" s="5">
        <f>J249/SUM(Question_Bank!$M$3:$M$14)</f>
        <v>0</v>
      </c>
      <c r="L249" s="5">
        <f>SUMIFS($I$3:$I$566,$A$3:$A$566,A249,$E$3:$E$566,E249)/SUMIFS(Question_Bank!$M$3:$M$14,Question_Bank!$B$3:$B$14,E249)</f>
        <v>0</v>
      </c>
      <c r="M249" t="s">
        <v>174</v>
      </c>
    </row>
    <row r="250" spans="1:13">
      <c r="A250" t="s">
        <v>173</v>
      </c>
      <c r="B250" t="s">
        <v>132</v>
      </c>
      <c r="C250" t="s">
        <v>133</v>
      </c>
      <c r="D250" t="s">
        <v>79</v>
      </c>
      <c r="E250" t="s">
        <v>71</v>
      </c>
      <c r="F250" t="s">
        <v>20</v>
      </c>
      <c r="G250">
        <f>INDEX(Question_Bank!$G$3:$G$14,MATCH(D250,Question_Bank!$A$3:$A$14,0))</f>
        <v>0</v>
      </c>
      <c r="H250">
        <f>IF(F250=G250,1,0)</f>
        <v>0</v>
      </c>
      <c r="I250">
        <f>H250*INDEX(Question_Bank!$M$3:$M$14,MATCH(D250,Question_Bank!$A$3:$A$14,0))</f>
        <v>0</v>
      </c>
      <c r="J250">
        <f>SUMIFS($I$3:$I$566,$A$3:$A$566,A250)</f>
        <v>0</v>
      </c>
      <c r="K250" s="5">
        <f>J250/SUM(Question_Bank!$M$3:$M$14)</f>
        <v>0</v>
      </c>
      <c r="L250" s="5">
        <f>SUMIFS($I$3:$I$566,$A$3:$A$566,A250,$E$3:$E$566,E250)/SUMIFS(Question_Bank!$M$3:$M$14,Question_Bank!$B$3:$B$14,E250)</f>
        <v>0</v>
      </c>
      <c r="M250" t="s">
        <v>174</v>
      </c>
    </row>
    <row r="251" spans="1:13">
      <c r="A251" t="s">
        <v>173</v>
      </c>
      <c r="B251" t="s">
        <v>132</v>
      </c>
      <c r="C251" t="s">
        <v>133</v>
      </c>
      <c r="D251" t="s">
        <v>87</v>
      </c>
      <c r="E251" t="s">
        <v>71</v>
      </c>
      <c r="F251" t="s">
        <v>31</v>
      </c>
      <c r="G251">
        <f>INDEX(Question_Bank!$G$3:$G$14,MATCH(D251,Question_Bank!$A$3:$A$14,0))</f>
        <v>0</v>
      </c>
      <c r="H251">
        <f>IF(F251=G251,1,0)</f>
        <v>0</v>
      </c>
      <c r="I251">
        <f>H251*INDEX(Question_Bank!$M$3:$M$14,MATCH(D251,Question_Bank!$A$3:$A$14,0))</f>
        <v>0</v>
      </c>
      <c r="J251">
        <f>SUMIFS($I$3:$I$566,$A$3:$A$566,A251)</f>
        <v>0</v>
      </c>
      <c r="K251" s="5">
        <f>J251/SUM(Question_Bank!$M$3:$M$14)</f>
        <v>0</v>
      </c>
      <c r="L251" s="5">
        <f>SUMIFS($I$3:$I$566,$A$3:$A$566,A251,$E$3:$E$566,E251)/SUMIFS(Question_Bank!$M$3:$M$14,Question_Bank!$B$3:$B$14,E251)</f>
        <v>0</v>
      </c>
      <c r="M251" t="s">
        <v>174</v>
      </c>
    </row>
    <row r="252" spans="1:13">
      <c r="A252" t="s">
        <v>173</v>
      </c>
      <c r="B252" t="s">
        <v>132</v>
      </c>
      <c r="C252" t="s">
        <v>133</v>
      </c>
      <c r="D252" t="s">
        <v>95</v>
      </c>
      <c r="E252" t="s">
        <v>96</v>
      </c>
      <c r="F252" t="s">
        <v>31</v>
      </c>
      <c r="G252">
        <f>INDEX(Question_Bank!$G$3:$G$14,MATCH(D252,Question_Bank!$A$3:$A$14,0))</f>
        <v>0</v>
      </c>
      <c r="H252">
        <f>IF(F252=G252,1,0)</f>
        <v>0</v>
      </c>
      <c r="I252">
        <f>H252*INDEX(Question_Bank!$M$3:$M$14,MATCH(D252,Question_Bank!$A$3:$A$14,0))</f>
        <v>0</v>
      </c>
      <c r="J252">
        <f>SUMIFS($I$3:$I$566,$A$3:$A$566,A252)</f>
        <v>0</v>
      </c>
      <c r="K252" s="5">
        <f>J252/SUM(Question_Bank!$M$3:$M$14)</f>
        <v>0</v>
      </c>
      <c r="L252" s="5">
        <f>SUMIFS($I$3:$I$566,$A$3:$A$566,A252,$E$3:$E$566,E252)/SUMIFS(Question_Bank!$M$3:$M$14,Question_Bank!$B$3:$B$14,E252)</f>
        <v>0</v>
      </c>
      <c r="M252" t="s">
        <v>174</v>
      </c>
    </row>
    <row r="253" spans="1:13">
      <c r="A253" t="s">
        <v>173</v>
      </c>
      <c r="B253" t="s">
        <v>132</v>
      </c>
      <c r="C253" t="s">
        <v>133</v>
      </c>
      <c r="D253" t="s">
        <v>104</v>
      </c>
      <c r="E253" t="s">
        <v>96</v>
      </c>
      <c r="F253" t="s">
        <v>31</v>
      </c>
      <c r="G253">
        <f>INDEX(Question_Bank!$G$3:$G$14,MATCH(D253,Question_Bank!$A$3:$A$14,0))</f>
        <v>0</v>
      </c>
      <c r="H253">
        <f>IF(F253=G253,1,0)</f>
        <v>0</v>
      </c>
      <c r="I253">
        <f>H253*INDEX(Question_Bank!$M$3:$M$14,MATCH(D253,Question_Bank!$A$3:$A$14,0))</f>
        <v>0</v>
      </c>
      <c r="J253">
        <f>SUMIFS($I$3:$I$566,$A$3:$A$566,A253)</f>
        <v>0</v>
      </c>
      <c r="K253" s="5">
        <f>J253/SUM(Question_Bank!$M$3:$M$14)</f>
        <v>0</v>
      </c>
      <c r="L253" s="5">
        <f>SUMIFS($I$3:$I$566,$A$3:$A$566,A253,$E$3:$E$566,E253)/SUMIFS(Question_Bank!$M$3:$M$14,Question_Bank!$B$3:$B$14,E253)</f>
        <v>0</v>
      </c>
      <c r="M253" t="s">
        <v>174</v>
      </c>
    </row>
    <row r="254" spans="1:13">
      <c r="A254" t="s">
        <v>173</v>
      </c>
      <c r="B254" t="s">
        <v>132</v>
      </c>
      <c r="C254" t="s">
        <v>133</v>
      </c>
      <c r="D254" t="s">
        <v>112</v>
      </c>
      <c r="E254" t="s">
        <v>96</v>
      </c>
      <c r="F254" t="s">
        <v>34</v>
      </c>
      <c r="G254">
        <f>INDEX(Question_Bank!$G$3:$G$14,MATCH(D254,Question_Bank!$A$3:$A$14,0))</f>
        <v>0</v>
      </c>
      <c r="H254">
        <f>IF(F254=G254,1,0)</f>
        <v>0</v>
      </c>
      <c r="I254">
        <f>H254*INDEX(Question_Bank!$M$3:$M$14,MATCH(D254,Question_Bank!$A$3:$A$14,0))</f>
        <v>0</v>
      </c>
      <c r="J254">
        <f>SUMIFS($I$3:$I$566,$A$3:$A$566,A254)</f>
        <v>0</v>
      </c>
      <c r="K254" s="5">
        <f>J254/SUM(Question_Bank!$M$3:$M$14)</f>
        <v>0</v>
      </c>
      <c r="L254" s="5">
        <f>SUMIFS($I$3:$I$566,$A$3:$A$566,A254,$E$3:$E$566,E254)/SUMIFS(Question_Bank!$M$3:$M$14,Question_Bank!$B$3:$B$14,E254)</f>
        <v>0</v>
      </c>
      <c r="M254" t="s">
        <v>174</v>
      </c>
    </row>
    <row r="255" spans="1:13">
      <c r="A255" t="s">
        <v>175</v>
      </c>
      <c r="B255" t="s">
        <v>132</v>
      </c>
      <c r="C255" t="s">
        <v>133</v>
      </c>
      <c r="D255" t="s">
        <v>14</v>
      </c>
      <c r="E255" t="s">
        <v>15</v>
      </c>
      <c r="F255" t="s">
        <v>23</v>
      </c>
      <c r="G255">
        <f>INDEX(Question_Bank!$G$3:$G$14,MATCH(D255,Question_Bank!$A$3:$A$14,0))</f>
        <v>0</v>
      </c>
      <c r="H255">
        <f>IF(F255=G255,1,0)</f>
        <v>0</v>
      </c>
      <c r="I255">
        <f>H255*INDEX(Question_Bank!$M$3:$M$14,MATCH(D255,Question_Bank!$A$3:$A$14,0))</f>
        <v>0</v>
      </c>
      <c r="J255">
        <f>SUMIFS($I$3:$I$566,$A$3:$A$566,A255)</f>
        <v>0</v>
      </c>
      <c r="K255" s="5">
        <f>J255/SUM(Question_Bank!$M$3:$M$14)</f>
        <v>0</v>
      </c>
      <c r="L255" s="5">
        <f>SUMIFS($I$3:$I$566,$A$3:$A$566,A255,$E$3:$E$566,E255)/SUMIFS(Question_Bank!$M$3:$M$14,Question_Bank!$B$3:$B$14,E255)</f>
        <v>0</v>
      </c>
      <c r="M255" t="s">
        <v>176</v>
      </c>
    </row>
    <row r="256" spans="1:13">
      <c r="A256" t="s">
        <v>175</v>
      </c>
      <c r="B256" t="s">
        <v>132</v>
      </c>
      <c r="C256" t="s">
        <v>133</v>
      </c>
      <c r="D256" t="s">
        <v>26</v>
      </c>
      <c r="E256" t="s">
        <v>15</v>
      </c>
      <c r="F256" t="s">
        <v>20</v>
      </c>
      <c r="G256">
        <f>INDEX(Question_Bank!$G$3:$G$14,MATCH(D256,Question_Bank!$A$3:$A$14,0))</f>
        <v>0</v>
      </c>
      <c r="H256">
        <f>IF(F256=G256,1,0)</f>
        <v>0</v>
      </c>
      <c r="I256">
        <f>H256*INDEX(Question_Bank!$M$3:$M$14,MATCH(D256,Question_Bank!$A$3:$A$14,0))</f>
        <v>0</v>
      </c>
      <c r="J256">
        <f>SUMIFS($I$3:$I$566,$A$3:$A$566,A256)</f>
        <v>0</v>
      </c>
      <c r="K256" s="5">
        <f>J256/SUM(Question_Bank!$M$3:$M$14)</f>
        <v>0</v>
      </c>
      <c r="L256" s="5">
        <f>SUMIFS($I$3:$I$566,$A$3:$A$566,A256,$E$3:$E$566,E256)/SUMIFS(Question_Bank!$M$3:$M$14,Question_Bank!$B$3:$B$14,E256)</f>
        <v>0</v>
      </c>
      <c r="M256" t="s">
        <v>176</v>
      </c>
    </row>
    <row r="257" spans="1:13">
      <c r="A257" t="s">
        <v>175</v>
      </c>
      <c r="B257" t="s">
        <v>132</v>
      </c>
      <c r="C257" t="s">
        <v>133</v>
      </c>
      <c r="D257" t="s">
        <v>37</v>
      </c>
      <c r="E257" t="s">
        <v>15</v>
      </c>
      <c r="F257" t="s">
        <v>34</v>
      </c>
      <c r="G257">
        <f>INDEX(Question_Bank!$G$3:$G$14,MATCH(D257,Question_Bank!$A$3:$A$14,0))</f>
        <v>0</v>
      </c>
      <c r="H257">
        <f>IF(F257=G257,1,0)</f>
        <v>0</v>
      </c>
      <c r="I257">
        <f>H257*INDEX(Question_Bank!$M$3:$M$14,MATCH(D257,Question_Bank!$A$3:$A$14,0))</f>
        <v>0</v>
      </c>
      <c r="J257">
        <f>SUMIFS($I$3:$I$566,$A$3:$A$566,A257)</f>
        <v>0</v>
      </c>
      <c r="K257" s="5">
        <f>J257/SUM(Question_Bank!$M$3:$M$14)</f>
        <v>0</v>
      </c>
      <c r="L257" s="5">
        <f>SUMIFS($I$3:$I$566,$A$3:$A$566,A257,$E$3:$E$566,E257)/SUMIFS(Question_Bank!$M$3:$M$14,Question_Bank!$B$3:$B$14,E257)</f>
        <v>0</v>
      </c>
      <c r="M257" t="s">
        <v>176</v>
      </c>
    </row>
    <row r="258" spans="1:13">
      <c r="A258" t="s">
        <v>175</v>
      </c>
      <c r="B258" t="s">
        <v>132</v>
      </c>
      <c r="C258" t="s">
        <v>133</v>
      </c>
      <c r="D258" t="s">
        <v>45</v>
      </c>
      <c r="E258" t="s">
        <v>46</v>
      </c>
      <c r="F258" t="s">
        <v>31</v>
      </c>
      <c r="G258">
        <f>INDEX(Question_Bank!$G$3:$G$14,MATCH(D258,Question_Bank!$A$3:$A$14,0))</f>
        <v>0</v>
      </c>
      <c r="H258">
        <f>IF(F258=G258,1,0)</f>
        <v>0</v>
      </c>
      <c r="I258">
        <f>H258*INDEX(Question_Bank!$M$3:$M$14,MATCH(D258,Question_Bank!$A$3:$A$14,0))</f>
        <v>0</v>
      </c>
      <c r="J258">
        <f>SUMIFS($I$3:$I$566,$A$3:$A$566,A258)</f>
        <v>0</v>
      </c>
      <c r="K258" s="5">
        <f>J258/SUM(Question_Bank!$M$3:$M$14)</f>
        <v>0</v>
      </c>
      <c r="L258" s="5">
        <f>SUMIFS($I$3:$I$566,$A$3:$A$566,A258,$E$3:$E$566,E258)/SUMIFS(Question_Bank!$M$3:$M$14,Question_Bank!$B$3:$B$14,E258)</f>
        <v>0</v>
      </c>
      <c r="M258" t="s">
        <v>176</v>
      </c>
    </row>
    <row r="259" spans="1:13">
      <c r="A259" t="s">
        <v>175</v>
      </c>
      <c r="B259" t="s">
        <v>132</v>
      </c>
      <c r="C259" t="s">
        <v>133</v>
      </c>
      <c r="D259" t="s">
        <v>54</v>
      </c>
      <c r="E259" t="s">
        <v>46</v>
      </c>
      <c r="F259" t="s">
        <v>31</v>
      </c>
      <c r="G259">
        <f>INDEX(Question_Bank!$G$3:$G$14,MATCH(D259,Question_Bank!$A$3:$A$14,0))</f>
        <v>0</v>
      </c>
      <c r="H259">
        <f>IF(F259=G259,1,0)</f>
        <v>0</v>
      </c>
      <c r="I259">
        <f>H259*INDEX(Question_Bank!$M$3:$M$14,MATCH(D259,Question_Bank!$A$3:$A$14,0))</f>
        <v>0</v>
      </c>
      <c r="J259">
        <f>SUMIFS($I$3:$I$566,$A$3:$A$566,A259)</f>
        <v>0</v>
      </c>
      <c r="K259" s="5">
        <f>J259/SUM(Question_Bank!$M$3:$M$14)</f>
        <v>0</v>
      </c>
      <c r="L259" s="5">
        <f>SUMIFS($I$3:$I$566,$A$3:$A$566,A259,$E$3:$E$566,E259)/SUMIFS(Question_Bank!$M$3:$M$14,Question_Bank!$B$3:$B$14,E259)</f>
        <v>0</v>
      </c>
      <c r="M259" t="s">
        <v>176</v>
      </c>
    </row>
    <row r="260" spans="1:13">
      <c r="A260" t="s">
        <v>175</v>
      </c>
      <c r="B260" t="s">
        <v>132</v>
      </c>
      <c r="C260" t="s">
        <v>133</v>
      </c>
      <c r="D260" t="s">
        <v>62</v>
      </c>
      <c r="E260" t="s">
        <v>46</v>
      </c>
      <c r="F260" t="s">
        <v>20</v>
      </c>
      <c r="G260">
        <f>INDEX(Question_Bank!$G$3:$G$14,MATCH(D260,Question_Bank!$A$3:$A$14,0))</f>
        <v>0</v>
      </c>
      <c r="H260">
        <f>IF(F260=G260,1,0)</f>
        <v>0</v>
      </c>
      <c r="I260">
        <f>H260*INDEX(Question_Bank!$M$3:$M$14,MATCH(D260,Question_Bank!$A$3:$A$14,0))</f>
        <v>0</v>
      </c>
      <c r="J260">
        <f>SUMIFS($I$3:$I$566,$A$3:$A$566,A260)</f>
        <v>0</v>
      </c>
      <c r="K260" s="5">
        <f>J260/SUM(Question_Bank!$M$3:$M$14)</f>
        <v>0</v>
      </c>
      <c r="L260" s="5">
        <f>SUMIFS($I$3:$I$566,$A$3:$A$566,A260,$E$3:$E$566,E260)/SUMIFS(Question_Bank!$M$3:$M$14,Question_Bank!$B$3:$B$14,E260)</f>
        <v>0</v>
      </c>
      <c r="M260" t="s">
        <v>176</v>
      </c>
    </row>
    <row r="261" spans="1:13">
      <c r="A261" t="s">
        <v>175</v>
      </c>
      <c r="B261" t="s">
        <v>132</v>
      </c>
      <c r="C261" t="s">
        <v>133</v>
      </c>
      <c r="D261" t="s">
        <v>70</v>
      </c>
      <c r="E261" t="s">
        <v>71</v>
      </c>
      <c r="F261" t="s">
        <v>31</v>
      </c>
      <c r="G261">
        <f>INDEX(Question_Bank!$G$3:$G$14,MATCH(D261,Question_Bank!$A$3:$A$14,0))</f>
        <v>0</v>
      </c>
      <c r="H261">
        <f>IF(F261=G261,1,0)</f>
        <v>0</v>
      </c>
      <c r="I261">
        <f>H261*INDEX(Question_Bank!$M$3:$M$14,MATCH(D261,Question_Bank!$A$3:$A$14,0))</f>
        <v>0</v>
      </c>
      <c r="J261">
        <f>SUMIFS($I$3:$I$566,$A$3:$A$566,A261)</f>
        <v>0</v>
      </c>
      <c r="K261" s="5">
        <f>J261/SUM(Question_Bank!$M$3:$M$14)</f>
        <v>0</v>
      </c>
      <c r="L261" s="5">
        <f>SUMIFS($I$3:$I$566,$A$3:$A$566,A261,$E$3:$E$566,E261)/SUMIFS(Question_Bank!$M$3:$M$14,Question_Bank!$B$3:$B$14,E261)</f>
        <v>0</v>
      </c>
      <c r="M261" t="s">
        <v>176</v>
      </c>
    </row>
    <row r="262" spans="1:13">
      <c r="A262" t="s">
        <v>175</v>
      </c>
      <c r="B262" t="s">
        <v>132</v>
      </c>
      <c r="C262" t="s">
        <v>133</v>
      </c>
      <c r="D262" t="s">
        <v>79</v>
      </c>
      <c r="E262" t="s">
        <v>71</v>
      </c>
      <c r="F262" t="s">
        <v>34</v>
      </c>
      <c r="G262">
        <f>INDEX(Question_Bank!$G$3:$G$14,MATCH(D262,Question_Bank!$A$3:$A$14,0))</f>
        <v>0</v>
      </c>
      <c r="H262">
        <f>IF(F262=G262,1,0)</f>
        <v>0</v>
      </c>
      <c r="I262">
        <f>H262*INDEX(Question_Bank!$M$3:$M$14,MATCH(D262,Question_Bank!$A$3:$A$14,0))</f>
        <v>0</v>
      </c>
      <c r="J262">
        <f>SUMIFS($I$3:$I$566,$A$3:$A$566,A262)</f>
        <v>0</v>
      </c>
      <c r="K262" s="5">
        <f>J262/SUM(Question_Bank!$M$3:$M$14)</f>
        <v>0</v>
      </c>
      <c r="L262" s="5">
        <f>SUMIFS($I$3:$I$566,$A$3:$A$566,A262,$E$3:$E$566,E262)/SUMIFS(Question_Bank!$M$3:$M$14,Question_Bank!$B$3:$B$14,E262)</f>
        <v>0</v>
      </c>
      <c r="M262" t="s">
        <v>176</v>
      </c>
    </row>
    <row r="263" spans="1:13">
      <c r="A263" t="s">
        <v>175</v>
      </c>
      <c r="B263" t="s">
        <v>132</v>
      </c>
      <c r="C263" t="s">
        <v>133</v>
      </c>
      <c r="D263" t="s">
        <v>87</v>
      </c>
      <c r="E263" t="s">
        <v>71</v>
      </c>
      <c r="F263" t="s">
        <v>20</v>
      </c>
      <c r="G263">
        <f>INDEX(Question_Bank!$G$3:$G$14,MATCH(D263,Question_Bank!$A$3:$A$14,0))</f>
        <v>0</v>
      </c>
      <c r="H263">
        <f>IF(F263=G263,1,0)</f>
        <v>0</v>
      </c>
      <c r="I263">
        <f>H263*INDEX(Question_Bank!$M$3:$M$14,MATCH(D263,Question_Bank!$A$3:$A$14,0))</f>
        <v>0</v>
      </c>
      <c r="J263">
        <f>SUMIFS($I$3:$I$566,$A$3:$A$566,A263)</f>
        <v>0</v>
      </c>
      <c r="K263" s="5">
        <f>J263/SUM(Question_Bank!$M$3:$M$14)</f>
        <v>0</v>
      </c>
      <c r="L263" s="5">
        <f>SUMIFS($I$3:$I$566,$A$3:$A$566,A263,$E$3:$E$566,E263)/SUMIFS(Question_Bank!$M$3:$M$14,Question_Bank!$B$3:$B$14,E263)</f>
        <v>0</v>
      </c>
      <c r="M263" t="s">
        <v>176</v>
      </c>
    </row>
    <row r="264" spans="1:13">
      <c r="A264" t="s">
        <v>175</v>
      </c>
      <c r="B264" t="s">
        <v>132</v>
      </c>
      <c r="C264" t="s">
        <v>133</v>
      </c>
      <c r="D264" t="s">
        <v>95</v>
      </c>
      <c r="E264" t="s">
        <v>96</v>
      </c>
      <c r="F264" t="s">
        <v>31</v>
      </c>
      <c r="G264">
        <f>INDEX(Question_Bank!$G$3:$G$14,MATCH(D264,Question_Bank!$A$3:$A$14,0))</f>
        <v>0</v>
      </c>
      <c r="H264">
        <f>IF(F264=G264,1,0)</f>
        <v>0</v>
      </c>
      <c r="I264">
        <f>H264*INDEX(Question_Bank!$M$3:$M$14,MATCH(D264,Question_Bank!$A$3:$A$14,0))</f>
        <v>0</v>
      </c>
      <c r="J264">
        <f>SUMIFS($I$3:$I$566,$A$3:$A$566,A264)</f>
        <v>0</v>
      </c>
      <c r="K264" s="5">
        <f>J264/SUM(Question_Bank!$M$3:$M$14)</f>
        <v>0</v>
      </c>
      <c r="L264" s="5">
        <f>SUMIFS($I$3:$I$566,$A$3:$A$566,A264,$E$3:$E$566,E264)/SUMIFS(Question_Bank!$M$3:$M$14,Question_Bank!$B$3:$B$14,E264)</f>
        <v>0</v>
      </c>
      <c r="M264" t="s">
        <v>176</v>
      </c>
    </row>
    <row r="265" spans="1:13">
      <c r="A265" t="s">
        <v>175</v>
      </c>
      <c r="B265" t="s">
        <v>132</v>
      </c>
      <c r="C265" t="s">
        <v>133</v>
      </c>
      <c r="D265" t="s">
        <v>104</v>
      </c>
      <c r="E265" t="s">
        <v>96</v>
      </c>
      <c r="F265" t="s">
        <v>31</v>
      </c>
      <c r="G265">
        <f>INDEX(Question_Bank!$G$3:$G$14,MATCH(D265,Question_Bank!$A$3:$A$14,0))</f>
        <v>0</v>
      </c>
      <c r="H265">
        <f>IF(F265=G265,1,0)</f>
        <v>0</v>
      </c>
      <c r="I265">
        <f>H265*INDEX(Question_Bank!$M$3:$M$14,MATCH(D265,Question_Bank!$A$3:$A$14,0))</f>
        <v>0</v>
      </c>
      <c r="J265">
        <f>SUMIFS($I$3:$I$566,$A$3:$A$566,A265)</f>
        <v>0</v>
      </c>
      <c r="K265" s="5">
        <f>J265/SUM(Question_Bank!$M$3:$M$14)</f>
        <v>0</v>
      </c>
      <c r="L265" s="5">
        <f>SUMIFS($I$3:$I$566,$A$3:$A$566,A265,$E$3:$E$566,E265)/SUMIFS(Question_Bank!$M$3:$M$14,Question_Bank!$B$3:$B$14,E265)</f>
        <v>0</v>
      </c>
      <c r="M265" t="s">
        <v>176</v>
      </c>
    </row>
    <row r="266" spans="1:13">
      <c r="A266" t="s">
        <v>175</v>
      </c>
      <c r="B266" t="s">
        <v>132</v>
      </c>
      <c r="C266" t="s">
        <v>133</v>
      </c>
      <c r="D266" t="s">
        <v>112</v>
      </c>
      <c r="E266" t="s">
        <v>96</v>
      </c>
      <c r="F266" t="s">
        <v>31</v>
      </c>
      <c r="G266">
        <f>INDEX(Question_Bank!$G$3:$G$14,MATCH(D266,Question_Bank!$A$3:$A$14,0))</f>
        <v>0</v>
      </c>
      <c r="H266">
        <f>IF(F266=G266,1,0)</f>
        <v>0</v>
      </c>
      <c r="I266">
        <f>H266*INDEX(Question_Bank!$M$3:$M$14,MATCH(D266,Question_Bank!$A$3:$A$14,0))</f>
        <v>0</v>
      </c>
      <c r="J266">
        <f>SUMIFS($I$3:$I$566,$A$3:$A$566,A266)</f>
        <v>0</v>
      </c>
      <c r="K266" s="5">
        <f>J266/SUM(Question_Bank!$M$3:$M$14)</f>
        <v>0</v>
      </c>
      <c r="L266" s="5">
        <f>SUMIFS($I$3:$I$566,$A$3:$A$566,A266,$E$3:$E$566,E266)/SUMIFS(Question_Bank!$M$3:$M$14,Question_Bank!$B$3:$B$14,E266)</f>
        <v>0</v>
      </c>
      <c r="M266" t="s">
        <v>176</v>
      </c>
    </row>
    <row r="267" spans="1:13">
      <c r="A267" t="s">
        <v>177</v>
      </c>
      <c r="B267" t="s">
        <v>132</v>
      </c>
      <c r="C267" t="s">
        <v>133</v>
      </c>
      <c r="D267" t="s">
        <v>14</v>
      </c>
      <c r="E267" t="s">
        <v>15</v>
      </c>
      <c r="F267" t="s">
        <v>34</v>
      </c>
      <c r="G267">
        <f>INDEX(Question_Bank!$G$3:$G$14,MATCH(D267,Question_Bank!$A$3:$A$14,0))</f>
        <v>0</v>
      </c>
      <c r="H267">
        <f>IF(F267=G267,1,0)</f>
        <v>0</v>
      </c>
      <c r="I267">
        <f>H267*INDEX(Question_Bank!$M$3:$M$14,MATCH(D267,Question_Bank!$A$3:$A$14,0))</f>
        <v>0</v>
      </c>
      <c r="J267">
        <f>SUMIFS($I$3:$I$566,$A$3:$A$566,A267)</f>
        <v>0</v>
      </c>
      <c r="K267" s="5">
        <f>J267/SUM(Question_Bank!$M$3:$M$14)</f>
        <v>0</v>
      </c>
      <c r="L267" s="5">
        <f>SUMIFS($I$3:$I$566,$A$3:$A$566,A267,$E$3:$E$566,E267)/SUMIFS(Question_Bank!$M$3:$M$14,Question_Bank!$B$3:$B$14,E267)</f>
        <v>0</v>
      </c>
      <c r="M267" t="s">
        <v>178</v>
      </c>
    </row>
    <row r="268" spans="1:13">
      <c r="A268" t="s">
        <v>177</v>
      </c>
      <c r="B268" t="s">
        <v>132</v>
      </c>
      <c r="C268" t="s">
        <v>133</v>
      </c>
      <c r="D268" t="s">
        <v>26</v>
      </c>
      <c r="E268" t="s">
        <v>15</v>
      </c>
      <c r="F268" t="s">
        <v>31</v>
      </c>
      <c r="G268">
        <f>INDEX(Question_Bank!$G$3:$G$14,MATCH(D268,Question_Bank!$A$3:$A$14,0))</f>
        <v>0</v>
      </c>
      <c r="H268">
        <f>IF(F268=G268,1,0)</f>
        <v>0</v>
      </c>
      <c r="I268">
        <f>H268*INDEX(Question_Bank!$M$3:$M$14,MATCH(D268,Question_Bank!$A$3:$A$14,0))</f>
        <v>0</v>
      </c>
      <c r="J268">
        <f>SUMIFS($I$3:$I$566,$A$3:$A$566,A268)</f>
        <v>0</v>
      </c>
      <c r="K268" s="5">
        <f>J268/SUM(Question_Bank!$M$3:$M$14)</f>
        <v>0</v>
      </c>
      <c r="L268" s="5">
        <f>SUMIFS($I$3:$I$566,$A$3:$A$566,A268,$E$3:$E$566,E268)/SUMIFS(Question_Bank!$M$3:$M$14,Question_Bank!$B$3:$B$14,E268)</f>
        <v>0</v>
      </c>
      <c r="M268" t="s">
        <v>178</v>
      </c>
    </row>
    <row r="269" spans="1:13">
      <c r="A269" t="s">
        <v>177</v>
      </c>
      <c r="B269" t="s">
        <v>132</v>
      </c>
      <c r="C269" t="s">
        <v>133</v>
      </c>
      <c r="D269" t="s">
        <v>37</v>
      </c>
      <c r="E269" t="s">
        <v>15</v>
      </c>
      <c r="F269" t="s">
        <v>20</v>
      </c>
      <c r="G269">
        <f>INDEX(Question_Bank!$G$3:$G$14,MATCH(D269,Question_Bank!$A$3:$A$14,0))</f>
        <v>0</v>
      </c>
      <c r="H269">
        <f>IF(F269=G269,1,0)</f>
        <v>0</v>
      </c>
      <c r="I269">
        <f>H269*INDEX(Question_Bank!$M$3:$M$14,MATCH(D269,Question_Bank!$A$3:$A$14,0))</f>
        <v>0</v>
      </c>
      <c r="J269">
        <f>SUMIFS($I$3:$I$566,$A$3:$A$566,A269)</f>
        <v>0</v>
      </c>
      <c r="K269" s="5">
        <f>J269/SUM(Question_Bank!$M$3:$M$14)</f>
        <v>0</v>
      </c>
      <c r="L269" s="5">
        <f>SUMIFS($I$3:$I$566,$A$3:$A$566,A269,$E$3:$E$566,E269)/SUMIFS(Question_Bank!$M$3:$M$14,Question_Bank!$B$3:$B$14,E269)</f>
        <v>0</v>
      </c>
      <c r="M269" t="s">
        <v>178</v>
      </c>
    </row>
    <row r="270" spans="1:13">
      <c r="A270" t="s">
        <v>177</v>
      </c>
      <c r="B270" t="s">
        <v>132</v>
      </c>
      <c r="C270" t="s">
        <v>133</v>
      </c>
      <c r="D270" t="s">
        <v>45</v>
      </c>
      <c r="E270" t="s">
        <v>46</v>
      </c>
      <c r="F270" t="s">
        <v>23</v>
      </c>
      <c r="G270">
        <f>INDEX(Question_Bank!$G$3:$G$14,MATCH(D270,Question_Bank!$A$3:$A$14,0))</f>
        <v>0</v>
      </c>
      <c r="H270">
        <f>IF(F270=G270,1,0)</f>
        <v>0</v>
      </c>
      <c r="I270">
        <f>H270*INDEX(Question_Bank!$M$3:$M$14,MATCH(D270,Question_Bank!$A$3:$A$14,0))</f>
        <v>0</v>
      </c>
      <c r="J270">
        <f>SUMIFS($I$3:$I$566,$A$3:$A$566,A270)</f>
        <v>0</v>
      </c>
      <c r="K270" s="5">
        <f>J270/SUM(Question_Bank!$M$3:$M$14)</f>
        <v>0</v>
      </c>
      <c r="L270" s="5">
        <f>SUMIFS($I$3:$I$566,$A$3:$A$566,A270,$E$3:$E$566,E270)/SUMIFS(Question_Bank!$M$3:$M$14,Question_Bank!$B$3:$B$14,E270)</f>
        <v>0</v>
      </c>
      <c r="M270" t="s">
        <v>178</v>
      </c>
    </row>
    <row r="271" spans="1:13">
      <c r="A271" t="s">
        <v>177</v>
      </c>
      <c r="B271" t="s">
        <v>132</v>
      </c>
      <c r="C271" t="s">
        <v>133</v>
      </c>
      <c r="D271" t="s">
        <v>54</v>
      </c>
      <c r="E271" t="s">
        <v>46</v>
      </c>
      <c r="F271" t="s">
        <v>23</v>
      </c>
      <c r="G271">
        <f>INDEX(Question_Bank!$G$3:$G$14,MATCH(D271,Question_Bank!$A$3:$A$14,0))</f>
        <v>0</v>
      </c>
      <c r="H271">
        <f>IF(F271=G271,1,0)</f>
        <v>0</v>
      </c>
      <c r="I271">
        <f>H271*INDEX(Question_Bank!$M$3:$M$14,MATCH(D271,Question_Bank!$A$3:$A$14,0))</f>
        <v>0</v>
      </c>
      <c r="J271">
        <f>SUMIFS($I$3:$I$566,$A$3:$A$566,A271)</f>
        <v>0</v>
      </c>
      <c r="K271" s="5">
        <f>J271/SUM(Question_Bank!$M$3:$M$14)</f>
        <v>0</v>
      </c>
      <c r="L271" s="5">
        <f>SUMIFS($I$3:$I$566,$A$3:$A$566,A271,$E$3:$E$566,E271)/SUMIFS(Question_Bank!$M$3:$M$14,Question_Bank!$B$3:$B$14,E271)</f>
        <v>0</v>
      </c>
      <c r="M271" t="s">
        <v>178</v>
      </c>
    </row>
    <row r="272" spans="1:13">
      <c r="A272" t="s">
        <v>177</v>
      </c>
      <c r="B272" t="s">
        <v>132</v>
      </c>
      <c r="C272" t="s">
        <v>133</v>
      </c>
      <c r="D272" t="s">
        <v>62</v>
      </c>
      <c r="E272" t="s">
        <v>46</v>
      </c>
      <c r="F272" t="s">
        <v>20</v>
      </c>
      <c r="G272">
        <f>INDEX(Question_Bank!$G$3:$G$14,MATCH(D272,Question_Bank!$A$3:$A$14,0))</f>
        <v>0</v>
      </c>
      <c r="H272">
        <f>IF(F272=G272,1,0)</f>
        <v>0</v>
      </c>
      <c r="I272">
        <f>H272*INDEX(Question_Bank!$M$3:$M$14,MATCH(D272,Question_Bank!$A$3:$A$14,0))</f>
        <v>0</v>
      </c>
      <c r="J272">
        <f>SUMIFS($I$3:$I$566,$A$3:$A$566,A272)</f>
        <v>0</v>
      </c>
      <c r="K272" s="5">
        <f>J272/SUM(Question_Bank!$M$3:$M$14)</f>
        <v>0</v>
      </c>
      <c r="L272" s="5">
        <f>SUMIFS($I$3:$I$566,$A$3:$A$566,A272,$E$3:$E$566,E272)/SUMIFS(Question_Bank!$M$3:$M$14,Question_Bank!$B$3:$B$14,E272)</f>
        <v>0</v>
      </c>
      <c r="M272" t="s">
        <v>178</v>
      </c>
    </row>
    <row r="273" spans="1:13">
      <c r="A273" t="s">
        <v>177</v>
      </c>
      <c r="B273" t="s">
        <v>132</v>
      </c>
      <c r="C273" t="s">
        <v>133</v>
      </c>
      <c r="D273" t="s">
        <v>70</v>
      </c>
      <c r="E273" t="s">
        <v>71</v>
      </c>
      <c r="F273" t="s">
        <v>34</v>
      </c>
      <c r="G273">
        <f>INDEX(Question_Bank!$G$3:$G$14,MATCH(D273,Question_Bank!$A$3:$A$14,0))</f>
        <v>0</v>
      </c>
      <c r="H273">
        <f>IF(F273=G273,1,0)</f>
        <v>0</v>
      </c>
      <c r="I273">
        <f>H273*INDEX(Question_Bank!$M$3:$M$14,MATCH(D273,Question_Bank!$A$3:$A$14,0))</f>
        <v>0</v>
      </c>
      <c r="J273">
        <f>SUMIFS($I$3:$I$566,$A$3:$A$566,A273)</f>
        <v>0</v>
      </c>
      <c r="K273" s="5">
        <f>J273/SUM(Question_Bank!$M$3:$M$14)</f>
        <v>0</v>
      </c>
      <c r="L273" s="5">
        <f>SUMIFS($I$3:$I$566,$A$3:$A$566,A273,$E$3:$E$566,E273)/SUMIFS(Question_Bank!$M$3:$M$14,Question_Bank!$B$3:$B$14,E273)</f>
        <v>0</v>
      </c>
      <c r="M273" t="s">
        <v>178</v>
      </c>
    </row>
    <row r="274" spans="1:13">
      <c r="A274" t="s">
        <v>177</v>
      </c>
      <c r="B274" t="s">
        <v>132</v>
      </c>
      <c r="C274" t="s">
        <v>133</v>
      </c>
      <c r="D274" t="s">
        <v>79</v>
      </c>
      <c r="E274" t="s">
        <v>71</v>
      </c>
      <c r="F274" t="s">
        <v>20</v>
      </c>
      <c r="G274">
        <f>INDEX(Question_Bank!$G$3:$G$14,MATCH(D274,Question_Bank!$A$3:$A$14,0))</f>
        <v>0</v>
      </c>
      <c r="H274">
        <f>IF(F274=G274,1,0)</f>
        <v>0</v>
      </c>
      <c r="I274">
        <f>H274*INDEX(Question_Bank!$M$3:$M$14,MATCH(D274,Question_Bank!$A$3:$A$14,0))</f>
        <v>0</v>
      </c>
      <c r="J274">
        <f>SUMIFS($I$3:$I$566,$A$3:$A$566,A274)</f>
        <v>0</v>
      </c>
      <c r="K274" s="5">
        <f>J274/SUM(Question_Bank!$M$3:$M$14)</f>
        <v>0</v>
      </c>
      <c r="L274" s="5">
        <f>SUMIFS($I$3:$I$566,$A$3:$A$566,A274,$E$3:$E$566,E274)/SUMIFS(Question_Bank!$M$3:$M$14,Question_Bank!$B$3:$B$14,E274)</f>
        <v>0</v>
      </c>
      <c r="M274" t="s">
        <v>178</v>
      </c>
    </row>
    <row r="275" spans="1:13">
      <c r="A275" t="s">
        <v>177</v>
      </c>
      <c r="B275" t="s">
        <v>132</v>
      </c>
      <c r="C275" t="s">
        <v>133</v>
      </c>
      <c r="D275" t="s">
        <v>87</v>
      </c>
      <c r="E275" t="s">
        <v>71</v>
      </c>
      <c r="F275" t="s">
        <v>23</v>
      </c>
      <c r="G275">
        <f>INDEX(Question_Bank!$G$3:$G$14,MATCH(D275,Question_Bank!$A$3:$A$14,0))</f>
        <v>0</v>
      </c>
      <c r="H275">
        <f>IF(F275=G275,1,0)</f>
        <v>0</v>
      </c>
      <c r="I275">
        <f>H275*INDEX(Question_Bank!$M$3:$M$14,MATCH(D275,Question_Bank!$A$3:$A$14,0))</f>
        <v>0</v>
      </c>
      <c r="J275">
        <f>SUMIFS($I$3:$I$566,$A$3:$A$566,A275)</f>
        <v>0</v>
      </c>
      <c r="K275" s="5">
        <f>J275/SUM(Question_Bank!$M$3:$M$14)</f>
        <v>0</v>
      </c>
      <c r="L275" s="5">
        <f>SUMIFS($I$3:$I$566,$A$3:$A$566,A275,$E$3:$E$566,E275)/SUMIFS(Question_Bank!$M$3:$M$14,Question_Bank!$B$3:$B$14,E275)</f>
        <v>0</v>
      </c>
      <c r="M275" t="s">
        <v>178</v>
      </c>
    </row>
    <row r="276" spans="1:13">
      <c r="A276" t="s">
        <v>177</v>
      </c>
      <c r="B276" t="s">
        <v>132</v>
      </c>
      <c r="C276" t="s">
        <v>133</v>
      </c>
      <c r="D276" t="s">
        <v>95</v>
      </c>
      <c r="E276" t="s">
        <v>96</v>
      </c>
      <c r="F276" t="s">
        <v>20</v>
      </c>
      <c r="G276">
        <f>INDEX(Question_Bank!$G$3:$G$14,MATCH(D276,Question_Bank!$A$3:$A$14,0))</f>
        <v>0</v>
      </c>
      <c r="H276">
        <f>IF(F276=G276,1,0)</f>
        <v>0</v>
      </c>
      <c r="I276">
        <f>H276*INDEX(Question_Bank!$M$3:$M$14,MATCH(D276,Question_Bank!$A$3:$A$14,0))</f>
        <v>0</v>
      </c>
      <c r="J276">
        <f>SUMIFS($I$3:$I$566,$A$3:$A$566,A276)</f>
        <v>0</v>
      </c>
      <c r="K276" s="5">
        <f>J276/SUM(Question_Bank!$M$3:$M$14)</f>
        <v>0</v>
      </c>
      <c r="L276" s="5">
        <f>SUMIFS($I$3:$I$566,$A$3:$A$566,A276,$E$3:$E$566,E276)/SUMIFS(Question_Bank!$M$3:$M$14,Question_Bank!$B$3:$B$14,E276)</f>
        <v>0</v>
      </c>
      <c r="M276" t="s">
        <v>178</v>
      </c>
    </row>
    <row r="277" spans="1:13">
      <c r="A277" t="s">
        <v>177</v>
      </c>
      <c r="B277" t="s">
        <v>132</v>
      </c>
      <c r="C277" t="s">
        <v>133</v>
      </c>
      <c r="D277" t="s">
        <v>104</v>
      </c>
      <c r="E277" t="s">
        <v>96</v>
      </c>
      <c r="F277" t="s">
        <v>23</v>
      </c>
      <c r="G277">
        <f>INDEX(Question_Bank!$G$3:$G$14,MATCH(D277,Question_Bank!$A$3:$A$14,0))</f>
        <v>0</v>
      </c>
      <c r="H277">
        <f>IF(F277=G277,1,0)</f>
        <v>0</v>
      </c>
      <c r="I277">
        <f>H277*INDEX(Question_Bank!$M$3:$M$14,MATCH(D277,Question_Bank!$A$3:$A$14,0))</f>
        <v>0</v>
      </c>
      <c r="J277">
        <f>SUMIFS($I$3:$I$566,$A$3:$A$566,A277)</f>
        <v>0</v>
      </c>
      <c r="K277" s="5">
        <f>J277/SUM(Question_Bank!$M$3:$M$14)</f>
        <v>0</v>
      </c>
      <c r="L277" s="5">
        <f>SUMIFS($I$3:$I$566,$A$3:$A$566,A277,$E$3:$E$566,E277)/SUMIFS(Question_Bank!$M$3:$M$14,Question_Bank!$B$3:$B$14,E277)</f>
        <v>0</v>
      </c>
      <c r="M277" t="s">
        <v>178</v>
      </c>
    </row>
    <row r="278" spans="1:13">
      <c r="A278" t="s">
        <v>177</v>
      </c>
      <c r="B278" t="s">
        <v>132</v>
      </c>
      <c r="C278" t="s">
        <v>133</v>
      </c>
      <c r="D278" t="s">
        <v>112</v>
      </c>
      <c r="E278" t="s">
        <v>96</v>
      </c>
      <c r="F278" t="s">
        <v>23</v>
      </c>
      <c r="G278">
        <f>INDEX(Question_Bank!$G$3:$G$14,MATCH(D278,Question_Bank!$A$3:$A$14,0))</f>
        <v>0</v>
      </c>
      <c r="H278">
        <f>IF(F278=G278,1,0)</f>
        <v>0</v>
      </c>
      <c r="I278">
        <f>H278*INDEX(Question_Bank!$M$3:$M$14,MATCH(D278,Question_Bank!$A$3:$A$14,0))</f>
        <v>0</v>
      </c>
      <c r="J278">
        <f>SUMIFS($I$3:$I$566,$A$3:$A$566,A278)</f>
        <v>0</v>
      </c>
      <c r="K278" s="5">
        <f>J278/SUM(Question_Bank!$M$3:$M$14)</f>
        <v>0</v>
      </c>
      <c r="L278" s="5">
        <f>SUMIFS($I$3:$I$566,$A$3:$A$566,A278,$E$3:$E$566,E278)/SUMIFS(Question_Bank!$M$3:$M$14,Question_Bank!$B$3:$B$14,E278)</f>
        <v>0</v>
      </c>
      <c r="M278" t="s">
        <v>178</v>
      </c>
    </row>
    <row r="279" spans="1:13">
      <c r="A279" t="s">
        <v>179</v>
      </c>
      <c r="B279" t="s">
        <v>132</v>
      </c>
      <c r="C279" t="s">
        <v>133</v>
      </c>
      <c r="D279" t="s">
        <v>14</v>
      </c>
      <c r="E279" t="s">
        <v>15</v>
      </c>
      <c r="F279" t="s">
        <v>31</v>
      </c>
      <c r="G279">
        <f>INDEX(Question_Bank!$G$3:$G$14,MATCH(D279,Question_Bank!$A$3:$A$14,0))</f>
        <v>0</v>
      </c>
      <c r="H279">
        <f>IF(F279=G279,1,0)</f>
        <v>0</v>
      </c>
      <c r="I279">
        <f>H279*INDEX(Question_Bank!$M$3:$M$14,MATCH(D279,Question_Bank!$A$3:$A$14,0))</f>
        <v>0</v>
      </c>
      <c r="J279">
        <f>SUMIFS($I$3:$I$566,$A$3:$A$566,A279)</f>
        <v>0</v>
      </c>
      <c r="K279" s="5">
        <f>J279/SUM(Question_Bank!$M$3:$M$14)</f>
        <v>0</v>
      </c>
      <c r="L279" s="5">
        <f>SUMIFS($I$3:$I$566,$A$3:$A$566,A279,$E$3:$E$566,E279)/SUMIFS(Question_Bank!$M$3:$M$14,Question_Bank!$B$3:$B$14,E279)</f>
        <v>0</v>
      </c>
      <c r="M279" t="s">
        <v>180</v>
      </c>
    </row>
    <row r="280" spans="1:13">
      <c r="A280" t="s">
        <v>179</v>
      </c>
      <c r="B280" t="s">
        <v>132</v>
      </c>
      <c r="C280" t="s">
        <v>133</v>
      </c>
      <c r="D280" t="s">
        <v>26</v>
      </c>
      <c r="E280" t="s">
        <v>15</v>
      </c>
      <c r="F280" t="s">
        <v>20</v>
      </c>
      <c r="G280">
        <f>INDEX(Question_Bank!$G$3:$G$14,MATCH(D280,Question_Bank!$A$3:$A$14,0))</f>
        <v>0</v>
      </c>
      <c r="H280">
        <f>IF(F280=G280,1,0)</f>
        <v>0</v>
      </c>
      <c r="I280">
        <f>H280*INDEX(Question_Bank!$M$3:$M$14,MATCH(D280,Question_Bank!$A$3:$A$14,0))</f>
        <v>0</v>
      </c>
      <c r="J280">
        <f>SUMIFS($I$3:$I$566,$A$3:$A$566,A280)</f>
        <v>0</v>
      </c>
      <c r="K280" s="5">
        <f>J280/SUM(Question_Bank!$M$3:$M$14)</f>
        <v>0</v>
      </c>
      <c r="L280" s="5">
        <f>SUMIFS($I$3:$I$566,$A$3:$A$566,A280,$E$3:$E$566,E280)/SUMIFS(Question_Bank!$M$3:$M$14,Question_Bank!$B$3:$B$14,E280)</f>
        <v>0</v>
      </c>
      <c r="M280" t="s">
        <v>180</v>
      </c>
    </row>
    <row r="281" spans="1:13">
      <c r="A281" t="s">
        <v>179</v>
      </c>
      <c r="B281" t="s">
        <v>132</v>
      </c>
      <c r="C281" t="s">
        <v>133</v>
      </c>
      <c r="D281" t="s">
        <v>37</v>
      </c>
      <c r="E281" t="s">
        <v>15</v>
      </c>
      <c r="F281" t="s">
        <v>34</v>
      </c>
      <c r="G281">
        <f>INDEX(Question_Bank!$G$3:$G$14,MATCH(D281,Question_Bank!$A$3:$A$14,0))</f>
        <v>0</v>
      </c>
      <c r="H281">
        <f>IF(F281=G281,1,0)</f>
        <v>0</v>
      </c>
      <c r="I281">
        <f>H281*INDEX(Question_Bank!$M$3:$M$14,MATCH(D281,Question_Bank!$A$3:$A$14,0))</f>
        <v>0</v>
      </c>
      <c r="J281">
        <f>SUMIFS($I$3:$I$566,$A$3:$A$566,A281)</f>
        <v>0</v>
      </c>
      <c r="K281" s="5">
        <f>J281/SUM(Question_Bank!$M$3:$M$14)</f>
        <v>0</v>
      </c>
      <c r="L281" s="5">
        <f>SUMIFS($I$3:$I$566,$A$3:$A$566,A281,$E$3:$E$566,E281)/SUMIFS(Question_Bank!$M$3:$M$14,Question_Bank!$B$3:$B$14,E281)</f>
        <v>0</v>
      </c>
      <c r="M281" t="s">
        <v>180</v>
      </c>
    </row>
    <row r="282" spans="1:13">
      <c r="A282" t="s">
        <v>179</v>
      </c>
      <c r="B282" t="s">
        <v>132</v>
      </c>
      <c r="C282" t="s">
        <v>133</v>
      </c>
      <c r="D282" t="s">
        <v>45</v>
      </c>
      <c r="E282" t="s">
        <v>46</v>
      </c>
      <c r="F282" t="s">
        <v>31</v>
      </c>
      <c r="G282">
        <f>INDEX(Question_Bank!$G$3:$G$14,MATCH(D282,Question_Bank!$A$3:$A$14,0))</f>
        <v>0</v>
      </c>
      <c r="H282">
        <f>IF(F282=G282,1,0)</f>
        <v>0</v>
      </c>
      <c r="I282">
        <f>H282*INDEX(Question_Bank!$M$3:$M$14,MATCH(D282,Question_Bank!$A$3:$A$14,0))</f>
        <v>0</v>
      </c>
      <c r="J282">
        <f>SUMIFS($I$3:$I$566,$A$3:$A$566,A282)</f>
        <v>0</v>
      </c>
      <c r="K282" s="5">
        <f>J282/SUM(Question_Bank!$M$3:$M$14)</f>
        <v>0</v>
      </c>
      <c r="L282" s="5">
        <f>SUMIFS($I$3:$I$566,$A$3:$A$566,A282,$E$3:$E$566,E282)/SUMIFS(Question_Bank!$M$3:$M$14,Question_Bank!$B$3:$B$14,E282)</f>
        <v>0</v>
      </c>
      <c r="M282" t="s">
        <v>180</v>
      </c>
    </row>
    <row r="283" spans="1:13">
      <c r="A283" t="s">
        <v>179</v>
      </c>
      <c r="B283" t="s">
        <v>132</v>
      </c>
      <c r="C283" t="s">
        <v>133</v>
      </c>
      <c r="D283" t="s">
        <v>54</v>
      </c>
      <c r="E283" t="s">
        <v>46</v>
      </c>
      <c r="F283" t="s">
        <v>23</v>
      </c>
      <c r="G283">
        <f>INDEX(Question_Bank!$G$3:$G$14,MATCH(D283,Question_Bank!$A$3:$A$14,0))</f>
        <v>0</v>
      </c>
      <c r="H283">
        <f>IF(F283=G283,1,0)</f>
        <v>0</v>
      </c>
      <c r="I283">
        <f>H283*INDEX(Question_Bank!$M$3:$M$14,MATCH(D283,Question_Bank!$A$3:$A$14,0))</f>
        <v>0</v>
      </c>
      <c r="J283">
        <f>SUMIFS($I$3:$I$566,$A$3:$A$566,A283)</f>
        <v>0</v>
      </c>
      <c r="K283" s="5">
        <f>J283/SUM(Question_Bank!$M$3:$M$14)</f>
        <v>0</v>
      </c>
      <c r="L283" s="5">
        <f>SUMIFS($I$3:$I$566,$A$3:$A$566,A283,$E$3:$E$566,E283)/SUMIFS(Question_Bank!$M$3:$M$14,Question_Bank!$B$3:$B$14,E283)</f>
        <v>0</v>
      </c>
      <c r="M283" t="s">
        <v>180</v>
      </c>
    </row>
    <row r="284" spans="1:13">
      <c r="A284" t="s">
        <v>179</v>
      </c>
      <c r="B284" t="s">
        <v>132</v>
      </c>
      <c r="C284" t="s">
        <v>133</v>
      </c>
      <c r="D284" t="s">
        <v>62</v>
      </c>
      <c r="E284" t="s">
        <v>46</v>
      </c>
      <c r="F284" t="s">
        <v>31</v>
      </c>
      <c r="G284">
        <f>INDEX(Question_Bank!$G$3:$G$14,MATCH(D284,Question_Bank!$A$3:$A$14,0))</f>
        <v>0</v>
      </c>
      <c r="H284">
        <f>IF(F284=G284,1,0)</f>
        <v>0</v>
      </c>
      <c r="I284">
        <f>H284*INDEX(Question_Bank!$M$3:$M$14,MATCH(D284,Question_Bank!$A$3:$A$14,0))</f>
        <v>0</v>
      </c>
      <c r="J284">
        <f>SUMIFS($I$3:$I$566,$A$3:$A$566,A284)</f>
        <v>0</v>
      </c>
      <c r="K284" s="5">
        <f>J284/SUM(Question_Bank!$M$3:$M$14)</f>
        <v>0</v>
      </c>
      <c r="L284" s="5">
        <f>SUMIFS($I$3:$I$566,$A$3:$A$566,A284,$E$3:$E$566,E284)/SUMIFS(Question_Bank!$M$3:$M$14,Question_Bank!$B$3:$B$14,E284)</f>
        <v>0</v>
      </c>
      <c r="M284" t="s">
        <v>180</v>
      </c>
    </row>
    <row r="285" spans="1:13">
      <c r="A285" t="s">
        <v>179</v>
      </c>
      <c r="B285" t="s">
        <v>132</v>
      </c>
      <c r="C285" t="s">
        <v>133</v>
      </c>
      <c r="D285" t="s">
        <v>70</v>
      </c>
      <c r="E285" t="s">
        <v>71</v>
      </c>
      <c r="F285" t="s">
        <v>34</v>
      </c>
      <c r="G285">
        <f>INDEX(Question_Bank!$G$3:$G$14,MATCH(D285,Question_Bank!$A$3:$A$14,0))</f>
        <v>0</v>
      </c>
      <c r="H285">
        <f>IF(F285=G285,1,0)</f>
        <v>0</v>
      </c>
      <c r="I285">
        <f>H285*INDEX(Question_Bank!$M$3:$M$14,MATCH(D285,Question_Bank!$A$3:$A$14,0))</f>
        <v>0</v>
      </c>
      <c r="J285">
        <f>SUMIFS($I$3:$I$566,$A$3:$A$566,A285)</f>
        <v>0</v>
      </c>
      <c r="K285" s="5">
        <f>J285/SUM(Question_Bank!$M$3:$M$14)</f>
        <v>0</v>
      </c>
      <c r="L285" s="5">
        <f>SUMIFS($I$3:$I$566,$A$3:$A$566,A285,$E$3:$E$566,E285)/SUMIFS(Question_Bank!$M$3:$M$14,Question_Bank!$B$3:$B$14,E285)</f>
        <v>0</v>
      </c>
      <c r="M285" t="s">
        <v>180</v>
      </c>
    </row>
    <row r="286" spans="1:13">
      <c r="A286" t="s">
        <v>179</v>
      </c>
      <c r="B286" t="s">
        <v>132</v>
      </c>
      <c r="C286" t="s">
        <v>133</v>
      </c>
      <c r="D286" t="s">
        <v>79</v>
      </c>
      <c r="E286" t="s">
        <v>71</v>
      </c>
      <c r="F286" t="s">
        <v>20</v>
      </c>
      <c r="G286">
        <f>INDEX(Question_Bank!$G$3:$G$14,MATCH(D286,Question_Bank!$A$3:$A$14,0))</f>
        <v>0</v>
      </c>
      <c r="H286">
        <f>IF(F286=G286,1,0)</f>
        <v>0</v>
      </c>
      <c r="I286">
        <f>H286*INDEX(Question_Bank!$M$3:$M$14,MATCH(D286,Question_Bank!$A$3:$A$14,0))</f>
        <v>0</v>
      </c>
      <c r="J286">
        <f>SUMIFS($I$3:$I$566,$A$3:$A$566,A286)</f>
        <v>0</v>
      </c>
      <c r="K286" s="5">
        <f>J286/SUM(Question_Bank!$M$3:$M$14)</f>
        <v>0</v>
      </c>
      <c r="L286" s="5">
        <f>SUMIFS($I$3:$I$566,$A$3:$A$566,A286,$E$3:$E$566,E286)/SUMIFS(Question_Bank!$M$3:$M$14,Question_Bank!$B$3:$B$14,E286)</f>
        <v>0</v>
      </c>
      <c r="M286" t="s">
        <v>180</v>
      </c>
    </row>
    <row r="287" spans="1:13">
      <c r="A287" t="s">
        <v>179</v>
      </c>
      <c r="B287" t="s">
        <v>132</v>
      </c>
      <c r="C287" t="s">
        <v>133</v>
      </c>
      <c r="D287" t="s">
        <v>87</v>
      </c>
      <c r="E287" t="s">
        <v>71</v>
      </c>
      <c r="F287" t="s">
        <v>31</v>
      </c>
      <c r="G287">
        <f>INDEX(Question_Bank!$G$3:$G$14,MATCH(D287,Question_Bank!$A$3:$A$14,0))</f>
        <v>0</v>
      </c>
      <c r="H287">
        <f>IF(F287=G287,1,0)</f>
        <v>0</v>
      </c>
      <c r="I287">
        <f>H287*INDEX(Question_Bank!$M$3:$M$14,MATCH(D287,Question_Bank!$A$3:$A$14,0))</f>
        <v>0</v>
      </c>
      <c r="J287">
        <f>SUMIFS($I$3:$I$566,$A$3:$A$566,A287)</f>
        <v>0</v>
      </c>
      <c r="K287" s="5">
        <f>J287/SUM(Question_Bank!$M$3:$M$14)</f>
        <v>0</v>
      </c>
      <c r="L287" s="5">
        <f>SUMIFS($I$3:$I$566,$A$3:$A$566,A287,$E$3:$E$566,E287)/SUMIFS(Question_Bank!$M$3:$M$14,Question_Bank!$B$3:$B$14,E287)</f>
        <v>0</v>
      </c>
      <c r="M287" t="s">
        <v>180</v>
      </c>
    </row>
    <row r="288" spans="1:13">
      <c r="A288" t="s">
        <v>179</v>
      </c>
      <c r="B288" t="s">
        <v>132</v>
      </c>
      <c r="C288" t="s">
        <v>133</v>
      </c>
      <c r="D288" t="s">
        <v>95</v>
      </c>
      <c r="E288" t="s">
        <v>96</v>
      </c>
      <c r="F288" t="s">
        <v>23</v>
      </c>
      <c r="G288">
        <f>INDEX(Question_Bank!$G$3:$G$14,MATCH(D288,Question_Bank!$A$3:$A$14,0))</f>
        <v>0</v>
      </c>
      <c r="H288">
        <f>IF(F288=G288,1,0)</f>
        <v>0</v>
      </c>
      <c r="I288">
        <f>H288*INDEX(Question_Bank!$M$3:$M$14,MATCH(D288,Question_Bank!$A$3:$A$14,0))</f>
        <v>0</v>
      </c>
      <c r="J288">
        <f>SUMIFS($I$3:$I$566,$A$3:$A$566,A288)</f>
        <v>0</v>
      </c>
      <c r="K288" s="5">
        <f>J288/SUM(Question_Bank!$M$3:$M$14)</f>
        <v>0</v>
      </c>
      <c r="L288" s="5">
        <f>SUMIFS($I$3:$I$566,$A$3:$A$566,A288,$E$3:$E$566,E288)/SUMIFS(Question_Bank!$M$3:$M$14,Question_Bank!$B$3:$B$14,E288)</f>
        <v>0</v>
      </c>
      <c r="M288" t="s">
        <v>180</v>
      </c>
    </row>
    <row r="289" spans="1:13">
      <c r="A289" t="s">
        <v>179</v>
      </c>
      <c r="B289" t="s">
        <v>132</v>
      </c>
      <c r="C289" t="s">
        <v>133</v>
      </c>
      <c r="D289" t="s">
        <v>104</v>
      </c>
      <c r="E289" t="s">
        <v>96</v>
      </c>
      <c r="F289" t="s">
        <v>31</v>
      </c>
      <c r="G289">
        <f>INDEX(Question_Bank!$G$3:$G$14,MATCH(D289,Question_Bank!$A$3:$A$14,0))</f>
        <v>0</v>
      </c>
      <c r="H289">
        <f>IF(F289=G289,1,0)</f>
        <v>0</v>
      </c>
      <c r="I289">
        <f>H289*INDEX(Question_Bank!$M$3:$M$14,MATCH(D289,Question_Bank!$A$3:$A$14,0))</f>
        <v>0</v>
      </c>
      <c r="J289">
        <f>SUMIFS($I$3:$I$566,$A$3:$A$566,A289)</f>
        <v>0</v>
      </c>
      <c r="K289" s="5">
        <f>J289/SUM(Question_Bank!$M$3:$M$14)</f>
        <v>0</v>
      </c>
      <c r="L289" s="5">
        <f>SUMIFS($I$3:$I$566,$A$3:$A$566,A289,$E$3:$E$566,E289)/SUMIFS(Question_Bank!$M$3:$M$14,Question_Bank!$B$3:$B$14,E289)</f>
        <v>0</v>
      </c>
      <c r="M289" t="s">
        <v>180</v>
      </c>
    </row>
    <row r="290" spans="1:13">
      <c r="A290" t="s">
        <v>179</v>
      </c>
      <c r="B290" t="s">
        <v>132</v>
      </c>
      <c r="C290" t="s">
        <v>133</v>
      </c>
      <c r="D290" t="s">
        <v>112</v>
      </c>
      <c r="E290" t="s">
        <v>96</v>
      </c>
      <c r="F290" t="s">
        <v>34</v>
      </c>
      <c r="G290">
        <f>INDEX(Question_Bank!$G$3:$G$14,MATCH(D290,Question_Bank!$A$3:$A$14,0))</f>
        <v>0</v>
      </c>
      <c r="H290">
        <f>IF(F290=G290,1,0)</f>
        <v>0</v>
      </c>
      <c r="I290">
        <f>H290*INDEX(Question_Bank!$M$3:$M$14,MATCH(D290,Question_Bank!$A$3:$A$14,0))</f>
        <v>0</v>
      </c>
      <c r="J290">
        <f>SUMIFS($I$3:$I$566,$A$3:$A$566,A290)</f>
        <v>0</v>
      </c>
      <c r="K290" s="5">
        <f>J290/SUM(Question_Bank!$M$3:$M$14)</f>
        <v>0</v>
      </c>
      <c r="L290" s="5">
        <f>SUMIFS($I$3:$I$566,$A$3:$A$566,A290,$E$3:$E$566,E290)/SUMIFS(Question_Bank!$M$3:$M$14,Question_Bank!$B$3:$B$14,E290)</f>
        <v>0</v>
      </c>
      <c r="M290" t="s">
        <v>180</v>
      </c>
    </row>
    <row r="291" spans="1:13">
      <c r="A291" t="s">
        <v>181</v>
      </c>
      <c r="B291" t="s">
        <v>132</v>
      </c>
      <c r="C291" t="s">
        <v>133</v>
      </c>
      <c r="D291" t="s">
        <v>14</v>
      </c>
      <c r="E291" t="s">
        <v>15</v>
      </c>
      <c r="F291" t="s">
        <v>20</v>
      </c>
      <c r="G291">
        <f>INDEX(Question_Bank!$G$3:$G$14,MATCH(D291,Question_Bank!$A$3:$A$14,0))</f>
        <v>0</v>
      </c>
      <c r="H291">
        <f>IF(F291=G291,1,0)</f>
        <v>0</v>
      </c>
      <c r="I291">
        <f>H291*INDEX(Question_Bank!$M$3:$M$14,MATCH(D291,Question_Bank!$A$3:$A$14,0))</f>
        <v>0</v>
      </c>
      <c r="J291">
        <f>SUMIFS($I$3:$I$566,$A$3:$A$566,A291)</f>
        <v>0</v>
      </c>
      <c r="K291" s="5">
        <f>J291/SUM(Question_Bank!$M$3:$M$14)</f>
        <v>0</v>
      </c>
      <c r="L291" s="5">
        <f>SUMIFS($I$3:$I$566,$A$3:$A$566,A291,$E$3:$E$566,E291)/SUMIFS(Question_Bank!$M$3:$M$14,Question_Bank!$B$3:$B$14,E291)</f>
        <v>0</v>
      </c>
      <c r="M291" t="s">
        <v>182</v>
      </c>
    </row>
    <row r="292" spans="1:13">
      <c r="A292" t="s">
        <v>181</v>
      </c>
      <c r="B292" t="s">
        <v>132</v>
      </c>
      <c r="C292" t="s">
        <v>133</v>
      </c>
      <c r="D292" t="s">
        <v>26</v>
      </c>
      <c r="E292" t="s">
        <v>15</v>
      </c>
      <c r="F292" t="s">
        <v>23</v>
      </c>
      <c r="G292">
        <f>INDEX(Question_Bank!$G$3:$G$14,MATCH(D292,Question_Bank!$A$3:$A$14,0))</f>
        <v>0</v>
      </c>
      <c r="H292">
        <f>IF(F292=G292,1,0)</f>
        <v>0</v>
      </c>
      <c r="I292">
        <f>H292*INDEX(Question_Bank!$M$3:$M$14,MATCH(D292,Question_Bank!$A$3:$A$14,0))</f>
        <v>0</v>
      </c>
      <c r="J292">
        <f>SUMIFS($I$3:$I$566,$A$3:$A$566,A292)</f>
        <v>0</v>
      </c>
      <c r="K292" s="5">
        <f>J292/SUM(Question_Bank!$M$3:$M$14)</f>
        <v>0</v>
      </c>
      <c r="L292" s="5">
        <f>SUMIFS($I$3:$I$566,$A$3:$A$566,A292,$E$3:$E$566,E292)/SUMIFS(Question_Bank!$M$3:$M$14,Question_Bank!$B$3:$B$14,E292)</f>
        <v>0</v>
      </c>
      <c r="M292" t="s">
        <v>182</v>
      </c>
    </row>
    <row r="293" spans="1:13">
      <c r="A293" t="s">
        <v>181</v>
      </c>
      <c r="B293" t="s">
        <v>132</v>
      </c>
      <c r="C293" t="s">
        <v>133</v>
      </c>
      <c r="D293" t="s">
        <v>37</v>
      </c>
      <c r="E293" t="s">
        <v>15</v>
      </c>
      <c r="F293" t="s">
        <v>31</v>
      </c>
      <c r="G293">
        <f>INDEX(Question_Bank!$G$3:$G$14,MATCH(D293,Question_Bank!$A$3:$A$14,0))</f>
        <v>0</v>
      </c>
      <c r="H293">
        <f>IF(F293=G293,1,0)</f>
        <v>0</v>
      </c>
      <c r="I293">
        <f>H293*INDEX(Question_Bank!$M$3:$M$14,MATCH(D293,Question_Bank!$A$3:$A$14,0))</f>
        <v>0</v>
      </c>
      <c r="J293">
        <f>SUMIFS($I$3:$I$566,$A$3:$A$566,A293)</f>
        <v>0</v>
      </c>
      <c r="K293" s="5">
        <f>J293/SUM(Question_Bank!$M$3:$M$14)</f>
        <v>0</v>
      </c>
      <c r="L293" s="5">
        <f>SUMIFS($I$3:$I$566,$A$3:$A$566,A293,$E$3:$E$566,E293)/SUMIFS(Question_Bank!$M$3:$M$14,Question_Bank!$B$3:$B$14,E293)</f>
        <v>0</v>
      </c>
      <c r="M293" t="s">
        <v>182</v>
      </c>
    </row>
    <row r="294" spans="1:13">
      <c r="A294" t="s">
        <v>181</v>
      </c>
      <c r="B294" t="s">
        <v>132</v>
      </c>
      <c r="C294" t="s">
        <v>133</v>
      </c>
      <c r="D294" t="s">
        <v>45</v>
      </c>
      <c r="E294" t="s">
        <v>46</v>
      </c>
      <c r="F294" t="s">
        <v>20</v>
      </c>
      <c r="G294">
        <f>INDEX(Question_Bank!$G$3:$G$14,MATCH(D294,Question_Bank!$A$3:$A$14,0))</f>
        <v>0</v>
      </c>
      <c r="H294">
        <f>IF(F294=G294,1,0)</f>
        <v>0</v>
      </c>
      <c r="I294">
        <f>H294*INDEX(Question_Bank!$M$3:$M$14,MATCH(D294,Question_Bank!$A$3:$A$14,0))</f>
        <v>0</v>
      </c>
      <c r="J294">
        <f>SUMIFS($I$3:$I$566,$A$3:$A$566,A294)</f>
        <v>0</v>
      </c>
      <c r="K294" s="5">
        <f>J294/SUM(Question_Bank!$M$3:$M$14)</f>
        <v>0</v>
      </c>
      <c r="L294" s="5">
        <f>SUMIFS($I$3:$I$566,$A$3:$A$566,A294,$E$3:$E$566,E294)/SUMIFS(Question_Bank!$M$3:$M$14,Question_Bank!$B$3:$B$14,E294)</f>
        <v>0</v>
      </c>
      <c r="M294" t="s">
        <v>182</v>
      </c>
    </row>
    <row r="295" spans="1:13">
      <c r="A295" t="s">
        <v>181</v>
      </c>
      <c r="B295" t="s">
        <v>132</v>
      </c>
      <c r="C295" t="s">
        <v>133</v>
      </c>
      <c r="D295" t="s">
        <v>54</v>
      </c>
      <c r="E295" t="s">
        <v>46</v>
      </c>
      <c r="F295" t="s">
        <v>34</v>
      </c>
      <c r="G295">
        <f>INDEX(Question_Bank!$G$3:$G$14,MATCH(D295,Question_Bank!$A$3:$A$14,0))</f>
        <v>0</v>
      </c>
      <c r="H295">
        <f>IF(F295=G295,1,0)</f>
        <v>0</v>
      </c>
      <c r="I295">
        <f>H295*INDEX(Question_Bank!$M$3:$M$14,MATCH(D295,Question_Bank!$A$3:$A$14,0))</f>
        <v>0</v>
      </c>
      <c r="J295">
        <f>SUMIFS($I$3:$I$566,$A$3:$A$566,A295)</f>
        <v>0</v>
      </c>
      <c r="K295" s="5">
        <f>J295/SUM(Question_Bank!$M$3:$M$14)</f>
        <v>0</v>
      </c>
      <c r="L295" s="5">
        <f>SUMIFS($I$3:$I$566,$A$3:$A$566,A295,$E$3:$E$566,E295)/SUMIFS(Question_Bank!$M$3:$M$14,Question_Bank!$B$3:$B$14,E295)</f>
        <v>0</v>
      </c>
      <c r="M295" t="s">
        <v>182</v>
      </c>
    </row>
    <row r="296" spans="1:13">
      <c r="A296" t="s">
        <v>181</v>
      </c>
      <c r="B296" t="s">
        <v>132</v>
      </c>
      <c r="C296" t="s">
        <v>133</v>
      </c>
      <c r="D296" t="s">
        <v>62</v>
      </c>
      <c r="E296" t="s">
        <v>46</v>
      </c>
      <c r="F296" t="s">
        <v>23</v>
      </c>
      <c r="G296">
        <f>INDEX(Question_Bank!$G$3:$G$14,MATCH(D296,Question_Bank!$A$3:$A$14,0))</f>
        <v>0</v>
      </c>
      <c r="H296">
        <f>IF(F296=G296,1,0)</f>
        <v>0</v>
      </c>
      <c r="I296">
        <f>H296*INDEX(Question_Bank!$M$3:$M$14,MATCH(D296,Question_Bank!$A$3:$A$14,0))</f>
        <v>0</v>
      </c>
      <c r="J296">
        <f>SUMIFS($I$3:$I$566,$A$3:$A$566,A296)</f>
        <v>0</v>
      </c>
      <c r="K296" s="5">
        <f>J296/SUM(Question_Bank!$M$3:$M$14)</f>
        <v>0</v>
      </c>
      <c r="L296" s="5">
        <f>SUMIFS($I$3:$I$566,$A$3:$A$566,A296,$E$3:$E$566,E296)/SUMIFS(Question_Bank!$M$3:$M$14,Question_Bank!$B$3:$B$14,E296)</f>
        <v>0</v>
      </c>
      <c r="M296" t="s">
        <v>182</v>
      </c>
    </row>
    <row r="297" spans="1:13">
      <c r="A297" t="s">
        <v>181</v>
      </c>
      <c r="B297" t="s">
        <v>132</v>
      </c>
      <c r="C297" t="s">
        <v>133</v>
      </c>
      <c r="D297" t="s">
        <v>70</v>
      </c>
      <c r="E297" t="s">
        <v>71</v>
      </c>
      <c r="F297" t="s">
        <v>31</v>
      </c>
      <c r="G297">
        <f>INDEX(Question_Bank!$G$3:$G$14,MATCH(D297,Question_Bank!$A$3:$A$14,0))</f>
        <v>0</v>
      </c>
      <c r="H297">
        <f>IF(F297=G297,1,0)</f>
        <v>0</v>
      </c>
      <c r="I297">
        <f>H297*INDEX(Question_Bank!$M$3:$M$14,MATCH(D297,Question_Bank!$A$3:$A$14,0))</f>
        <v>0</v>
      </c>
      <c r="J297">
        <f>SUMIFS($I$3:$I$566,$A$3:$A$566,A297)</f>
        <v>0</v>
      </c>
      <c r="K297" s="5">
        <f>J297/SUM(Question_Bank!$M$3:$M$14)</f>
        <v>0</v>
      </c>
      <c r="L297" s="5">
        <f>SUMIFS($I$3:$I$566,$A$3:$A$566,A297,$E$3:$E$566,E297)/SUMIFS(Question_Bank!$M$3:$M$14,Question_Bank!$B$3:$B$14,E297)</f>
        <v>0</v>
      </c>
      <c r="M297" t="s">
        <v>182</v>
      </c>
    </row>
    <row r="298" spans="1:13">
      <c r="A298" t="s">
        <v>181</v>
      </c>
      <c r="B298" t="s">
        <v>132</v>
      </c>
      <c r="C298" t="s">
        <v>133</v>
      </c>
      <c r="D298" t="s">
        <v>79</v>
      </c>
      <c r="E298" t="s">
        <v>71</v>
      </c>
      <c r="F298" t="s">
        <v>31</v>
      </c>
      <c r="G298">
        <f>INDEX(Question_Bank!$G$3:$G$14,MATCH(D298,Question_Bank!$A$3:$A$14,0))</f>
        <v>0</v>
      </c>
      <c r="H298">
        <f>IF(F298=G298,1,0)</f>
        <v>0</v>
      </c>
      <c r="I298">
        <f>H298*INDEX(Question_Bank!$M$3:$M$14,MATCH(D298,Question_Bank!$A$3:$A$14,0))</f>
        <v>0</v>
      </c>
      <c r="J298">
        <f>SUMIFS($I$3:$I$566,$A$3:$A$566,A298)</f>
        <v>0</v>
      </c>
      <c r="K298" s="5">
        <f>J298/SUM(Question_Bank!$M$3:$M$14)</f>
        <v>0</v>
      </c>
      <c r="L298" s="5">
        <f>SUMIFS($I$3:$I$566,$A$3:$A$566,A298,$E$3:$E$566,E298)/SUMIFS(Question_Bank!$M$3:$M$14,Question_Bank!$B$3:$B$14,E298)</f>
        <v>0</v>
      </c>
      <c r="M298" t="s">
        <v>182</v>
      </c>
    </row>
    <row r="299" spans="1:13">
      <c r="A299" t="s">
        <v>181</v>
      </c>
      <c r="B299" t="s">
        <v>132</v>
      </c>
      <c r="C299" t="s">
        <v>133</v>
      </c>
      <c r="D299" t="s">
        <v>87</v>
      </c>
      <c r="E299" t="s">
        <v>71</v>
      </c>
      <c r="F299" t="s">
        <v>34</v>
      </c>
      <c r="G299">
        <f>INDEX(Question_Bank!$G$3:$G$14,MATCH(D299,Question_Bank!$A$3:$A$14,0))</f>
        <v>0</v>
      </c>
      <c r="H299">
        <f>IF(F299=G299,1,0)</f>
        <v>0</v>
      </c>
      <c r="I299">
        <f>H299*INDEX(Question_Bank!$M$3:$M$14,MATCH(D299,Question_Bank!$A$3:$A$14,0))</f>
        <v>0</v>
      </c>
      <c r="J299">
        <f>SUMIFS($I$3:$I$566,$A$3:$A$566,A299)</f>
        <v>0</v>
      </c>
      <c r="K299" s="5">
        <f>J299/SUM(Question_Bank!$M$3:$M$14)</f>
        <v>0</v>
      </c>
      <c r="L299" s="5">
        <f>SUMIFS($I$3:$I$566,$A$3:$A$566,A299,$E$3:$E$566,E299)/SUMIFS(Question_Bank!$M$3:$M$14,Question_Bank!$B$3:$B$14,E299)</f>
        <v>0</v>
      </c>
      <c r="M299" t="s">
        <v>182</v>
      </c>
    </row>
    <row r="300" spans="1:13">
      <c r="A300" t="s">
        <v>181</v>
      </c>
      <c r="B300" t="s">
        <v>132</v>
      </c>
      <c r="C300" t="s">
        <v>133</v>
      </c>
      <c r="D300" t="s">
        <v>95</v>
      </c>
      <c r="E300" t="s">
        <v>96</v>
      </c>
      <c r="F300" t="s">
        <v>20</v>
      </c>
      <c r="G300">
        <f>INDEX(Question_Bank!$G$3:$G$14,MATCH(D300,Question_Bank!$A$3:$A$14,0))</f>
        <v>0</v>
      </c>
      <c r="H300">
        <f>IF(F300=G300,1,0)</f>
        <v>0</v>
      </c>
      <c r="I300">
        <f>H300*INDEX(Question_Bank!$M$3:$M$14,MATCH(D300,Question_Bank!$A$3:$A$14,0))</f>
        <v>0</v>
      </c>
      <c r="J300">
        <f>SUMIFS($I$3:$I$566,$A$3:$A$566,A300)</f>
        <v>0</v>
      </c>
      <c r="K300" s="5">
        <f>J300/SUM(Question_Bank!$M$3:$M$14)</f>
        <v>0</v>
      </c>
      <c r="L300" s="5">
        <f>SUMIFS($I$3:$I$566,$A$3:$A$566,A300,$E$3:$E$566,E300)/SUMIFS(Question_Bank!$M$3:$M$14,Question_Bank!$B$3:$B$14,E300)</f>
        <v>0</v>
      </c>
      <c r="M300" t="s">
        <v>182</v>
      </c>
    </row>
    <row r="301" spans="1:13">
      <c r="A301" t="s">
        <v>181</v>
      </c>
      <c r="B301" t="s">
        <v>132</v>
      </c>
      <c r="C301" t="s">
        <v>133</v>
      </c>
      <c r="D301" t="s">
        <v>104</v>
      </c>
      <c r="E301" t="s">
        <v>96</v>
      </c>
      <c r="F301" t="s">
        <v>31</v>
      </c>
      <c r="G301">
        <f>INDEX(Question_Bank!$G$3:$G$14,MATCH(D301,Question_Bank!$A$3:$A$14,0))</f>
        <v>0</v>
      </c>
      <c r="H301">
        <f>IF(F301=G301,1,0)</f>
        <v>0</v>
      </c>
      <c r="I301">
        <f>H301*INDEX(Question_Bank!$M$3:$M$14,MATCH(D301,Question_Bank!$A$3:$A$14,0))</f>
        <v>0</v>
      </c>
      <c r="J301">
        <f>SUMIFS($I$3:$I$566,$A$3:$A$566,A301)</f>
        <v>0</v>
      </c>
      <c r="K301" s="5">
        <f>J301/SUM(Question_Bank!$M$3:$M$14)</f>
        <v>0</v>
      </c>
      <c r="L301" s="5">
        <f>SUMIFS($I$3:$I$566,$A$3:$A$566,A301,$E$3:$E$566,E301)/SUMIFS(Question_Bank!$M$3:$M$14,Question_Bank!$B$3:$B$14,E301)</f>
        <v>0</v>
      </c>
      <c r="M301" t="s">
        <v>182</v>
      </c>
    </row>
    <row r="302" spans="1:13">
      <c r="A302" t="s">
        <v>181</v>
      </c>
      <c r="B302" t="s">
        <v>132</v>
      </c>
      <c r="C302" t="s">
        <v>133</v>
      </c>
      <c r="D302" t="s">
        <v>112</v>
      </c>
      <c r="E302" t="s">
        <v>96</v>
      </c>
      <c r="F302" t="s">
        <v>20</v>
      </c>
      <c r="G302">
        <f>INDEX(Question_Bank!$G$3:$G$14,MATCH(D302,Question_Bank!$A$3:$A$14,0))</f>
        <v>0</v>
      </c>
      <c r="H302">
        <f>IF(F302=G302,1,0)</f>
        <v>0</v>
      </c>
      <c r="I302">
        <f>H302*INDEX(Question_Bank!$M$3:$M$14,MATCH(D302,Question_Bank!$A$3:$A$14,0))</f>
        <v>0</v>
      </c>
      <c r="J302">
        <f>SUMIFS($I$3:$I$566,$A$3:$A$566,A302)</f>
        <v>0</v>
      </c>
      <c r="K302" s="5">
        <f>J302/SUM(Question_Bank!$M$3:$M$14)</f>
        <v>0</v>
      </c>
      <c r="L302" s="5">
        <f>SUMIFS($I$3:$I$566,$A$3:$A$566,A302,$E$3:$E$566,E302)/SUMIFS(Question_Bank!$M$3:$M$14,Question_Bank!$B$3:$B$14,E302)</f>
        <v>0</v>
      </c>
      <c r="M302" t="s">
        <v>182</v>
      </c>
    </row>
    <row r="303" spans="1:13">
      <c r="A303" t="s">
        <v>183</v>
      </c>
      <c r="B303" t="s">
        <v>132</v>
      </c>
      <c r="C303" t="s">
        <v>133</v>
      </c>
      <c r="D303" t="s">
        <v>14</v>
      </c>
      <c r="E303" t="s">
        <v>15</v>
      </c>
      <c r="F303" t="s">
        <v>20</v>
      </c>
      <c r="G303">
        <f>INDEX(Question_Bank!$G$3:$G$14,MATCH(D303,Question_Bank!$A$3:$A$14,0))</f>
        <v>0</v>
      </c>
      <c r="H303">
        <f>IF(F303=G303,1,0)</f>
        <v>0</v>
      </c>
      <c r="I303">
        <f>H303*INDEX(Question_Bank!$M$3:$M$14,MATCH(D303,Question_Bank!$A$3:$A$14,0))</f>
        <v>0</v>
      </c>
      <c r="J303">
        <f>SUMIFS($I$3:$I$566,$A$3:$A$566,A303)</f>
        <v>0</v>
      </c>
      <c r="K303" s="5">
        <f>J303/SUM(Question_Bank!$M$3:$M$14)</f>
        <v>0</v>
      </c>
      <c r="L303" s="5">
        <f>SUMIFS($I$3:$I$566,$A$3:$A$566,A303,$E$3:$E$566,E303)/SUMIFS(Question_Bank!$M$3:$M$14,Question_Bank!$B$3:$B$14,E303)</f>
        <v>0</v>
      </c>
      <c r="M303" t="s">
        <v>184</v>
      </c>
    </row>
    <row r="304" spans="1:13">
      <c r="A304" t="s">
        <v>183</v>
      </c>
      <c r="B304" t="s">
        <v>132</v>
      </c>
      <c r="C304" t="s">
        <v>133</v>
      </c>
      <c r="D304" t="s">
        <v>26</v>
      </c>
      <c r="E304" t="s">
        <v>15</v>
      </c>
      <c r="F304" t="s">
        <v>31</v>
      </c>
      <c r="G304">
        <f>INDEX(Question_Bank!$G$3:$G$14,MATCH(D304,Question_Bank!$A$3:$A$14,0))</f>
        <v>0</v>
      </c>
      <c r="H304">
        <f>IF(F304=G304,1,0)</f>
        <v>0</v>
      </c>
      <c r="I304">
        <f>H304*INDEX(Question_Bank!$M$3:$M$14,MATCH(D304,Question_Bank!$A$3:$A$14,0))</f>
        <v>0</v>
      </c>
      <c r="J304">
        <f>SUMIFS($I$3:$I$566,$A$3:$A$566,A304)</f>
        <v>0</v>
      </c>
      <c r="K304" s="5">
        <f>J304/SUM(Question_Bank!$M$3:$M$14)</f>
        <v>0</v>
      </c>
      <c r="L304" s="5">
        <f>SUMIFS($I$3:$I$566,$A$3:$A$566,A304,$E$3:$E$566,E304)/SUMIFS(Question_Bank!$M$3:$M$14,Question_Bank!$B$3:$B$14,E304)</f>
        <v>0</v>
      </c>
      <c r="M304" t="s">
        <v>184</v>
      </c>
    </row>
    <row r="305" spans="1:13">
      <c r="A305" t="s">
        <v>183</v>
      </c>
      <c r="B305" t="s">
        <v>132</v>
      </c>
      <c r="C305" t="s">
        <v>133</v>
      </c>
      <c r="D305" t="s">
        <v>37</v>
      </c>
      <c r="E305" t="s">
        <v>15</v>
      </c>
      <c r="F305" t="s">
        <v>31</v>
      </c>
      <c r="G305">
        <f>INDEX(Question_Bank!$G$3:$G$14,MATCH(D305,Question_Bank!$A$3:$A$14,0))</f>
        <v>0</v>
      </c>
      <c r="H305">
        <f>IF(F305=G305,1,0)</f>
        <v>0</v>
      </c>
      <c r="I305">
        <f>H305*INDEX(Question_Bank!$M$3:$M$14,MATCH(D305,Question_Bank!$A$3:$A$14,0))</f>
        <v>0</v>
      </c>
      <c r="J305">
        <f>SUMIFS($I$3:$I$566,$A$3:$A$566,A305)</f>
        <v>0</v>
      </c>
      <c r="K305" s="5">
        <f>J305/SUM(Question_Bank!$M$3:$M$14)</f>
        <v>0</v>
      </c>
      <c r="L305" s="5">
        <f>SUMIFS($I$3:$I$566,$A$3:$A$566,A305,$E$3:$E$566,E305)/SUMIFS(Question_Bank!$M$3:$M$14,Question_Bank!$B$3:$B$14,E305)</f>
        <v>0</v>
      </c>
      <c r="M305" t="s">
        <v>184</v>
      </c>
    </row>
    <row r="306" spans="1:13">
      <c r="A306" t="s">
        <v>183</v>
      </c>
      <c r="B306" t="s">
        <v>132</v>
      </c>
      <c r="C306" t="s">
        <v>133</v>
      </c>
      <c r="D306" t="s">
        <v>45</v>
      </c>
      <c r="E306" t="s">
        <v>46</v>
      </c>
      <c r="F306" t="s">
        <v>34</v>
      </c>
      <c r="G306">
        <f>INDEX(Question_Bank!$G$3:$G$14,MATCH(D306,Question_Bank!$A$3:$A$14,0))</f>
        <v>0</v>
      </c>
      <c r="H306">
        <f>IF(F306=G306,1,0)</f>
        <v>0</v>
      </c>
      <c r="I306">
        <f>H306*INDEX(Question_Bank!$M$3:$M$14,MATCH(D306,Question_Bank!$A$3:$A$14,0))</f>
        <v>0</v>
      </c>
      <c r="J306">
        <f>SUMIFS($I$3:$I$566,$A$3:$A$566,A306)</f>
        <v>0</v>
      </c>
      <c r="K306" s="5">
        <f>J306/SUM(Question_Bank!$M$3:$M$14)</f>
        <v>0</v>
      </c>
      <c r="L306" s="5">
        <f>SUMIFS($I$3:$I$566,$A$3:$A$566,A306,$E$3:$E$566,E306)/SUMIFS(Question_Bank!$M$3:$M$14,Question_Bank!$B$3:$B$14,E306)</f>
        <v>0</v>
      </c>
      <c r="M306" t="s">
        <v>184</v>
      </c>
    </row>
    <row r="307" spans="1:13">
      <c r="A307" t="s">
        <v>183</v>
      </c>
      <c r="B307" t="s">
        <v>132</v>
      </c>
      <c r="C307" t="s">
        <v>133</v>
      </c>
      <c r="D307" t="s">
        <v>54</v>
      </c>
      <c r="E307" t="s">
        <v>46</v>
      </c>
      <c r="F307" t="s">
        <v>20</v>
      </c>
      <c r="G307">
        <f>INDEX(Question_Bank!$G$3:$G$14,MATCH(D307,Question_Bank!$A$3:$A$14,0))</f>
        <v>0</v>
      </c>
      <c r="H307">
        <f>IF(F307=G307,1,0)</f>
        <v>0</v>
      </c>
      <c r="I307">
        <f>H307*INDEX(Question_Bank!$M$3:$M$14,MATCH(D307,Question_Bank!$A$3:$A$14,0))</f>
        <v>0</v>
      </c>
      <c r="J307">
        <f>SUMIFS($I$3:$I$566,$A$3:$A$566,A307)</f>
        <v>0</v>
      </c>
      <c r="K307" s="5">
        <f>J307/SUM(Question_Bank!$M$3:$M$14)</f>
        <v>0</v>
      </c>
      <c r="L307" s="5">
        <f>SUMIFS($I$3:$I$566,$A$3:$A$566,A307,$E$3:$E$566,E307)/SUMIFS(Question_Bank!$M$3:$M$14,Question_Bank!$B$3:$B$14,E307)</f>
        <v>0</v>
      </c>
      <c r="M307" t="s">
        <v>184</v>
      </c>
    </row>
    <row r="308" spans="1:13">
      <c r="A308" t="s">
        <v>183</v>
      </c>
      <c r="B308" t="s">
        <v>132</v>
      </c>
      <c r="C308" t="s">
        <v>133</v>
      </c>
      <c r="D308" t="s">
        <v>62</v>
      </c>
      <c r="E308" t="s">
        <v>46</v>
      </c>
      <c r="F308" t="s">
        <v>20</v>
      </c>
      <c r="G308">
        <f>INDEX(Question_Bank!$G$3:$G$14,MATCH(D308,Question_Bank!$A$3:$A$14,0))</f>
        <v>0</v>
      </c>
      <c r="H308">
        <f>IF(F308=G308,1,0)</f>
        <v>0</v>
      </c>
      <c r="I308">
        <f>H308*INDEX(Question_Bank!$M$3:$M$14,MATCH(D308,Question_Bank!$A$3:$A$14,0))</f>
        <v>0</v>
      </c>
      <c r="J308">
        <f>SUMIFS($I$3:$I$566,$A$3:$A$566,A308)</f>
        <v>0</v>
      </c>
      <c r="K308" s="5">
        <f>J308/SUM(Question_Bank!$M$3:$M$14)</f>
        <v>0</v>
      </c>
      <c r="L308" s="5">
        <f>SUMIFS($I$3:$I$566,$A$3:$A$566,A308,$E$3:$E$566,E308)/SUMIFS(Question_Bank!$M$3:$M$14,Question_Bank!$B$3:$B$14,E308)</f>
        <v>0</v>
      </c>
      <c r="M308" t="s">
        <v>184</v>
      </c>
    </row>
    <row r="309" spans="1:13">
      <c r="A309" t="s">
        <v>183</v>
      </c>
      <c r="B309" t="s">
        <v>132</v>
      </c>
      <c r="C309" t="s">
        <v>133</v>
      </c>
      <c r="D309" t="s">
        <v>70</v>
      </c>
      <c r="E309" t="s">
        <v>71</v>
      </c>
      <c r="F309" t="s">
        <v>34</v>
      </c>
      <c r="G309">
        <f>INDEX(Question_Bank!$G$3:$G$14,MATCH(D309,Question_Bank!$A$3:$A$14,0))</f>
        <v>0</v>
      </c>
      <c r="H309">
        <f>IF(F309=G309,1,0)</f>
        <v>0</v>
      </c>
      <c r="I309">
        <f>H309*INDEX(Question_Bank!$M$3:$M$14,MATCH(D309,Question_Bank!$A$3:$A$14,0))</f>
        <v>0</v>
      </c>
      <c r="J309">
        <f>SUMIFS($I$3:$I$566,$A$3:$A$566,A309)</f>
        <v>0</v>
      </c>
      <c r="K309" s="5">
        <f>J309/SUM(Question_Bank!$M$3:$M$14)</f>
        <v>0</v>
      </c>
      <c r="L309" s="5">
        <f>SUMIFS($I$3:$I$566,$A$3:$A$566,A309,$E$3:$E$566,E309)/SUMIFS(Question_Bank!$M$3:$M$14,Question_Bank!$B$3:$B$14,E309)</f>
        <v>0</v>
      </c>
      <c r="M309" t="s">
        <v>184</v>
      </c>
    </row>
    <row r="310" spans="1:13">
      <c r="A310" t="s">
        <v>183</v>
      </c>
      <c r="B310" t="s">
        <v>132</v>
      </c>
      <c r="C310" t="s">
        <v>133</v>
      </c>
      <c r="D310" t="s">
        <v>79</v>
      </c>
      <c r="E310" t="s">
        <v>71</v>
      </c>
      <c r="F310" t="s">
        <v>20</v>
      </c>
      <c r="G310">
        <f>INDEX(Question_Bank!$G$3:$G$14,MATCH(D310,Question_Bank!$A$3:$A$14,0))</f>
        <v>0</v>
      </c>
      <c r="H310">
        <f>IF(F310=G310,1,0)</f>
        <v>0</v>
      </c>
      <c r="I310">
        <f>H310*INDEX(Question_Bank!$M$3:$M$14,MATCH(D310,Question_Bank!$A$3:$A$14,0))</f>
        <v>0</v>
      </c>
      <c r="J310">
        <f>SUMIFS($I$3:$I$566,$A$3:$A$566,A310)</f>
        <v>0</v>
      </c>
      <c r="K310" s="5">
        <f>J310/SUM(Question_Bank!$M$3:$M$14)</f>
        <v>0</v>
      </c>
      <c r="L310" s="5">
        <f>SUMIFS($I$3:$I$566,$A$3:$A$566,A310,$E$3:$E$566,E310)/SUMIFS(Question_Bank!$M$3:$M$14,Question_Bank!$B$3:$B$14,E310)</f>
        <v>0</v>
      </c>
      <c r="M310" t="s">
        <v>184</v>
      </c>
    </row>
    <row r="311" spans="1:13">
      <c r="A311" t="s">
        <v>183</v>
      </c>
      <c r="B311" t="s">
        <v>132</v>
      </c>
      <c r="C311" t="s">
        <v>133</v>
      </c>
      <c r="D311" t="s">
        <v>87</v>
      </c>
      <c r="E311" t="s">
        <v>71</v>
      </c>
      <c r="F311" t="s">
        <v>31</v>
      </c>
      <c r="G311">
        <f>INDEX(Question_Bank!$G$3:$G$14,MATCH(D311,Question_Bank!$A$3:$A$14,0))</f>
        <v>0</v>
      </c>
      <c r="H311">
        <f>IF(F311=G311,1,0)</f>
        <v>0</v>
      </c>
      <c r="I311">
        <f>H311*INDEX(Question_Bank!$M$3:$M$14,MATCH(D311,Question_Bank!$A$3:$A$14,0))</f>
        <v>0</v>
      </c>
      <c r="J311">
        <f>SUMIFS($I$3:$I$566,$A$3:$A$566,A311)</f>
        <v>0</v>
      </c>
      <c r="K311" s="5">
        <f>J311/SUM(Question_Bank!$M$3:$M$14)</f>
        <v>0</v>
      </c>
      <c r="L311" s="5">
        <f>SUMIFS($I$3:$I$566,$A$3:$A$566,A311,$E$3:$E$566,E311)/SUMIFS(Question_Bank!$M$3:$M$14,Question_Bank!$B$3:$B$14,E311)</f>
        <v>0</v>
      </c>
      <c r="M311" t="s">
        <v>184</v>
      </c>
    </row>
    <row r="312" spans="1:13">
      <c r="A312" t="s">
        <v>183</v>
      </c>
      <c r="B312" t="s">
        <v>132</v>
      </c>
      <c r="C312" t="s">
        <v>133</v>
      </c>
      <c r="D312" t="s">
        <v>95</v>
      </c>
      <c r="E312" t="s">
        <v>96</v>
      </c>
      <c r="F312" t="s">
        <v>20</v>
      </c>
      <c r="G312">
        <f>INDEX(Question_Bank!$G$3:$G$14,MATCH(D312,Question_Bank!$A$3:$A$14,0))</f>
        <v>0</v>
      </c>
      <c r="H312">
        <f>IF(F312=G312,1,0)</f>
        <v>0</v>
      </c>
      <c r="I312">
        <f>H312*INDEX(Question_Bank!$M$3:$M$14,MATCH(D312,Question_Bank!$A$3:$A$14,0))</f>
        <v>0</v>
      </c>
      <c r="J312">
        <f>SUMIFS($I$3:$I$566,$A$3:$A$566,A312)</f>
        <v>0</v>
      </c>
      <c r="K312" s="5">
        <f>J312/SUM(Question_Bank!$M$3:$M$14)</f>
        <v>0</v>
      </c>
      <c r="L312" s="5">
        <f>SUMIFS($I$3:$I$566,$A$3:$A$566,A312,$E$3:$E$566,E312)/SUMIFS(Question_Bank!$M$3:$M$14,Question_Bank!$B$3:$B$14,E312)</f>
        <v>0</v>
      </c>
      <c r="M312" t="s">
        <v>184</v>
      </c>
    </row>
    <row r="313" spans="1:13">
      <c r="A313" t="s">
        <v>183</v>
      </c>
      <c r="B313" t="s">
        <v>132</v>
      </c>
      <c r="C313" t="s">
        <v>133</v>
      </c>
      <c r="D313" t="s">
        <v>104</v>
      </c>
      <c r="E313" t="s">
        <v>96</v>
      </c>
      <c r="F313" t="s">
        <v>23</v>
      </c>
      <c r="G313">
        <f>INDEX(Question_Bank!$G$3:$G$14,MATCH(D313,Question_Bank!$A$3:$A$14,0))</f>
        <v>0</v>
      </c>
      <c r="H313">
        <f>IF(F313=G313,1,0)</f>
        <v>0</v>
      </c>
      <c r="I313">
        <f>H313*INDEX(Question_Bank!$M$3:$M$14,MATCH(D313,Question_Bank!$A$3:$A$14,0))</f>
        <v>0</v>
      </c>
      <c r="J313">
        <f>SUMIFS($I$3:$I$566,$A$3:$A$566,A313)</f>
        <v>0</v>
      </c>
      <c r="K313" s="5">
        <f>J313/SUM(Question_Bank!$M$3:$M$14)</f>
        <v>0</v>
      </c>
      <c r="L313" s="5">
        <f>SUMIFS($I$3:$I$566,$A$3:$A$566,A313,$E$3:$E$566,E313)/SUMIFS(Question_Bank!$M$3:$M$14,Question_Bank!$B$3:$B$14,E313)</f>
        <v>0</v>
      </c>
      <c r="M313" t="s">
        <v>184</v>
      </c>
    </row>
    <row r="314" spans="1:13">
      <c r="A314" t="s">
        <v>183</v>
      </c>
      <c r="B314" t="s">
        <v>132</v>
      </c>
      <c r="C314" t="s">
        <v>133</v>
      </c>
      <c r="D314" t="s">
        <v>112</v>
      </c>
      <c r="E314" t="s">
        <v>96</v>
      </c>
      <c r="F314" t="s">
        <v>20</v>
      </c>
      <c r="G314">
        <f>INDEX(Question_Bank!$G$3:$G$14,MATCH(D314,Question_Bank!$A$3:$A$14,0))</f>
        <v>0</v>
      </c>
      <c r="H314">
        <f>IF(F314=G314,1,0)</f>
        <v>0</v>
      </c>
      <c r="I314">
        <f>H314*INDEX(Question_Bank!$M$3:$M$14,MATCH(D314,Question_Bank!$A$3:$A$14,0))</f>
        <v>0</v>
      </c>
      <c r="J314">
        <f>SUMIFS($I$3:$I$566,$A$3:$A$566,A314)</f>
        <v>0</v>
      </c>
      <c r="K314" s="5">
        <f>J314/SUM(Question_Bank!$M$3:$M$14)</f>
        <v>0</v>
      </c>
      <c r="L314" s="5">
        <f>SUMIFS($I$3:$I$566,$A$3:$A$566,A314,$E$3:$E$566,E314)/SUMIFS(Question_Bank!$M$3:$M$14,Question_Bank!$B$3:$B$14,E314)</f>
        <v>0</v>
      </c>
      <c r="M314" t="s">
        <v>184</v>
      </c>
    </row>
    <row r="315" spans="1:13">
      <c r="A315" t="s">
        <v>185</v>
      </c>
      <c r="B315" t="s">
        <v>132</v>
      </c>
      <c r="C315" t="s">
        <v>133</v>
      </c>
      <c r="D315" t="s">
        <v>14</v>
      </c>
      <c r="E315" t="s">
        <v>15</v>
      </c>
      <c r="F315" t="s">
        <v>20</v>
      </c>
      <c r="G315">
        <f>INDEX(Question_Bank!$G$3:$G$14,MATCH(D315,Question_Bank!$A$3:$A$14,0))</f>
        <v>0</v>
      </c>
      <c r="H315">
        <f>IF(F315=G315,1,0)</f>
        <v>0</v>
      </c>
      <c r="I315">
        <f>H315*INDEX(Question_Bank!$M$3:$M$14,MATCH(D315,Question_Bank!$A$3:$A$14,0))</f>
        <v>0</v>
      </c>
      <c r="J315">
        <f>SUMIFS($I$3:$I$566,$A$3:$A$566,A315)</f>
        <v>0</v>
      </c>
      <c r="K315" s="5">
        <f>J315/SUM(Question_Bank!$M$3:$M$14)</f>
        <v>0</v>
      </c>
      <c r="L315" s="5">
        <f>SUMIFS($I$3:$I$566,$A$3:$A$566,A315,$E$3:$E$566,E315)/SUMIFS(Question_Bank!$M$3:$M$14,Question_Bank!$B$3:$B$14,E315)</f>
        <v>0</v>
      </c>
      <c r="M315" t="s">
        <v>186</v>
      </c>
    </row>
    <row r="316" spans="1:13">
      <c r="A316" t="s">
        <v>185</v>
      </c>
      <c r="B316" t="s">
        <v>132</v>
      </c>
      <c r="C316" t="s">
        <v>133</v>
      </c>
      <c r="D316" t="s">
        <v>26</v>
      </c>
      <c r="E316" t="s">
        <v>15</v>
      </c>
      <c r="F316" t="s">
        <v>20</v>
      </c>
      <c r="G316">
        <f>INDEX(Question_Bank!$G$3:$G$14,MATCH(D316,Question_Bank!$A$3:$A$14,0))</f>
        <v>0</v>
      </c>
      <c r="H316">
        <f>IF(F316=G316,1,0)</f>
        <v>0</v>
      </c>
      <c r="I316">
        <f>H316*INDEX(Question_Bank!$M$3:$M$14,MATCH(D316,Question_Bank!$A$3:$A$14,0))</f>
        <v>0</v>
      </c>
      <c r="J316">
        <f>SUMIFS($I$3:$I$566,$A$3:$A$566,A316)</f>
        <v>0</v>
      </c>
      <c r="K316" s="5">
        <f>J316/SUM(Question_Bank!$M$3:$M$14)</f>
        <v>0</v>
      </c>
      <c r="L316" s="5">
        <f>SUMIFS($I$3:$I$566,$A$3:$A$566,A316,$E$3:$E$566,E316)/SUMIFS(Question_Bank!$M$3:$M$14,Question_Bank!$B$3:$B$14,E316)</f>
        <v>0</v>
      </c>
      <c r="M316" t="s">
        <v>186</v>
      </c>
    </row>
    <row r="317" spans="1:13">
      <c r="A317" t="s">
        <v>185</v>
      </c>
      <c r="B317" t="s">
        <v>132</v>
      </c>
      <c r="C317" t="s">
        <v>133</v>
      </c>
      <c r="D317" t="s">
        <v>37</v>
      </c>
      <c r="E317" t="s">
        <v>15</v>
      </c>
      <c r="F317" t="s">
        <v>23</v>
      </c>
      <c r="G317">
        <f>INDEX(Question_Bank!$G$3:$G$14,MATCH(D317,Question_Bank!$A$3:$A$14,0))</f>
        <v>0</v>
      </c>
      <c r="H317">
        <f>IF(F317=G317,1,0)</f>
        <v>0</v>
      </c>
      <c r="I317">
        <f>H317*INDEX(Question_Bank!$M$3:$M$14,MATCH(D317,Question_Bank!$A$3:$A$14,0))</f>
        <v>0</v>
      </c>
      <c r="J317">
        <f>SUMIFS($I$3:$I$566,$A$3:$A$566,A317)</f>
        <v>0</v>
      </c>
      <c r="K317" s="5">
        <f>J317/SUM(Question_Bank!$M$3:$M$14)</f>
        <v>0</v>
      </c>
      <c r="L317" s="5">
        <f>SUMIFS($I$3:$I$566,$A$3:$A$566,A317,$E$3:$E$566,E317)/SUMIFS(Question_Bank!$M$3:$M$14,Question_Bank!$B$3:$B$14,E317)</f>
        <v>0</v>
      </c>
      <c r="M317" t="s">
        <v>186</v>
      </c>
    </row>
    <row r="318" spans="1:13">
      <c r="A318" t="s">
        <v>185</v>
      </c>
      <c r="B318" t="s">
        <v>132</v>
      </c>
      <c r="C318" t="s">
        <v>133</v>
      </c>
      <c r="D318" t="s">
        <v>45</v>
      </c>
      <c r="E318" t="s">
        <v>46</v>
      </c>
      <c r="F318" t="s">
        <v>34</v>
      </c>
      <c r="G318">
        <f>INDEX(Question_Bank!$G$3:$G$14,MATCH(D318,Question_Bank!$A$3:$A$14,0))</f>
        <v>0</v>
      </c>
      <c r="H318">
        <f>IF(F318=G318,1,0)</f>
        <v>0</v>
      </c>
      <c r="I318">
        <f>H318*INDEX(Question_Bank!$M$3:$M$14,MATCH(D318,Question_Bank!$A$3:$A$14,0))</f>
        <v>0</v>
      </c>
      <c r="J318">
        <f>SUMIFS($I$3:$I$566,$A$3:$A$566,A318)</f>
        <v>0</v>
      </c>
      <c r="K318" s="5">
        <f>J318/SUM(Question_Bank!$M$3:$M$14)</f>
        <v>0</v>
      </c>
      <c r="L318" s="5">
        <f>SUMIFS($I$3:$I$566,$A$3:$A$566,A318,$E$3:$E$566,E318)/SUMIFS(Question_Bank!$M$3:$M$14,Question_Bank!$B$3:$B$14,E318)</f>
        <v>0</v>
      </c>
      <c r="M318" t="s">
        <v>186</v>
      </c>
    </row>
    <row r="319" spans="1:13">
      <c r="A319" t="s">
        <v>185</v>
      </c>
      <c r="B319" t="s">
        <v>132</v>
      </c>
      <c r="C319" t="s">
        <v>133</v>
      </c>
      <c r="D319" t="s">
        <v>54</v>
      </c>
      <c r="E319" t="s">
        <v>46</v>
      </c>
      <c r="F319" t="s">
        <v>34</v>
      </c>
      <c r="G319">
        <f>INDEX(Question_Bank!$G$3:$G$14,MATCH(D319,Question_Bank!$A$3:$A$14,0))</f>
        <v>0</v>
      </c>
      <c r="H319">
        <f>IF(F319=G319,1,0)</f>
        <v>0</v>
      </c>
      <c r="I319">
        <f>H319*INDEX(Question_Bank!$M$3:$M$14,MATCH(D319,Question_Bank!$A$3:$A$14,0))</f>
        <v>0</v>
      </c>
      <c r="J319">
        <f>SUMIFS($I$3:$I$566,$A$3:$A$566,A319)</f>
        <v>0</v>
      </c>
      <c r="K319" s="5">
        <f>J319/SUM(Question_Bank!$M$3:$M$14)</f>
        <v>0</v>
      </c>
      <c r="L319" s="5">
        <f>SUMIFS($I$3:$I$566,$A$3:$A$566,A319,$E$3:$E$566,E319)/SUMIFS(Question_Bank!$M$3:$M$14,Question_Bank!$B$3:$B$14,E319)</f>
        <v>0</v>
      </c>
      <c r="M319" t="s">
        <v>186</v>
      </c>
    </row>
    <row r="320" spans="1:13">
      <c r="A320" t="s">
        <v>185</v>
      </c>
      <c r="B320" t="s">
        <v>132</v>
      </c>
      <c r="C320" t="s">
        <v>133</v>
      </c>
      <c r="D320" t="s">
        <v>62</v>
      </c>
      <c r="E320" t="s">
        <v>46</v>
      </c>
      <c r="F320" t="s">
        <v>20</v>
      </c>
      <c r="G320">
        <f>INDEX(Question_Bank!$G$3:$G$14,MATCH(D320,Question_Bank!$A$3:$A$14,0))</f>
        <v>0</v>
      </c>
      <c r="H320">
        <f>IF(F320=G320,1,0)</f>
        <v>0</v>
      </c>
      <c r="I320">
        <f>H320*INDEX(Question_Bank!$M$3:$M$14,MATCH(D320,Question_Bank!$A$3:$A$14,0))</f>
        <v>0</v>
      </c>
      <c r="J320">
        <f>SUMIFS($I$3:$I$566,$A$3:$A$566,A320)</f>
        <v>0</v>
      </c>
      <c r="K320" s="5">
        <f>J320/SUM(Question_Bank!$M$3:$M$14)</f>
        <v>0</v>
      </c>
      <c r="L320" s="5">
        <f>SUMIFS($I$3:$I$566,$A$3:$A$566,A320,$E$3:$E$566,E320)/SUMIFS(Question_Bank!$M$3:$M$14,Question_Bank!$B$3:$B$14,E320)</f>
        <v>0</v>
      </c>
      <c r="M320" t="s">
        <v>186</v>
      </c>
    </row>
    <row r="321" spans="1:13">
      <c r="A321" t="s">
        <v>185</v>
      </c>
      <c r="B321" t="s">
        <v>132</v>
      </c>
      <c r="C321" t="s">
        <v>133</v>
      </c>
      <c r="D321" t="s">
        <v>70</v>
      </c>
      <c r="E321" t="s">
        <v>71</v>
      </c>
      <c r="F321" t="s">
        <v>20</v>
      </c>
      <c r="G321">
        <f>INDEX(Question_Bank!$G$3:$G$14,MATCH(D321,Question_Bank!$A$3:$A$14,0))</f>
        <v>0</v>
      </c>
      <c r="H321">
        <f>IF(F321=G321,1,0)</f>
        <v>0</v>
      </c>
      <c r="I321">
        <f>H321*INDEX(Question_Bank!$M$3:$M$14,MATCH(D321,Question_Bank!$A$3:$A$14,0))</f>
        <v>0</v>
      </c>
      <c r="J321">
        <f>SUMIFS($I$3:$I$566,$A$3:$A$566,A321)</f>
        <v>0</v>
      </c>
      <c r="K321" s="5">
        <f>J321/SUM(Question_Bank!$M$3:$M$14)</f>
        <v>0</v>
      </c>
      <c r="L321" s="5">
        <f>SUMIFS($I$3:$I$566,$A$3:$A$566,A321,$E$3:$E$566,E321)/SUMIFS(Question_Bank!$M$3:$M$14,Question_Bank!$B$3:$B$14,E321)</f>
        <v>0</v>
      </c>
      <c r="M321" t="s">
        <v>186</v>
      </c>
    </row>
    <row r="322" spans="1:13">
      <c r="A322" t="s">
        <v>185</v>
      </c>
      <c r="B322" t="s">
        <v>132</v>
      </c>
      <c r="C322" t="s">
        <v>133</v>
      </c>
      <c r="D322" t="s">
        <v>79</v>
      </c>
      <c r="E322" t="s">
        <v>71</v>
      </c>
      <c r="F322" t="s">
        <v>31</v>
      </c>
      <c r="G322">
        <f>INDEX(Question_Bank!$G$3:$G$14,MATCH(D322,Question_Bank!$A$3:$A$14,0))</f>
        <v>0</v>
      </c>
      <c r="H322">
        <f>IF(F322=G322,1,0)</f>
        <v>0</v>
      </c>
      <c r="I322">
        <f>H322*INDEX(Question_Bank!$M$3:$M$14,MATCH(D322,Question_Bank!$A$3:$A$14,0))</f>
        <v>0</v>
      </c>
      <c r="J322">
        <f>SUMIFS($I$3:$I$566,$A$3:$A$566,A322)</f>
        <v>0</v>
      </c>
      <c r="K322" s="5">
        <f>J322/SUM(Question_Bank!$M$3:$M$14)</f>
        <v>0</v>
      </c>
      <c r="L322" s="5">
        <f>SUMIFS($I$3:$I$566,$A$3:$A$566,A322,$E$3:$E$566,E322)/SUMIFS(Question_Bank!$M$3:$M$14,Question_Bank!$B$3:$B$14,E322)</f>
        <v>0</v>
      </c>
      <c r="M322" t="s">
        <v>186</v>
      </c>
    </row>
    <row r="323" spans="1:13">
      <c r="A323" t="s">
        <v>185</v>
      </c>
      <c r="B323" t="s">
        <v>132</v>
      </c>
      <c r="C323" t="s">
        <v>133</v>
      </c>
      <c r="D323" t="s">
        <v>87</v>
      </c>
      <c r="E323" t="s">
        <v>71</v>
      </c>
      <c r="F323" t="s">
        <v>20</v>
      </c>
      <c r="G323">
        <f>INDEX(Question_Bank!$G$3:$G$14,MATCH(D323,Question_Bank!$A$3:$A$14,0))</f>
        <v>0</v>
      </c>
      <c r="H323">
        <f>IF(F323=G323,1,0)</f>
        <v>0</v>
      </c>
      <c r="I323">
        <f>H323*INDEX(Question_Bank!$M$3:$M$14,MATCH(D323,Question_Bank!$A$3:$A$14,0))</f>
        <v>0</v>
      </c>
      <c r="J323">
        <f>SUMIFS($I$3:$I$566,$A$3:$A$566,A323)</f>
        <v>0</v>
      </c>
      <c r="K323" s="5">
        <f>J323/SUM(Question_Bank!$M$3:$M$14)</f>
        <v>0</v>
      </c>
      <c r="L323" s="5">
        <f>SUMIFS($I$3:$I$566,$A$3:$A$566,A323,$E$3:$E$566,E323)/SUMIFS(Question_Bank!$M$3:$M$14,Question_Bank!$B$3:$B$14,E323)</f>
        <v>0</v>
      </c>
      <c r="M323" t="s">
        <v>186</v>
      </c>
    </row>
    <row r="324" spans="1:13">
      <c r="A324" t="s">
        <v>185</v>
      </c>
      <c r="B324" t="s">
        <v>132</v>
      </c>
      <c r="C324" t="s">
        <v>133</v>
      </c>
      <c r="D324" t="s">
        <v>95</v>
      </c>
      <c r="E324" t="s">
        <v>96</v>
      </c>
      <c r="F324" t="s">
        <v>20</v>
      </c>
      <c r="G324">
        <f>INDEX(Question_Bank!$G$3:$G$14,MATCH(D324,Question_Bank!$A$3:$A$14,0))</f>
        <v>0</v>
      </c>
      <c r="H324">
        <f>IF(F324=G324,1,0)</f>
        <v>0</v>
      </c>
      <c r="I324">
        <f>H324*INDEX(Question_Bank!$M$3:$M$14,MATCH(D324,Question_Bank!$A$3:$A$14,0))</f>
        <v>0</v>
      </c>
      <c r="J324">
        <f>SUMIFS($I$3:$I$566,$A$3:$A$566,A324)</f>
        <v>0</v>
      </c>
      <c r="K324" s="5">
        <f>J324/SUM(Question_Bank!$M$3:$M$14)</f>
        <v>0</v>
      </c>
      <c r="L324" s="5">
        <f>SUMIFS($I$3:$I$566,$A$3:$A$566,A324,$E$3:$E$566,E324)/SUMIFS(Question_Bank!$M$3:$M$14,Question_Bank!$B$3:$B$14,E324)</f>
        <v>0</v>
      </c>
      <c r="M324" t="s">
        <v>186</v>
      </c>
    </row>
    <row r="325" spans="1:13">
      <c r="A325" t="s">
        <v>185</v>
      </c>
      <c r="B325" t="s">
        <v>132</v>
      </c>
      <c r="C325" t="s">
        <v>133</v>
      </c>
      <c r="D325" t="s">
        <v>104</v>
      </c>
      <c r="E325" t="s">
        <v>96</v>
      </c>
      <c r="F325" t="s">
        <v>23</v>
      </c>
      <c r="G325">
        <f>INDEX(Question_Bank!$G$3:$G$14,MATCH(D325,Question_Bank!$A$3:$A$14,0))</f>
        <v>0</v>
      </c>
      <c r="H325">
        <f>IF(F325=G325,1,0)</f>
        <v>0</v>
      </c>
      <c r="I325">
        <f>H325*INDEX(Question_Bank!$M$3:$M$14,MATCH(D325,Question_Bank!$A$3:$A$14,0))</f>
        <v>0</v>
      </c>
      <c r="J325">
        <f>SUMIFS($I$3:$I$566,$A$3:$A$566,A325)</f>
        <v>0</v>
      </c>
      <c r="K325" s="5">
        <f>J325/SUM(Question_Bank!$M$3:$M$14)</f>
        <v>0</v>
      </c>
      <c r="L325" s="5">
        <f>SUMIFS($I$3:$I$566,$A$3:$A$566,A325,$E$3:$E$566,E325)/SUMIFS(Question_Bank!$M$3:$M$14,Question_Bank!$B$3:$B$14,E325)</f>
        <v>0</v>
      </c>
      <c r="M325" t="s">
        <v>186</v>
      </c>
    </row>
    <row r="326" spans="1:13">
      <c r="A326" t="s">
        <v>185</v>
      </c>
      <c r="B326" t="s">
        <v>132</v>
      </c>
      <c r="C326" t="s">
        <v>133</v>
      </c>
      <c r="D326" t="s">
        <v>112</v>
      </c>
      <c r="E326" t="s">
        <v>96</v>
      </c>
      <c r="F326" t="s">
        <v>31</v>
      </c>
      <c r="G326">
        <f>INDEX(Question_Bank!$G$3:$G$14,MATCH(D326,Question_Bank!$A$3:$A$14,0))</f>
        <v>0</v>
      </c>
      <c r="H326">
        <f>IF(F326=G326,1,0)</f>
        <v>0</v>
      </c>
      <c r="I326">
        <f>H326*INDEX(Question_Bank!$M$3:$M$14,MATCH(D326,Question_Bank!$A$3:$A$14,0))</f>
        <v>0</v>
      </c>
      <c r="J326">
        <f>SUMIFS($I$3:$I$566,$A$3:$A$566,A326)</f>
        <v>0</v>
      </c>
      <c r="K326" s="5">
        <f>J326/SUM(Question_Bank!$M$3:$M$14)</f>
        <v>0</v>
      </c>
      <c r="L326" s="5">
        <f>SUMIFS($I$3:$I$566,$A$3:$A$566,A326,$E$3:$E$566,E326)/SUMIFS(Question_Bank!$M$3:$M$14,Question_Bank!$B$3:$B$14,E326)</f>
        <v>0</v>
      </c>
      <c r="M326" t="s">
        <v>186</v>
      </c>
    </row>
    <row r="327" spans="1:13">
      <c r="A327" t="s">
        <v>187</v>
      </c>
      <c r="B327" t="s">
        <v>132</v>
      </c>
      <c r="C327" t="s">
        <v>133</v>
      </c>
      <c r="D327" t="s">
        <v>14</v>
      </c>
      <c r="E327" t="s">
        <v>15</v>
      </c>
      <c r="F327" t="s">
        <v>20</v>
      </c>
      <c r="G327">
        <f>INDEX(Question_Bank!$G$3:$G$14,MATCH(D327,Question_Bank!$A$3:$A$14,0))</f>
        <v>0</v>
      </c>
      <c r="H327">
        <f>IF(F327=G327,1,0)</f>
        <v>0</v>
      </c>
      <c r="I327">
        <f>H327*INDEX(Question_Bank!$M$3:$M$14,MATCH(D327,Question_Bank!$A$3:$A$14,0))</f>
        <v>0</v>
      </c>
      <c r="J327">
        <f>SUMIFS($I$3:$I$566,$A$3:$A$566,A327)</f>
        <v>0</v>
      </c>
      <c r="K327" s="5">
        <f>J327/SUM(Question_Bank!$M$3:$M$14)</f>
        <v>0</v>
      </c>
      <c r="L327" s="5">
        <f>SUMIFS($I$3:$I$566,$A$3:$A$566,A327,$E$3:$E$566,E327)/SUMIFS(Question_Bank!$M$3:$M$14,Question_Bank!$B$3:$B$14,E327)</f>
        <v>0</v>
      </c>
      <c r="M327" t="s">
        <v>188</v>
      </c>
    </row>
    <row r="328" spans="1:13">
      <c r="A328" t="s">
        <v>187</v>
      </c>
      <c r="B328" t="s">
        <v>132</v>
      </c>
      <c r="C328" t="s">
        <v>133</v>
      </c>
      <c r="D328" t="s">
        <v>26</v>
      </c>
      <c r="E328" t="s">
        <v>15</v>
      </c>
      <c r="F328" t="s">
        <v>31</v>
      </c>
      <c r="G328">
        <f>INDEX(Question_Bank!$G$3:$G$14,MATCH(D328,Question_Bank!$A$3:$A$14,0))</f>
        <v>0</v>
      </c>
      <c r="H328">
        <f>IF(F328=G328,1,0)</f>
        <v>0</v>
      </c>
      <c r="I328">
        <f>H328*INDEX(Question_Bank!$M$3:$M$14,MATCH(D328,Question_Bank!$A$3:$A$14,0))</f>
        <v>0</v>
      </c>
      <c r="J328">
        <f>SUMIFS($I$3:$I$566,$A$3:$A$566,A328)</f>
        <v>0</v>
      </c>
      <c r="K328" s="5">
        <f>J328/SUM(Question_Bank!$M$3:$M$14)</f>
        <v>0</v>
      </c>
      <c r="L328" s="5">
        <f>SUMIFS($I$3:$I$566,$A$3:$A$566,A328,$E$3:$E$566,E328)/SUMIFS(Question_Bank!$M$3:$M$14,Question_Bank!$B$3:$B$14,E328)</f>
        <v>0</v>
      </c>
      <c r="M328" t="s">
        <v>188</v>
      </c>
    </row>
    <row r="329" spans="1:13">
      <c r="A329" t="s">
        <v>187</v>
      </c>
      <c r="B329" t="s">
        <v>132</v>
      </c>
      <c r="C329" t="s">
        <v>133</v>
      </c>
      <c r="D329" t="s">
        <v>37</v>
      </c>
      <c r="E329" t="s">
        <v>15</v>
      </c>
      <c r="F329" t="s">
        <v>31</v>
      </c>
      <c r="G329">
        <f>INDEX(Question_Bank!$G$3:$G$14,MATCH(D329,Question_Bank!$A$3:$A$14,0))</f>
        <v>0</v>
      </c>
      <c r="H329">
        <f>IF(F329=G329,1,0)</f>
        <v>0</v>
      </c>
      <c r="I329">
        <f>H329*INDEX(Question_Bank!$M$3:$M$14,MATCH(D329,Question_Bank!$A$3:$A$14,0))</f>
        <v>0</v>
      </c>
      <c r="J329">
        <f>SUMIFS($I$3:$I$566,$A$3:$A$566,A329)</f>
        <v>0</v>
      </c>
      <c r="K329" s="5">
        <f>J329/SUM(Question_Bank!$M$3:$M$14)</f>
        <v>0</v>
      </c>
      <c r="L329" s="5">
        <f>SUMIFS($I$3:$I$566,$A$3:$A$566,A329,$E$3:$E$566,E329)/SUMIFS(Question_Bank!$M$3:$M$14,Question_Bank!$B$3:$B$14,E329)</f>
        <v>0</v>
      </c>
      <c r="M329" t="s">
        <v>188</v>
      </c>
    </row>
    <row r="330" spans="1:13">
      <c r="A330" t="s">
        <v>187</v>
      </c>
      <c r="B330" t="s">
        <v>132</v>
      </c>
      <c r="C330" t="s">
        <v>133</v>
      </c>
      <c r="D330" t="s">
        <v>45</v>
      </c>
      <c r="E330" t="s">
        <v>46</v>
      </c>
      <c r="F330" t="s">
        <v>34</v>
      </c>
      <c r="G330">
        <f>INDEX(Question_Bank!$G$3:$G$14,MATCH(D330,Question_Bank!$A$3:$A$14,0))</f>
        <v>0</v>
      </c>
      <c r="H330">
        <f>IF(F330=G330,1,0)</f>
        <v>0</v>
      </c>
      <c r="I330">
        <f>H330*INDEX(Question_Bank!$M$3:$M$14,MATCH(D330,Question_Bank!$A$3:$A$14,0))</f>
        <v>0</v>
      </c>
      <c r="J330">
        <f>SUMIFS($I$3:$I$566,$A$3:$A$566,A330)</f>
        <v>0</v>
      </c>
      <c r="K330" s="5">
        <f>J330/SUM(Question_Bank!$M$3:$M$14)</f>
        <v>0</v>
      </c>
      <c r="L330" s="5">
        <f>SUMIFS($I$3:$I$566,$A$3:$A$566,A330,$E$3:$E$566,E330)/SUMIFS(Question_Bank!$M$3:$M$14,Question_Bank!$B$3:$B$14,E330)</f>
        <v>0</v>
      </c>
      <c r="M330" t="s">
        <v>188</v>
      </c>
    </row>
    <row r="331" spans="1:13">
      <c r="A331" t="s">
        <v>187</v>
      </c>
      <c r="B331" t="s">
        <v>132</v>
      </c>
      <c r="C331" t="s">
        <v>133</v>
      </c>
      <c r="D331" t="s">
        <v>54</v>
      </c>
      <c r="E331" t="s">
        <v>46</v>
      </c>
      <c r="F331" t="s">
        <v>31</v>
      </c>
      <c r="G331">
        <f>INDEX(Question_Bank!$G$3:$G$14,MATCH(D331,Question_Bank!$A$3:$A$14,0))</f>
        <v>0</v>
      </c>
      <c r="H331">
        <f>IF(F331=G331,1,0)</f>
        <v>0</v>
      </c>
      <c r="I331">
        <f>H331*INDEX(Question_Bank!$M$3:$M$14,MATCH(D331,Question_Bank!$A$3:$A$14,0))</f>
        <v>0</v>
      </c>
      <c r="J331">
        <f>SUMIFS($I$3:$I$566,$A$3:$A$566,A331)</f>
        <v>0</v>
      </c>
      <c r="K331" s="5">
        <f>J331/SUM(Question_Bank!$M$3:$M$14)</f>
        <v>0</v>
      </c>
      <c r="L331" s="5">
        <f>SUMIFS($I$3:$I$566,$A$3:$A$566,A331,$E$3:$E$566,E331)/SUMIFS(Question_Bank!$M$3:$M$14,Question_Bank!$B$3:$B$14,E331)</f>
        <v>0</v>
      </c>
      <c r="M331" t="s">
        <v>188</v>
      </c>
    </row>
    <row r="332" spans="1:13">
      <c r="A332" t="s">
        <v>187</v>
      </c>
      <c r="B332" t="s">
        <v>132</v>
      </c>
      <c r="C332" t="s">
        <v>133</v>
      </c>
      <c r="D332" t="s">
        <v>62</v>
      </c>
      <c r="E332" t="s">
        <v>46</v>
      </c>
      <c r="F332" t="s">
        <v>31</v>
      </c>
      <c r="G332">
        <f>INDEX(Question_Bank!$G$3:$G$14,MATCH(D332,Question_Bank!$A$3:$A$14,0))</f>
        <v>0</v>
      </c>
      <c r="H332">
        <f>IF(F332=G332,1,0)</f>
        <v>0</v>
      </c>
      <c r="I332">
        <f>H332*INDEX(Question_Bank!$M$3:$M$14,MATCH(D332,Question_Bank!$A$3:$A$14,0))</f>
        <v>0</v>
      </c>
      <c r="J332">
        <f>SUMIFS($I$3:$I$566,$A$3:$A$566,A332)</f>
        <v>0</v>
      </c>
      <c r="K332" s="5">
        <f>J332/SUM(Question_Bank!$M$3:$M$14)</f>
        <v>0</v>
      </c>
      <c r="L332" s="5">
        <f>SUMIFS($I$3:$I$566,$A$3:$A$566,A332,$E$3:$E$566,E332)/SUMIFS(Question_Bank!$M$3:$M$14,Question_Bank!$B$3:$B$14,E332)</f>
        <v>0</v>
      </c>
      <c r="M332" t="s">
        <v>188</v>
      </c>
    </row>
    <row r="333" spans="1:13">
      <c r="A333" t="s">
        <v>187</v>
      </c>
      <c r="B333" t="s">
        <v>132</v>
      </c>
      <c r="C333" t="s">
        <v>133</v>
      </c>
      <c r="D333" t="s">
        <v>70</v>
      </c>
      <c r="E333" t="s">
        <v>71</v>
      </c>
      <c r="F333" t="s">
        <v>23</v>
      </c>
      <c r="G333">
        <f>INDEX(Question_Bank!$G$3:$G$14,MATCH(D333,Question_Bank!$A$3:$A$14,0))</f>
        <v>0</v>
      </c>
      <c r="H333">
        <f>IF(F333=G333,1,0)</f>
        <v>0</v>
      </c>
      <c r="I333">
        <f>H333*INDEX(Question_Bank!$M$3:$M$14,MATCH(D333,Question_Bank!$A$3:$A$14,0))</f>
        <v>0</v>
      </c>
      <c r="J333">
        <f>SUMIFS($I$3:$I$566,$A$3:$A$566,A333)</f>
        <v>0</v>
      </c>
      <c r="K333" s="5">
        <f>J333/SUM(Question_Bank!$M$3:$M$14)</f>
        <v>0</v>
      </c>
      <c r="L333" s="5">
        <f>SUMIFS($I$3:$I$566,$A$3:$A$566,A333,$E$3:$E$566,E333)/SUMIFS(Question_Bank!$M$3:$M$14,Question_Bank!$B$3:$B$14,E333)</f>
        <v>0</v>
      </c>
      <c r="M333" t="s">
        <v>188</v>
      </c>
    </row>
    <row r="334" spans="1:13">
      <c r="A334" t="s">
        <v>187</v>
      </c>
      <c r="B334" t="s">
        <v>132</v>
      </c>
      <c r="C334" t="s">
        <v>133</v>
      </c>
      <c r="D334" t="s">
        <v>79</v>
      </c>
      <c r="E334" t="s">
        <v>71</v>
      </c>
      <c r="F334" t="s">
        <v>34</v>
      </c>
      <c r="G334">
        <f>INDEX(Question_Bank!$G$3:$G$14,MATCH(D334,Question_Bank!$A$3:$A$14,0))</f>
        <v>0</v>
      </c>
      <c r="H334">
        <f>IF(F334=G334,1,0)</f>
        <v>0</v>
      </c>
      <c r="I334">
        <f>H334*INDEX(Question_Bank!$M$3:$M$14,MATCH(D334,Question_Bank!$A$3:$A$14,0))</f>
        <v>0</v>
      </c>
      <c r="J334">
        <f>SUMIFS($I$3:$I$566,$A$3:$A$566,A334)</f>
        <v>0</v>
      </c>
      <c r="K334" s="5">
        <f>J334/SUM(Question_Bank!$M$3:$M$14)</f>
        <v>0</v>
      </c>
      <c r="L334" s="5">
        <f>SUMIFS($I$3:$I$566,$A$3:$A$566,A334,$E$3:$E$566,E334)/SUMIFS(Question_Bank!$M$3:$M$14,Question_Bank!$B$3:$B$14,E334)</f>
        <v>0</v>
      </c>
      <c r="M334" t="s">
        <v>188</v>
      </c>
    </row>
    <row r="335" spans="1:13">
      <c r="A335" t="s">
        <v>187</v>
      </c>
      <c r="B335" t="s">
        <v>132</v>
      </c>
      <c r="C335" t="s">
        <v>133</v>
      </c>
      <c r="D335" t="s">
        <v>87</v>
      </c>
      <c r="E335" t="s">
        <v>71</v>
      </c>
      <c r="F335" t="s">
        <v>31</v>
      </c>
      <c r="G335">
        <f>INDEX(Question_Bank!$G$3:$G$14,MATCH(D335,Question_Bank!$A$3:$A$14,0))</f>
        <v>0</v>
      </c>
      <c r="H335">
        <f>IF(F335=G335,1,0)</f>
        <v>0</v>
      </c>
      <c r="I335">
        <f>H335*INDEX(Question_Bank!$M$3:$M$14,MATCH(D335,Question_Bank!$A$3:$A$14,0))</f>
        <v>0</v>
      </c>
      <c r="J335">
        <f>SUMIFS($I$3:$I$566,$A$3:$A$566,A335)</f>
        <v>0</v>
      </c>
      <c r="K335" s="5">
        <f>J335/SUM(Question_Bank!$M$3:$M$14)</f>
        <v>0</v>
      </c>
      <c r="L335" s="5">
        <f>SUMIFS($I$3:$I$566,$A$3:$A$566,A335,$E$3:$E$566,E335)/SUMIFS(Question_Bank!$M$3:$M$14,Question_Bank!$B$3:$B$14,E335)</f>
        <v>0</v>
      </c>
      <c r="M335" t="s">
        <v>188</v>
      </c>
    </row>
    <row r="336" spans="1:13">
      <c r="A336" t="s">
        <v>187</v>
      </c>
      <c r="B336" t="s">
        <v>132</v>
      </c>
      <c r="C336" t="s">
        <v>133</v>
      </c>
      <c r="D336" t="s">
        <v>95</v>
      </c>
      <c r="E336" t="s">
        <v>96</v>
      </c>
      <c r="F336" t="s">
        <v>31</v>
      </c>
      <c r="G336">
        <f>INDEX(Question_Bank!$G$3:$G$14,MATCH(D336,Question_Bank!$A$3:$A$14,0))</f>
        <v>0</v>
      </c>
      <c r="H336">
        <f>IF(F336=G336,1,0)</f>
        <v>0</v>
      </c>
      <c r="I336">
        <f>H336*INDEX(Question_Bank!$M$3:$M$14,MATCH(D336,Question_Bank!$A$3:$A$14,0))</f>
        <v>0</v>
      </c>
      <c r="J336">
        <f>SUMIFS($I$3:$I$566,$A$3:$A$566,A336)</f>
        <v>0</v>
      </c>
      <c r="K336" s="5">
        <f>J336/SUM(Question_Bank!$M$3:$M$14)</f>
        <v>0</v>
      </c>
      <c r="L336" s="5">
        <f>SUMIFS($I$3:$I$566,$A$3:$A$566,A336,$E$3:$E$566,E336)/SUMIFS(Question_Bank!$M$3:$M$14,Question_Bank!$B$3:$B$14,E336)</f>
        <v>0</v>
      </c>
      <c r="M336" t="s">
        <v>188</v>
      </c>
    </row>
    <row r="337" spans="1:13">
      <c r="A337" t="s">
        <v>187</v>
      </c>
      <c r="B337" t="s">
        <v>132</v>
      </c>
      <c r="C337" t="s">
        <v>133</v>
      </c>
      <c r="D337" t="s">
        <v>104</v>
      </c>
      <c r="E337" t="s">
        <v>96</v>
      </c>
      <c r="F337" t="s">
        <v>34</v>
      </c>
      <c r="G337">
        <f>INDEX(Question_Bank!$G$3:$G$14,MATCH(D337,Question_Bank!$A$3:$A$14,0))</f>
        <v>0</v>
      </c>
      <c r="H337">
        <f>IF(F337=G337,1,0)</f>
        <v>0</v>
      </c>
      <c r="I337">
        <f>H337*INDEX(Question_Bank!$M$3:$M$14,MATCH(D337,Question_Bank!$A$3:$A$14,0))</f>
        <v>0</v>
      </c>
      <c r="J337">
        <f>SUMIFS($I$3:$I$566,$A$3:$A$566,A337)</f>
        <v>0</v>
      </c>
      <c r="K337" s="5">
        <f>J337/SUM(Question_Bank!$M$3:$M$14)</f>
        <v>0</v>
      </c>
      <c r="L337" s="5">
        <f>SUMIFS($I$3:$I$566,$A$3:$A$566,A337,$E$3:$E$566,E337)/SUMIFS(Question_Bank!$M$3:$M$14,Question_Bank!$B$3:$B$14,E337)</f>
        <v>0</v>
      </c>
      <c r="M337" t="s">
        <v>188</v>
      </c>
    </row>
    <row r="338" spans="1:13">
      <c r="A338" t="s">
        <v>187</v>
      </c>
      <c r="B338" t="s">
        <v>132</v>
      </c>
      <c r="C338" t="s">
        <v>133</v>
      </c>
      <c r="D338" t="s">
        <v>112</v>
      </c>
      <c r="E338" t="s">
        <v>96</v>
      </c>
      <c r="F338" t="s">
        <v>31</v>
      </c>
      <c r="G338">
        <f>INDEX(Question_Bank!$G$3:$G$14,MATCH(D338,Question_Bank!$A$3:$A$14,0))</f>
        <v>0</v>
      </c>
      <c r="H338">
        <f>IF(F338=G338,1,0)</f>
        <v>0</v>
      </c>
      <c r="I338">
        <f>H338*INDEX(Question_Bank!$M$3:$M$14,MATCH(D338,Question_Bank!$A$3:$A$14,0))</f>
        <v>0</v>
      </c>
      <c r="J338">
        <f>SUMIFS($I$3:$I$566,$A$3:$A$566,A338)</f>
        <v>0</v>
      </c>
      <c r="K338" s="5">
        <f>J338/SUM(Question_Bank!$M$3:$M$14)</f>
        <v>0</v>
      </c>
      <c r="L338" s="5">
        <f>SUMIFS($I$3:$I$566,$A$3:$A$566,A338,$E$3:$E$566,E338)/SUMIFS(Question_Bank!$M$3:$M$14,Question_Bank!$B$3:$B$14,E338)</f>
        <v>0</v>
      </c>
      <c r="M338" t="s">
        <v>188</v>
      </c>
    </row>
    <row r="339" spans="1:13">
      <c r="A339" t="s">
        <v>189</v>
      </c>
      <c r="B339" t="s">
        <v>132</v>
      </c>
      <c r="C339" t="s">
        <v>133</v>
      </c>
      <c r="D339" t="s">
        <v>14</v>
      </c>
      <c r="E339" t="s">
        <v>15</v>
      </c>
      <c r="F339" t="s">
        <v>34</v>
      </c>
      <c r="G339">
        <f>INDEX(Question_Bank!$G$3:$G$14,MATCH(D339,Question_Bank!$A$3:$A$14,0))</f>
        <v>0</v>
      </c>
      <c r="H339">
        <f>IF(F339=G339,1,0)</f>
        <v>0</v>
      </c>
      <c r="I339">
        <f>H339*INDEX(Question_Bank!$M$3:$M$14,MATCH(D339,Question_Bank!$A$3:$A$14,0))</f>
        <v>0</v>
      </c>
      <c r="J339">
        <f>SUMIFS($I$3:$I$566,$A$3:$A$566,A339)</f>
        <v>0</v>
      </c>
      <c r="K339" s="5">
        <f>J339/SUM(Question_Bank!$M$3:$M$14)</f>
        <v>0</v>
      </c>
      <c r="L339" s="5">
        <f>SUMIFS($I$3:$I$566,$A$3:$A$566,A339,$E$3:$E$566,E339)/SUMIFS(Question_Bank!$M$3:$M$14,Question_Bank!$B$3:$B$14,E339)</f>
        <v>0</v>
      </c>
      <c r="M339" t="s">
        <v>190</v>
      </c>
    </row>
    <row r="340" spans="1:13">
      <c r="A340" t="s">
        <v>189</v>
      </c>
      <c r="B340" t="s">
        <v>132</v>
      </c>
      <c r="C340" t="s">
        <v>133</v>
      </c>
      <c r="D340" t="s">
        <v>26</v>
      </c>
      <c r="E340" t="s">
        <v>15</v>
      </c>
      <c r="F340" t="s">
        <v>34</v>
      </c>
      <c r="G340">
        <f>INDEX(Question_Bank!$G$3:$G$14,MATCH(D340,Question_Bank!$A$3:$A$14,0))</f>
        <v>0</v>
      </c>
      <c r="H340">
        <f>IF(F340=G340,1,0)</f>
        <v>0</v>
      </c>
      <c r="I340">
        <f>H340*INDEX(Question_Bank!$M$3:$M$14,MATCH(D340,Question_Bank!$A$3:$A$14,0))</f>
        <v>0</v>
      </c>
      <c r="J340">
        <f>SUMIFS($I$3:$I$566,$A$3:$A$566,A340)</f>
        <v>0</v>
      </c>
      <c r="K340" s="5">
        <f>J340/SUM(Question_Bank!$M$3:$M$14)</f>
        <v>0</v>
      </c>
      <c r="L340" s="5">
        <f>SUMIFS($I$3:$I$566,$A$3:$A$566,A340,$E$3:$E$566,E340)/SUMIFS(Question_Bank!$M$3:$M$14,Question_Bank!$B$3:$B$14,E340)</f>
        <v>0</v>
      </c>
      <c r="M340" t="s">
        <v>190</v>
      </c>
    </row>
    <row r="341" spans="1:13">
      <c r="A341" t="s">
        <v>189</v>
      </c>
      <c r="B341" t="s">
        <v>132</v>
      </c>
      <c r="C341" t="s">
        <v>133</v>
      </c>
      <c r="D341" t="s">
        <v>37</v>
      </c>
      <c r="E341" t="s">
        <v>15</v>
      </c>
      <c r="F341" t="s">
        <v>31</v>
      </c>
      <c r="G341">
        <f>INDEX(Question_Bank!$G$3:$G$14,MATCH(D341,Question_Bank!$A$3:$A$14,0))</f>
        <v>0</v>
      </c>
      <c r="H341">
        <f>IF(F341=G341,1,0)</f>
        <v>0</v>
      </c>
      <c r="I341">
        <f>H341*INDEX(Question_Bank!$M$3:$M$14,MATCH(D341,Question_Bank!$A$3:$A$14,0))</f>
        <v>0</v>
      </c>
      <c r="J341">
        <f>SUMIFS($I$3:$I$566,$A$3:$A$566,A341)</f>
        <v>0</v>
      </c>
      <c r="K341" s="5">
        <f>J341/SUM(Question_Bank!$M$3:$M$14)</f>
        <v>0</v>
      </c>
      <c r="L341" s="5">
        <f>SUMIFS($I$3:$I$566,$A$3:$A$566,A341,$E$3:$E$566,E341)/SUMIFS(Question_Bank!$M$3:$M$14,Question_Bank!$B$3:$B$14,E341)</f>
        <v>0</v>
      </c>
      <c r="M341" t="s">
        <v>190</v>
      </c>
    </row>
    <row r="342" spans="1:13">
      <c r="A342" t="s">
        <v>189</v>
      </c>
      <c r="B342" t="s">
        <v>132</v>
      </c>
      <c r="C342" t="s">
        <v>133</v>
      </c>
      <c r="D342" t="s">
        <v>45</v>
      </c>
      <c r="E342" t="s">
        <v>46</v>
      </c>
      <c r="F342" t="s">
        <v>34</v>
      </c>
      <c r="G342">
        <f>INDEX(Question_Bank!$G$3:$G$14,MATCH(D342,Question_Bank!$A$3:$A$14,0))</f>
        <v>0</v>
      </c>
      <c r="H342">
        <f>IF(F342=G342,1,0)</f>
        <v>0</v>
      </c>
      <c r="I342">
        <f>H342*INDEX(Question_Bank!$M$3:$M$14,MATCH(D342,Question_Bank!$A$3:$A$14,0))</f>
        <v>0</v>
      </c>
      <c r="J342">
        <f>SUMIFS($I$3:$I$566,$A$3:$A$566,A342)</f>
        <v>0</v>
      </c>
      <c r="K342" s="5">
        <f>J342/SUM(Question_Bank!$M$3:$M$14)</f>
        <v>0</v>
      </c>
      <c r="L342" s="5">
        <f>SUMIFS($I$3:$I$566,$A$3:$A$566,A342,$E$3:$E$566,E342)/SUMIFS(Question_Bank!$M$3:$M$14,Question_Bank!$B$3:$B$14,E342)</f>
        <v>0</v>
      </c>
      <c r="M342" t="s">
        <v>190</v>
      </c>
    </row>
    <row r="343" spans="1:13">
      <c r="A343" t="s">
        <v>189</v>
      </c>
      <c r="B343" t="s">
        <v>132</v>
      </c>
      <c r="C343" t="s">
        <v>133</v>
      </c>
      <c r="D343" t="s">
        <v>54</v>
      </c>
      <c r="E343" t="s">
        <v>46</v>
      </c>
      <c r="F343" t="s">
        <v>34</v>
      </c>
      <c r="G343">
        <f>INDEX(Question_Bank!$G$3:$G$14,MATCH(D343,Question_Bank!$A$3:$A$14,0))</f>
        <v>0</v>
      </c>
      <c r="H343">
        <f>IF(F343=G343,1,0)</f>
        <v>0</v>
      </c>
      <c r="I343">
        <f>H343*INDEX(Question_Bank!$M$3:$M$14,MATCH(D343,Question_Bank!$A$3:$A$14,0))</f>
        <v>0</v>
      </c>
      <c r="J343">
        <f>SUMIFS($I$3:$I$566,$A$3:$A$566,A343)</f>
        <v>0</v>
      </c>
      <c r="K343" s="5">
        <f>J343/SUM(Question_Bank!$M$3:$M$14)</f>
        <v>0</v>
      </c>
      <c r="L343" s="5">
        <f>SUMIFS($I$3:$I$566,$A$3:$A$566,A343,$E$3:$E$566,E343)/SUMIFS(Question_Bank!$M$3:$M$14,Question_Bank!$B$3:$B$14,E343)</f>
        <v>0</v>
      </c>
      <c r="M343" t="s">
        <v>190</v>
      </c>
    </row>
    <row r="344" spans="1:13">
      <c r="A344" t="s">
        <v>189</v>
      </c>
      <c r="B344" t="s">
        <v>132</v>
      </c>
      <c r="C344" t="s">
        <v>133</v>
      </c>
      <c r="D344" t="s">
        <v>62</v>
      </c>
      <c r="E344" t="s">
        <v>46</v>
      </c>
      <c r="F344" t="s">
        <v>31</v>
      </c>
      <c r="G344">
        <f>INDEX(Question_Bank!$G$3:$G$14,MATCH(D344,Question_Bank!$A$3:$A$14,0))</f>
        <v>0</v>
      </c>
      <c r="H344">
        <f>IF(F344=G344,1,0)</f>
        <v>0</v>
      </c>
      <c r="I344">
        <f>H344*INDEX(Question_Bank!$M$3:$M$14,MATCH(D344,Question_Bank!$A$3:$A$14,0))</f>
        <v>0</v>
      </c>
      <c r="J344">
        <f>SUMIFS($I$3:$I$566,$A$3:$A$566,A344)</f>
        <v>0</v>
      </c>
      <c r="K344" s="5">
        <f>J344/SUM(Question_Bank!$M$3:$M$14)</f>
        <v>0</v>
      </c>
      <c r="L344" s="5">
        <f>SUMIFS($I$3:$I$566,$A$3:$A$566,A344,$E$3:$E$566,E344)/SUMIFS(Question_Bank!$M$3:$M$14,Question_Bank!$B$3:$B$14,E344)</f>
        <v>0</v>
      </c>
      <c r="M344" t="s">
        <v>190</v>
      </c>
    </row>
    <row r="345" spans="1:13">
      <c r="A345" t="s">
        <v>189</v>
      </c>
      <c r="B345" t="s">
        <v>132</v>
      </c>
      <c r="C345" t="s">
        <v>133</v>
      </c>
      <c r="D345" t="s">
        <v>70</v>
      </c>
      <c r="E345" t="s">
        <v>71</v>
      </c>
      <c r="F345" t="s">
        <v>23</v>
      </c>
      <c r="G345">
        <f>INDEX(Question_Bank!$G$3:$G$14,MATCH(D345,Question_Bank!$A$3:$A$14,0))</f>
        <v>0</v>
      </c>
      <c r="H345">
        <f>IF(F345=G345,1,0)</f>
        <v>0</v>
      </c>
      <c r="I345">
        <f>H345*INDEX(Question_Bank!$M$3:$M$14,MATCH(D345,Question_Bank!$A$3:$A$14,0))</f>
        <v>0</v>
      </c>
      <c r="J345">
        <f>SUMIFS($I$3:$I$566,$A$3:$A$566,A345)</f>
        <v>0</v>
      </c>
      <c r="K345" s="5">
        <f>J345/SUM(Question_Bank!$M$3:$M$14)</f>
        <v>0</v>
      </c>
      <c r="L345" s="5">
        <f>SUMIFS($I$3:$I$566,$A$3:$A$566,A345,$E$3:$E$566,E345)/SUMIFS(Question_Bank!$M$3:$M$14,Question_Bank!$B$3:$B$14,E345)</f>
        <v>0</v>
      </c>
      <c r="M345" t="s">
        <v>190</v>
      </c>
    </row>
    <row r="346" spans="1:13">
      <c r="A346" t="s">
        <v>189</v>
      </c>
      <c r="B346" t="s">
        <v>132</v>
      </c>
      <c r="C346" t="s">
        <v>133</v>
      </c>
      <c r="D346" t="s">
        <v>79</v>
      </c>
      <c r="E346" t="s">
        <v>71</v>
      </c>
      <c r="F346" t="s">
        <v>20</v>
      </c>
      <c r="G346">
        <f>INDEX(Question_Bank!$G$3:$G$14,MATCH(D346,Question_Bank!$A$3:$A$14,0))</f>
        <v>0</v>
      </c>
      <c r="H346">
        <f>IF(F346=G346,1,0)</f>
        <v>0</v>
      </c>
      <c r="I346">
        <f>H346*INDEX(Question_Bank!$M$3:$M$14,MATCH(D346,Question_Bank!$A$3:$A$14,0))</f>
        <v>0</v>
      </c>
      <c r="J346">
        <f>SUMIFS($I$3:$I$566,$A$3:$A$566,A346)</f>
        <v>0</v>
      </c>
      <c r="K346" s="5">
        <f>J346/SUM(Question_Bank!$M$3:$M$14)</f>
        <v>0</v>
      </c>
      <c r="L346" s="5">
        <f>SUMIFS($I$3:$I$566,$A$3:$A$566,A346,$E$3:$E$566,E346)/SUMIFS(Question_Bank!$M$3:$M$14,Question_Bank!$B$3:$B$14,E346)</f>
        <v>0</v>
      </c>
      <c r="M346" t="s">
        <v>190</v>
      </c>
    </row>
    <row r="347" spans="1:13">
      <c r="A347" t="s">
        <v>189</v>
      </c>
      <c r="B347" t="s">
        <v>132</v>
      </c>
      <c r="C347" t="s">
        <v>133</v>
      </c>
      <c r="D347" t="s">
        <v>87</v>
      </c>
      <c r="E347" t="s">
        <v>71</v>
      </c>
      <c r="F347" t="s">
        <v>20</v>
      </c>
      <c r="G347">
        <f>INDEX(Question_Bank!$G$3:$G$14,MATCH(D347,Question_Bank!$A$3:$A$14,0))</f>
        <v>0</v>
      </c>
      <c r="H347">
        <f>IF(F347=G347,1,0)</f>
        <v>0</v>
      </c>
      <c r="I347">
        <f>H347*INDEX(Question_Bank!$M$3:$M$14,MATCH(D347,Question_Bank!$A$3:$A$14,0))</f>
        <v>0</v>
      </c>
      <c r="J347">
        <f>SUMIFS($I$3:$I$566,$A$3:$A$566,A347)</f>
        <v>0</v>
      </c>
      <c r="K347" s="5">
        <f>J347/SUM(Question_Bank!$M$3:$M$14)</f>
        <v>0</v>
      </c>
      <c r="L347" s="5">
        <f>SUMIFS($I$3:$I$566,$A$3:$A$566,A347,$E$3:$E$566,E347)/SUMIFS(Question_Bank!$M$3:$M$14,Question_Bank!$B$3:$B$14,E347)</f>
        <v>0</v>
      </c>
      <c r="M347" t="s">
        <v>190</v>
      </c>
    </row>
    <row r="348" spans="1:13">
      <c r="A348" t="s">
        <v>189</v>
      </c>
      <c r="B348" t="s">
        <v>132</v>
      </c>
      <c r="C348" t="s">
        <v>133</v>
      </c>
      <c r="D348" t="s">
        <v>95</v>
      </c>
      <c r="E348" t="s">
        <v>96</v>
      </c>
      <c r="F348" t="s">
        <v>31</v>
      </c>
      <c r="G348">
        <f>INDEX(Question_Bank!$G$3:$G$14,MATCH(D348,Question_Bank!$A$3:$A$14,0))</f>
        <v>0</v>
      </c>
      <c r="H348">
        <f>IF(F348=G348,1,0)</f>
        <v>0</v>
      </c>
      <c r="I348">
        <f>H348*INDEX(Question_Bank!$M$3:$M$14,MATCH(D348,Question_Bank!$A$3:$A$14,0))</f>
        <v>0</v>
      </c>
      <c r="J348">
        <f>SUMIFS($I$3:$I$566,$A$3:$A$566,A348)</f>
        <v>0</v>
      </c>
      <c r="K348" s="5">
        <f>J348/SUM(Question_Bank!$M$3:$M$14)</f>
        <v>0</v>
      </c>
      <c r="L348" s="5">
        <f>SUMIFS($I$3:$I$566,$A$3:$A$566,A348,$E$3:$E$566,E348)/SUMIFS(Question_Bank!$M$3:$M$14,Question_Bank!$B$3:$B$14,E348)</f>
        <v>0</v>
      </c>
      <c r="M348" t="s">
        <v>190</v>
      </c>
    </row>
    <row r="349" spans="1:13">
      <c r="A349" t="s">
        <v>189</v>
      </c>
      <c r="B349" t="s">
        <v>132</v>
      </c>
      <c r="C349" t="s">
        <v>133</v>
      </c>
      <c r="D349" t="s">
        <v>104</v>
      </c>
      <c r="E349" t="s">
        <v>96</v>
      </c>
      <c r="F349" t="s">
        <v>23</v>
      </c>
      <c r="G349">
        <f>INDEX(Question_Bank!$G$3:$G$14,MATCH(D349,Question_Bank!$A$3:$A$14,0))</f>
        <v>0</v>
      </c>
      <c r="H349">
        <f>IF(F349=G349,1,0)</f>
        <v>0</v>
      </c>
      <c r="I349">
        <f>H349*INDEX(Question_Bank!$M$3:$M$14,MATCH(D349,Question_Bank!$A$3:$A$14,0))</f>
        <v>0</v>
      </c>
      <c r="J349">
        <f>SUMIFS($I$3:$I$566,$A$3:$A$566,A349)</f>
        <v>0</v>
      </c>
      <c r="K349" s="5">
        <f>J349/SUM(Question_Bank!$M$3:$M$14)</f>
        <v>0</v>
      </c>
      <c r="L349" s="5">
        <f>SUMIFS($I$3:$I$566,$A$3:$A$566,A349,$E$3:$E$566,E349)/SUMIFS(Question_Bank!$M$3:$M$14,Question_Bank!$B$3:$B$14,E349)</f>
        <v>0</v>
      </c>
      <c r="M349" t="s">
        <v>190</v>
      </c>
    </row>
    <row r="350" spans="1:13">
      <c r="A350" t="s">
        <v>189</v>
      </c>
      <c r="B350" t="s">
        <v>132</v>
      </c>
      <c r="C350" t="s">
        <v>133</v>
      </c>
      <c r="D350" t="s">
        <v>112</v>
      </c>
      <c r="E350" t="s">
        <v>96</v>
      </c>
      <c r="F350" t="s">
        <v>34</v>
      </c>
      <c r="G350">
        <f>INDEX(Question_Bank!$G$3:$G$14,MATCH(D350,Question_Bank!$A$3:$A$14,0))</f>
        <v>0</v>
      </c>
      <c r="H350">
        <f>IF(F350=G350,1,0)</f>
        <v>0</v>
      </c>
      <c r="I350">
        <f>H350*INDEX(Question_Bank!$M$3:$M$14,MATCH(D350,Question_Bank!$A$3:$A$14,0))</f>
        <v>0</v>
      </c>
      <c r="J350">
        <f>SUMIFS($I$3:$I$566,$A$3:$A$566,A350)</f>
        <v>0</v>
      </c>
      <c r="K350" s="5">
        <f>J350/SUM(Question_Bank!$M$3:$M$14)</f>
        <v>0</v>
      </c>
      <c r="L350" s="5">
        <f>SUMIFS($I$3:$I$566,$A$3:$A$566,A350,$E$3:$E$566,E350)/SUMIFS(Question_Bank!$M$3:$M$14,Question_Bank!$B$3:$B$14,E350)</f>
        <v>0</v>
      </c>
      <c r="M350" t="s">
        <v>190</v>
      </c>
    </row>
    <row r="351" spans="1:13">
      <c r="A351" t="s">
        <v>191</v>
      </c>
      <c r="B351" t="s">
        <v>132</v>
      </c>
      <c r="C351" t="s">
        <v>133</v>
      </c>
      <c r="D351" t="s">
        <v>14</v>
      </c>
      <c r="E351" t="s">
        <v>15</v>
      </c>
      <c r="F351" t="s">
        <v>20</v>
      </c>
      <c r="G351">
        <f>INDEX(Question_Bank!$G$3:$G$14,MATCH(D351,Question_Bank!$A$3:$A$14,0))</f>
        <v>0</v>
      </c>
      <c r="H351">
        <f>IF(F351=G351,1,0)</f>
        <v>0</v>
      </c>
      <c r="I351">
        <f>H351*INDEX(Question_Bank!$M$3:$M$14,MATCH(D351,Question_Bank!$A$3:$A$14,0))</f>
        <v>0</v>
      </c>
      <c r="J351">
        <f>SUMIFS($I$3:$I$566,$A$3:$A$566,A351)</f>
        <v>0</v>
      </c>
      <c r="K351" s="5">
        <f>J351/SUM(Question_Bank!$M$3:$M$14)</f>
        <v>0</v>
      </c>
      <c r="L351" s="5">
        <f>SUMIFS($I$3:$I$566,$A$3:$A$566,A351,$E$3:$E$566,E351)/SUMIFS(Question_Bank!$M$3:$M$14,Question_Bank!$B$3:$B$14,E351)</f>
        <v>0</v>
      </c>
      <c r="M351" t="s">
        <v>192</v>
      </c>
    </row>
    <row r="352" spans="1:13">
      <c r="A352" t="s">
        <v>191</v>
      </c>
      <c r="B352" t="s">
        <v>132</v>
      </c>
      <c r="C352" t="s">
        <v>133</v>
      </c>
      <c r="D352" t="s">
        <v>26</v>
      </c>
      <c r="E352" t="s">
        <v>15</v>
      </c>
      <c r="F352" t="s">
        <v>34</v>
      </c>
      <c r="G352">
        <f>INDEX(Question_Bank!$G$3:$G$14,MATCH(D352,Question_Bank!$A$3:$A$14,0))</f>
        <v>0</v>
      </c>
      <c r="H352">
        <f>IF(F352=G352,1,0)</f>
        <v>0</v>
      </c>
      <c r="I352">
        <f>H352*INDEX(Question_Bank!$M$3:$M$14,MATCH(D352,Question_Bank!$A$3:$A$14,0))</f>
        <v>0</v>
      </c>
      <c r="J352">
        <f>SUMIFS($I$3:$I$566,$A$3:$A$566,A352)</f>
        <v>0</v>
      </c>
      <c r="K352" s="5">
        <f>J352/SUM(Question_Bank!$M$3:$M$14)</f>
        <v>0</v>
      </c>
      <c r="L352" s="5">
        <f>SUMIFS($I$3:$I$566,$A$3:$A$566,A352,$E$3:$E$566,E352)/SUMIFS(Question_Bank!$M$3:$M$14,Question_Bank!$B$3:$B$14,E352)</f>
        <v>0</v>
      </c>
      <c r="M352" t="s">
        <v>192</v>
      </c>
    </row>
    <row r="353" spans="1:13">
      <c r="A353" t="s">
        <v>191</v>
      </c>
      <c r="B353" t="s">
        <v>132</v>
      </c>
      <c r="C353" t="s">
        <v>133</v>
      </c>
      <c r="D353" t="s">
        <v>37</v>
      </c>
      <c r="E353" t="s">
        <v>15</v>
      </c>
      <c r="F353" t="s">
        <v>20</v>
      </c>
      <c r="G353">
        <f>INDEX(Question_Bank!$G$3:$G$14,MATCH(D353,Question_Bank!$A$3:$A$14,0))</f>
        <v>0</v>
      </c>
      <c r="H353">
        <f>IF(F353=G353,1,0)</f>
        <v>0</v>
      </c>
      <c r="I353">
        <f>H353*INDEX(Question_Bank!$M$3:$M$14,MATCH(D353,Question_Bank!$A$3:$A$14,0))</f>
        <v>0</v>
      </c>
      <c r="J353">
        <f>SUMIFS($I$3:$I$566,$A$3:$A$566,A353)</f>
        <v>0</v>
      </c>
      <c r="K353" s="5">
        <f>J353/SUM(Question_Bank!$M$3:$M$14)</f>
        <v>0</v>
      </c>
      <c r="L353" s="5">
        <f>SUMIFS($I$3:$I$566,$A$3:$A$566,A353,$E$3:$E$566,E353)/SUMIFS(Question_Bank!$M$3:$M$14,Question_Bank!$B$3:$B$14,E353)</f>
        <v>0</v>
      </c>
      <c r="M353" t="s">
        <v>192</v>
      </c>
    </row>
    <row r="354" spans="1:13">
      <c r="A354" t="s">
        <v>191</v>
      </c>
      <c r="B354" t="s">
        <v>132</v>
      </c>
      <c r="C354" t="s">
        <v>133</v>
      </c>
      <c r="D354" t="s">
        <v>45</v>
      </c>
      <c r="E354" t="s">
        <v>46</v>
      </c>
      <c r="F354" t="s">
        <v>31</v>
      </c>
      <c r="G354">
        <f>INDEX(Question_Bank!$G$3:$G$14,MATCH(D354,Question_Bank!$A$3:$A$14,0))</f>
        <v>0</v>
      </c>
      <c r="H354">
        <f>IF(F354=G354,1,0)</f>
        <v>0</v>
      </c>
      <c r="I354">
        <f>H354*INDEX(Question_Bank!$M$3:$M$14,MATCH(D354,Question_Bank!$A$3:$A$14,0))</f>
        <v>0</v>
      </c>
      <c r="J354">
        <f>SUMIFS($I$3:$I$566,$A$3:$A$566,A354)</f>
        <v>0</v>
      </c>
      <c r="K354" s="5">
        <f>J354/SUM(Question_Bank!$M$3:$M$14)</f>
        <v>0</v>
      </c>
      <c r="L354" s="5">
        <f>SUMIFS($I$3:$I$566,$A$3:$A$566,A354,$E$3:$E$566,E354)/SUMIFS(Question_Bank!$M$3:$M$14,Question_Bank!$B$3:$B$14,E354)</f>
        <v>0</v>
      </c>
      <c r="M354" t="s">
        <v>192</v>
      </c>
    </row>
    <row r="355" spans="1:13">
      <c r="A355" t="s">
        <v>191</v>
      </c>
      <c r="B355" t="s">
        <v>132</v>
      </c>
      <c r="C355" t="s">
        <v>133</v>
      </c>
      <c r="D355" t="s">
        <v>54</v>
      </c>
      <c r="E355" t="s">
        <v>46</v>
      </c>
      <c r="F355" t="s">
        <v>20</v>
      </c>
      <c r="G355">
        <f>INDEX(Question_Bank!$G$3:$G$14,MATCH(D355,Question_Bank!$A$3:$A$14,0))</f>
        <v>0</v>
      </c>
      <c r="H355">
        <f>IF(F355=G355,1,0)</f>
        <v>0</v>
      </c>
      <c r="I355">
        <f>H355*INDEX(Question_Bank!$M$3:$M$14,MATCH(D355,Question_Bank!$A$3:$A$14,0))</f>
        <v>0</v>
      </c>
      <c r="J355">
        <f>SUMIFS($I$3:$I$566,$A$3:$A$566,A355)</f>
        <v>0</v>
      </c>
      <c r="K355" s="5">
        <f>J355/SUM(Question_Bank!$M$3:$M$14)</f>
        <v>0</v>
      </c>
      <c r="L355" s="5">
        <f>SUMIFS($I$3:$I$566,$A$3:$A$566,A355,$E$3:$E$566,E355)/SUMIFS(Question_Bank!$M$3:$M$14,Question_Bank!$B$3:$B$14,E355)</f>
        <v>0</v>
      </c>
      <c r="M355" t="s">
        <v>192</v>
      </c>
    </row>
    <row r="356" spans="1:13">
      <c r="A356" t="s">
        <v>191</v>
      </c>
      <c r="B356" t="s">
        <v>132</v>
      </c>
      <c r="C356" t="s">
        <v>133</v>
      </c>
      <c r="D356" t="s">
        <v>62</v>
      </c>
      <c r="E356" t="s">
        <v>46</v>
      </c>
      <c r="F356" t="s">
        <v>20</v>
      </c>
      <c r="G356">
        <f>INDEX(Question_Bank!$G$3:$G$14,MATCH(D356,Question_Bank!$A$3:$A$14,0))</f>
        <v>0</v>
      </c>
      <c r="H356">
        <f>IF(F356=G356,1,0)</f>
        <v>0</v>
      </c>
      <c r="I356">
        <f>H356*INDEX(Question_Bank!$M$3:$M$14,MATCH(D356,Question_Bank!$A$3:$A$14,0))</f>
        <v>0</v>
      </c>
      <c r="J356">
        <f>SUMIFS($I$3:$I$566,$A$3:$A$566,A356)</f>
        <v>0</v>
      </c>
      <c r="K356" s="5">
        <f>J356/SUM(Question_Bank!$M$3:$M$14)</f>
        <v>0</v>
      </c>
      <c r="L356" s="5">
        <f>SUMIFS($I$3:$I$566,$A$3:$A$566,A356,$E$3:$E$566,E356)/SUMIFS(Question_Bank!$M$3:$M$14,Question_Bank!$B$3:$B$14,E356)</f>
        <v>0</v>
      </c>
      <c r="M356" t="s">
        <v>192</v>
      </c>
    </row>
    <row r="357" spans="1:13">
      <c r="A357" t="s">
        <v>191</v>
      </c>
      <c r="B357" t="s">
        <v>132</v>
      </c>
      <c r="C357" t="s">
        <v>133</v>
      </c>
      <c r="D357" t="s">
        <v>70</v>
      </c>
      <c r="E357" t="s">
        <v>71</v>
      </c>
      <c r="F357" t="s">
        <v>23</v>
      </c>
      <c r="G357">
        <f>INDEX(Question_Bank!$G$3:$G$14,MATCH(D357,Question_Bank!$A$3:$A$14,0))</f>
        <v>0</v>
      </c>
      <c r="H357">
        <f>IF(F357=G357,1,0)</f>
        <v>0</v>
      </c>
      <c r="I357">
        <f>H357*INDEX(Question_Bank!$M$3:$M$14,MATCH(D357,Question_Bank!$A$3:$A$14,0))</f>
        <v>0</v>
      </c>
      <c r="J357">
        <f>SUMIFS($I$3:$I$566,$A$3:$A$566,A357)</f>
        <v>0</v>
      </c>
      <c r="K357" s="5">
        <f>J357/SUM(Question_Bank!$M$3:$M$14)</f>
        <v>0</v>
      </c>
      <c r="L357" s="5">
        <f>SUMIFS($I$3:$I$566,$A$3:$A$566,A357,$E$3:$E$566,E357)/SUMIFS(Question_Bank!$M$3:$M$14,Question_Bank!$B$3:$B$14,E357)</f>
        <v>0</v>
      </c>
      <c r="M357" t="s">
        <v>192</v>
      </c>
    </row>
    <row r="358" spans="1:13">
      <c r="A358" t="s">
        <v>191</v>
      </c>
      <c r="B358" t="s">
        <v>132</v>
      </c>
      <c r="C358" t="s">
        <v>133</v>
      </c>
      <c r="D358" t="s">
        <v>79</v>
      </c>
      <c r="E358" t="s">
        <v>71</v>
      </c>
      <c r="F358" t="s">
        <v>20</v>
      </c>
      <c r="G358">
        <f>INDEX(Question_Bank!$G$3:$G$14,MATCH(D358,Question_Bank!$A$3:$A$14,0))</f>
        <v>0</v>
      </c>
      <c r="H358">
        <f>IF(F358=G358,1,0)</f>
        <v>0</v>
      </c>
      <c r="I358">
        <f>H358*INDEX(Question_Bank!$M$3:$M$14,MATCH(D358,Question_Bank!$A$3:$A$14,0))</f>
        <v>0</v>
      </c>
      <c r="J358">
        <f>SUMIFS($I$3:$I$566,$A$3:$A$566,A358)</f>
        <v>0</v>
      </c>
      <c r="K358" s="5">
        <f>J358/SUM(Question_Bank!$M$3:$M$14)</f>
        <v>0</v>
      </c>
      <c r="L358" s="5">
        <f>SUMIFS($I$3:$I$566,$A$3:$A$566,A358,$E$3:$E$566,E358)/SUMIFS(Question_Bank!$M$3:$M$14,Question_Bank!$B$3:$B$14,E358)</f>
        <v>0</v>
      </c>
      <c r="M358" t="s">
        <v>192</v>
      </c>
    </row>
    <row r="359" spans="1:13">
      <c r="A359" t="s">
        <v>191</v>
      </c>
      <c r="B359" t="s">
        <v>132</v>
      </c>
      <c r="C359" t="s">
        <v>133</v>
      </c>
      <c r="D359" t="s">
        <v>87</v>
      </c>
      <c r="E359" t="s">
        <v>71</v>
      </c>
      <c r="F359" t="s">
        <v>23</v>
      </c>
      <c r="G359">
        <f>INDEX(Question_Bank!$G$3:$G$14,MATCH(D359,Question_Bank!$A$3:$A$14,0))</f>
        <v>0</v>
      </c>
      <c r="H359">
        <f>IF(F359=G359,1,0)</f>
        <v>0</v>
      </c>
      <c r="I359">
        <f>H359*INDEX(Question_Bank!$M$3:$M$14,MATCH(D359,Question_Bank!$A$3:$A$14,0))</f>
        <v>0</v>
      </c>
      <c r="J359">
        <f>SUMIFS($I$3:$I$566,$A$3:$A$566,A359)</f>
        <v>0</v>
      </c>
      <c r="K359" s="5">
        <f>J359/SUM(Question_Bank!$M$3:$M$14)</f>
        <v>0</v>
      </c>
      <c r="L359" s="5">
        <f>SUMIFS($I$3:$I$566,$A$3:$A$566,A359,$E$3:$E$566,E359)/SUMIFS(Question_Bank!$M$3:$M$14,Question_Bank!$B$3:$B$14,E359)</f>
        <v>0</v>
      </c>
      <c r="M359" t="s">
        <v>192</v>
      </c>
    </row>
    <row r="360" spans="1:13">
      <c r="A360" t="s">
        <v>191</v>
      </c>
      <c r="B360" t="s">
        <v>132</v>
      </c>
      <c r="C360" t="s">
        <v>133</v>
      </c>
      <c r="D360" t="s">
        <v>95</v>
      </c>
      <c r="E360" t="s">
        <v>96</v>
      </c>
      <c r="F360" t="s">
        <v>31</v>
      </c>
      <c r="G360">
        <f>INDEX(Question_Bank!$G$3:$G$14,MATCH(D360,Question_Bank!$A$3:$A$14,0))</f>
        <v>0</v>
      </c>
      <c r="H360">
        <f>IF(F360=G360,1,0)</f>
        <v>0</v>
      </c>
      <c r="I360">
        <f>H360*INDEX(Question_Bank!$M$3:$M$14,MATCH(D360,Question_Bank!$A$3:$A$14,0))</f>
        <v>0</v>
      </c>
      <c r="J360">
        <f>SUMIFS($I$3:$I$566,$A$3:$A$566,A360)</f>
        <v>0</v>
      </c>
      <c r="K360" s="5">
        <f>J360/SUM(Question_Bank!$M$3:$M$14)</f>
        <v>0</v>
      </c>
      <c r="L360" s="5">
        <f>SUMIFS($I$3:$I$566,$A$3:$A$566,A360,$E$3:$E$566,E360)/SUMIFS(Question_Bank!$M$3:$M$14,Question_Bank!$B$3:$B$14,E360)</f>
        <v>0</v>
      </c>
      <c r="M360" t="s">
        <v>192</v>
      </c>
    </row>
    <row r="361" spans="1:13">
      <c r="A361" t="s">
        <v>191</v>
      </c>
      <c r="B361" t="s">
        <v>132</v>
      </c>
      <c r="C361" t="s">
        <v>133</v>
      </c>
      <c r="D361" t="s">
        <v>104</v>
      </c>
      <c r="E361" t="s">
        <v>96</v>
      </c>
      <c r="F361" t="s">
        <v>23</v>
      </c>
      <c r="G361">
        <f>INDEX(Question_Bank!$G$3:$G$14,MATCH(D361,Question_Bank!$A$3:$A$14,0))</f>
        <v>0</v>
      </c>
      <c r="H361">
        <f>IF(F361=G361,1,0)</f>
        <v>0</v>
      </c>
      <c r="I361">
        <f>H361*INDEX(Question_Bank!$M$3:$M$14,MATCH(D361,Question_Bank!$A$3:$A$14,0))</f>
        <v>0</v>
      </c>
      <c r="J361">
        <f>SUMIFS($I$3:$I$566,$A$3:$A$566,A361)</f>
        <v>0</v>
      </c>
      <c r="K361" s="5">
        <f>J361/SUM(Question_Bank!$M$3:$M$14)</f>
        <v>0</v>
      </c>
      <c r="L361" s="5">
        <f>SUMIFS($I$3:$I$566,$A$3:$A$566,A361,$E$3:$E$566,E361)/SUMIFS(Question_Bank!$M$3:$M$14,Question_Bank!$B$3:$B$14,E361)</f>
        <v>0</v>
      </c>
      <c r="M361" t="s">
        <v>192</v>
      </c>
    </row>
    <row r="362" spans="1:13">
      <c r="A362" t="s">
        <v>191</v>
      </c>
      <c r="B362" t="s">
        <v>132</v>
      </c>
      <c r="C362" t="s">
        <v>133</v>
      </c>
      <c r="D362" t="s">
        <v>112</v>
      </c>
      <c r="E362" t="s">
        <v>96</v>
      </c>
      <c r="F362" t="s">
        <v>31</v>
      </c>
      <c r="G362">
        <f>INDEX(Question_Bank!$G$3:$G$14,MATCH(D362,Question_Bank!$A$3:$A$14,0))</f>
        <v>0</v>
      </c>
      <c r="H362">
        <f>IF(F362=G362,1,0)</f>
        <v>0</v>
      </c>
      <c r="I362">
        <f>H362*INDEX(Question_Bank!$M$3:$M$14,MATCH(D362,Question_Bank!$A$3:$A$14,0))</f>
        <v>0</v>
      </c>
      <c r="J362">
        <f>SUMIFS($I$3:$I$566,$A$3:$A$566,A362)</f>
        <v>0</v>
      </c>
      <c r="K362" s="5">
        <f>J362/SUM(Question_Bank!$M$3:$M$14)</f>
        <v>0</v>
      </c>
      <c r="L362" s="5">
        <f>SUMIFS($I$3:$I$566,$A$3:$A$566,A362,$E$3:$E$566,E362)/SUMIFS(Question_Bank!$M$3:$M$14,Question_Bank!$B$3:$B$14,E362)</f>
        <v>0</v>
      </c>
      <c r="M362" t="s">
        <v>192</v>
      </c>
    </row>
    <row r="363" spans="1:13">
      <c r="A363" t="s">
        <v>193</v>
      </c>
      <c r="B363" t="s">
        <v>132</v>
      </c>
      <c r="C363" t="s">
        <v>133</v>
      </c>
      <c r="D363" t="s">
        <v>14</v>
      </c>
      <c r="E363" t="s">
        <v>15</v>
      </c>
      <c r="F363" t="s">
        <v>20</v>
      </c>
      <c r="G363">
        <f>INDEX(Question_Bank!$G$3:$G$14,MATCH(D363,Question_Bank!$A$3:$A$14,0))</f>
        <v>0</v>
      </c>
      <c r="H363">
        <f>IF(F363=G363,1,0)</f>
        <v>0</v>
      </c>
      <c r="I363">
        <f>H363*INDEX(Question_Bank!$M$3:$M$14,MATCH(D363,Question_Bank!$A$3:$A$14,0))</f>
        <v>0</v>
      </c>
      <c r="J363">
        <f>SUMIFS($I$3:$I$566,$A$3:$A$566,A363)</f>
        <v>0</v>
      </c>
      <c r="K363" s="5">
        <f>J363/SUM(Question_Bank!$M$3:$M$14)</f>
        <v>0</v>
      </c>
      <c r="L363" s="5">
        <f>SUMIFS($I$3:$I$566,$A$3:$A$566,A363,$E$3:$E$566,E363)/SUMIFS(Question_Bank!$M$3:$M$14,Question_Bank!$B$3:$B$14,E363)</f>
        <v>0</v>
      </c>
      <c r="M363" t="s">
        <v>194</v>
      </c>
    </row>
    <row r="364" spans="1:13">
      <c r="A364" t="s">
        <v>193</v>
      </c>
      <c r="B364" t="s">
        <v>132</v>
      </c>
      <c r="C364" t="s">
        <v>133</v>
      </c>
      <c r="D364" t="s">
        <v>26</v>
      </c>
      <c r="E364" t="s">
        <v>15</v>
      </c>
      <c r="F364" t="s">
        <v>31</v>
      </c>
      <c r="G364">
        <f>INDEX(Question_Bank!$G$3:$G$14,MATCH(D364,Question_Bank!$A$3:$A$14,0))</f>
        <v>0</v>
      </c>
      <c r="H364">
        <f>IF(F364=G364,1,0)</f>
        <v>0</v>
      </c>
      <c r="I364">
        <f>H364*INDEX(Question_Bank!$M$3:$M$14,MATCH(D364,Question_Bank!$A$3:$A$14,0))</f>
        <v>0</v>
      </c>
      <c r="J364">
        <f>SUMIFS($I$3:$I$566,$A$3:$A$566,A364)</f>
        <v>0</v>
      </c>
      <c r="K364" s="5">
        <f>J364/SUM(Question_Bank!$M$3:$M$14)</f>
        <v>0</v>
      </c>
      <c r="L364" s="5">
        <f>SUMIFS($I$3:$I$566,$A$3:$A$566,A364,$E$3:$E$566,E364)/SUMIFS(Question_Bank!$M$3:$M$14,Question_Bank!$B$3:$B$14,E364)</f>
        <v>0</v>
      </c>
      <c r="M364" t="s">
        <v>194</v>
      </c>
    </row>
    <row r="365" spans="1:13">
      <c r="A365" t="s">
        <v>193</v>
      </c>
      <c r="B365" t="s">
        <v>132</v>
      </c>
      <c r="C365" t="s">
        <v>133</v>
      </c>
      <c r="D365" t="s">
        <v>37</v>
      </c>
      <c r="E365" t="s">
        <v>15</v>
      </c>
      <c r="F365" t="s">
        <v>23</v>
      </c>
      <c r="G365">
        <f>INDEX(Question_Bank!$G$3:$G$14,MATCH(D365,Question_Bank!$A$3:$A$14,0))</f>
        <v>0</v>
      </c>
      <c r="H365">
        <f>IF(F365=G365,1,0)</f>
        <v>0</v>
      </c>
      <c r="I365">
        <f>H365*INDEX(Question_Bank!$M$3:$M$14,MATCH(D365,Question_Bank!$A$3:$A$14,0))</f>
        <v>0</v>
      </c>
      <c r="J365">
        <f>SUMIFS($I$3:$I$566,$A$3:$A$566,A365)</f>
        <v>0</v>
      </c>
      <c r="K365" s="5">
        <f>J365/SUM(Question_Bank!$M$3:$M$14)</f>
        <v>0</v>
      </c>
      <c r="L365" s="5">
        <f>SUMIFS($I$3:$I$566,$A$3:$A$566,A365,$E$3:$E$566,E365)/SUMIFS(Question_Bank!$M$3:$M$14,Question_Bank!$B$3:$B$14,E365)</f>
        <v>0</v>
      </c>
      <c r="M365" t="s">
        <v>194</v>
      </c>
    </row>
    <row r="366" spans="1:13">
      <c r="A366" t="s">
        <v>193</v>
      </c>
      <c r="B366" t="s">
        <v>132</v>
      </c>
      <c r="C366" t="s">
        <v>133</v>
      </c>
      <c r="D366" t="s">
        <v>45</v>
      </c>
      <c r="E366" t="s">
        <v>46</v>
      </c>
      <c r="F366" t="s">
        <v>34</v>
      </c>
      <c r="G366">
        <f>INDEX(Question_Bank!$G$3:$G$14,MATCH(D366,Question_Bank!$A$3:$A$14,0))</f>
        <v>0</v>
      </c>
      <c r="H366">
        <f>IF(F366=G366,1,0)</f>
        <v>0</v>
      </c>
      <c r="I366">
        <f>H366*INDEX(Question_Bank!$M$3:$M$14,MATCH(D366,Question_Bank!$A$3:$A$14,0))</f>
        <v>0</v>
      </c>
      <c r="J366">
        <f>SUMIFS($I$3:$I$566,$A$3:$A$566,A366)</f>
        <v>0</v>
      </c>
      <c r="K366" s="5">
        <f>J366/SUM(Question_Bank!$M$3:$M$14)</f>
        <v>0</v>
      </c>
      <c r="L366" s="5">
        <f>SUMIFS($I$3:$I$566,$A$3:$A$566,A366,$E$3:$E$566,E366)/SUMIFS(Question_Bank!$M$3:$M$14,Question_Bank!$B$3:$B$14,E366)</f>
        <v>0</v>
      </c>
      <c r="M366" t="s">
        <v>194</v>
      </c>
    </row>
    <row r="367" spans="1:13">
      <c r="A367" t="s">
        <v>193</v>
      </c>
      <c r="B367" t="s">
        <v>132</v>
      </c>
      <c r="C367" t="s">
        <v>133</v>
      </c>
      <c r="D367" t="s">
        <v>54</v>
      </c>
      <c r="E367" t="s">
        <v>46</v>
      </c>
      <c r="F367" t="s">
        <v>20</v>
      </c>
      <c r="G367">
        <f>INDEX(Question_Bank!$G$3:$G$14,MATCH(D367,Question_Bank!$A$3:$A$14,0))</f>
        <v>0</v>
      </c>
      <c r="H367">
        <f>IF(F367=G367,1,0)</f>
        <v>0</v>
      </c>
      <c r="I367">
        <f>H367*INDEX(Question_Bank!$M$3:$M$14,MATCH(D367,Question_Bank!$A$3:$A$14,0))</f>
        <v>0</v>
      </c>
      <c r="J367">
        <f>SUMIFS($I$3:$I$566,$A$3:$A$566,A367)</f>
        <v>0</v>
      </c>
      <c r="K367" s="5">
        <f>J367/SUM(Question_Bank!$M$3:$M$14)</f>
        <v>0</v>
      </c>
      <c r="L367" s="5">
        <f>SUMIFS($I$3:$I$566,$A$3:$A$566,A367,$E$3:$E$566,E367)/SUMIFS(Question_Bank!$M$3:$M$14,Question_Bank!$B$3:$B$14,E367)</f>
        <v>0</v>
      </c>
      <c r="M367" t="s">
        <v>194</v>
      </c>
    </row>
    <row r="368" spans="1:13">
      <c r="A368" t="s">
        <v>193</v>
      </c>
      <c r="B368" t="s">
        <v>132</v>
      </c>
      <c r="C368" t="s">
        <v>133</v>
      </c>
      <c r="D368" t="s">
        <v>62</v>
      </c>
      <c r="E368" t="s">
        <v>46</v>
      </c>
      <c r="F368" t="s">
        <v>34</v>
      </c>
      <c r="G368">
        <f>INDEX(Question_Bank!$G$3:$G$14,MATCH(D368,Question_Bank!$A$3:$A$14,0))</f>
        <v>0</v>
      </c>
      <c r="H368">
        <f>IF(F368=G368,1,0)</f>
        <v>0</v>
      </c>
      <c r="I368">
        <f>H368*INDEX(Question_Bank!$M$3:$M$14,MATCH(D368,Question_Bank!$A$3:$A$14,0))</f>
        <v>0</v>
      </c>
      <c r="J368">
        <f>SUMIFS($I$3:$I$566,$A$3:$A$566,A368)</f>
        <v>0</v>
      </c>
      <c r="K368" s="5">
        <f>J368/SUM(Question_Bank!$M$3:$M$14)</f>
        <v>0</v>
      </c>
      <c r="L368" s="5">
        <f>SUMIFS($I$3:$I$566,$A$3:$A$566,A368,$E$3:$E$566,E368)/SUMIFS(Question_Bank!$M$3:$M$14,Question_Bank!$B$3:$B$14,E368)</f>
        <v>0</v>
      </c>
      <c r="M368" t="s">
        <v>194</v>
      </c>
    </row>
    <row r="369" spans="1:13">
      <c r="A369" t="s">
        <v>193</v>
      </c>
      <c r="B369" t="s">
        <v>132</v>
      </c>
      <c r="C369" t="s">
        <v>133</v>
      </c>
      <c r="D369" t="s">
        <v>70</v>
      </c>
      <c r="E369" t="s">
        <v>71</v>
      </c>
      <c r="F369" t="s">
        <v>31</v>
      </c>
      <c r="G369">
        <f>INDEX(Question_Bank!$G$3:$G$14,MATCH(D369,Question_Bank!$A$3:$A$14,0))</f>
        <v>0</v>
      </c>
      <c r="H369">
        <f>IF(F369=G369,1,0)</f>
        <v>0</v>
      </c>
      <c r="I369">
        <f>H369*INDEX(Question_Bank!$M$3:$M$14,MATCH(D369,Question_Bank!$A$3:$A$14,0))</f>
        <v>0</v>
      </c>
      <c r="J369">
        <f>SUMIFS($I$3:$I$566,$A$3:$A$566,A369)</f>
        <v>0</v>
      </c>
      <c r="K369" s="5">
        <f>J369/SUM(Question_Bank!$M$3:$M$14)</f>
        <v>0</v>
      </c>
      <c r="L369" s="5">
        <f>SUMIFS($I$3:$I$566,$A$3:$A$566,A369,$E$3:$E$566,E369)/SUMIFS(Question_Bank!$M$3:$M$14,Question_Bank!$B$3:$B$14,E369)</f>
        <v>0</v>
      </c>
      <c r="M369" t="s">
        <v>194</v>
      </c>
    </row>
    <row r="370" spans="1:13">
      <c r="A370" t="s">
        <v>193</v>
      </c>
      <c r="B370" t="s">
        <v>132</v>
      </c>
      <c r="C370" t="s">
        <v>133</v>
      </c>
      <c r="D370" t="s">
        <v>79</v>
      </c>
      <c r="E370" t="s">
        <v>71</v>
      </c>
      <c r="F370" t="s">
        <v>34</v>
      </c>
      <c r="G370">
        <f>INDEX(Question_Bank!$G$3:$G$14,MATCH(D370,Question_Bank!$A$3:$A$14,0))</f>
        <v>0</v>
      </c>
      <c r="H370">
        <f>IF(F370=G370,1,0)</f>
        <v>0</v>
      </c>
      <c r="I370">
        <f>H370*INDEX(Question_Bank!$M$3:$M$14,MATCH(D370,Question_Bank!$A$3:$A$14,0))</f>
        <v>0</v>
      </c>
      <c r="J370">
        <f>SUMIFS($I$3:$I$566,$A$3:$A$566,A370)</f>
        <v>0</v>
      </c>
      <c r="K370" s="5">
        <f>J370/SUM(Question_Bank!$M$3:$M$14)</f>
        <v>0</v>
      </c>
      <c r="L370" s="5">
        <f>SUMIFS($I$3:$I$566,$A$3:$A$566,A370,$E$3:$E$566,E370)/SUMIFS(Question_Bank!$M$3:$M$14,Question_Bank!$B$3:$B$14,E370)</f>
        <v>0</v>
      </c>
      <c r="M370" t="s">
        <v>194</v>
      </c>
    </row>
    <row r="371" spans="1:13">
      <c r="A371" t="s">
        <v>193</v>
      </c>
      <c r="B371" t="s">
        <v>132</v>
      </c>
      <c r="C371" t="s">
        <v>133</v>
      </c>
      <c r="D371" t="s">
        <v>87</v>
      </c>
      <c r="E371" t="s">
        <v>71</v>
      </c>
      <c r="F371" t="s">
        <v>23</v>
      </c>
      <c r="G371">
        <f>INDEX(Question_Bank!$G$3:$G$14,MATCH(D371,Question_Bank!$A$3:$A$14,0))</f>
        <v>0</v>
      </c>
      <c r="H371">
        <f>IF(F371=G371,1,0)</f>
        <v>0</v>
      </c>
      <c r="I371">
        <f>H371*INDEX(Question_Bank!$M$3:$M$14,MATCH(D371,Question_Bank!$A$3:$A$14,0))</f>
        <v>0</v>
      </c>
      <c r="J371">
        <f>SUMIFS($I$3:$I$566,$A$3:$A$566,A371)</f>
        <v>0</v>
      </c>
      <c r="K371" s="5">
        <f>J371/SUM(Question_Bank!$M$3:$M$14)</f>
        <v>0</v>
      </c>
      <c r="L371" s="5">
        <f>SUMIFS($I$3:$I$566,$A$3:$A$566,A371,$E$3:$E$566,E371)/SUMIFS(Question_Bank!$M$3:$M$14,Question_Bank!$B$3:$B$14,E371)</f>
        <v>0</v>
      </c>
      <c r="M371" t="s">
        <v>194</v>
      </c>
    </row>
    <row r="372" spans="1:13">
      <c r="A372" t="s">
        <v>193</v>
      </c>
      <c r="B372" t="s">
        <v>132</v>
      </c>
      <c r="C372" t="s">
        <v>133</v>
      </c>
      <c r="D372" t="s">
        <v>95</v>
      </c>
      <c r="E372" t="s">
        <v>96</v>
      </c>
      <c r="F372" t="s">
        <v>31</v>
      </c>
      <c r="G372">
        <f>INDEX(Question_Bank!$G$3:$G$14,MATCH(D372,Question_Bank!$A$3:$A$14,0))</f>
        <v>0</v>
      </c>
      <c r="H372">
        <f>IF(F372=G372,1,0)</f>
        <v>0</v>
      </c>
      <c r="I372">
        <f>H372*INDEX(Question_Bank!$M$3:$M$14,MATCH(D372,Question_Bank!$A$3:$A$14,0))</f>
        <v>0</v>
      </c>
      <c r="J372">
        <f>SUMIFS($I$3:$I$566,$A$3:$A$566,A372)</f>
        <v>0</v>
      </c>
      <c r="K372" s="5">
        <f>J372/SUM(Question_Bank!$M$3:$M$14)</f>
        <v>0</v>
      </c>
      <c r="L372" s="5">
        <f>SUMIFS($I$3:$I$566,$A$3:$A$566,A372,$E$3:$E$566,E372)/SUMIFS(Question_Bank!$M$3:$M$14,Question_Bank!$B$3:$B$14,E372)</f>
        <v>0</v>
      </c>
      <c r="M372" t="s">
        <v>194</v>
      </c>
    </row>
    <row r="373" spans="1:13">
      <c r="A373" t="s">
        <v>193</v>
      </c>
      <c r="B373" t="s">
        <v>132</v>
      </c>
      <c r="C373" t="s">
        <v>133</v>
      </c>
      <c r="D373" t="s">
        <v>104</v>
      </c>
      <c r="E373" t="s">
        <v>96</v>
      </c>
      <c r="F373" t="s">
        <v>34</v>
      </c>
      <c r="G373">
        <f>INDEX(Question_Bank!$G$3:$G$14,MATCH(D373,Question_Bank!$A$3:$A$14,0))</f>
        <v>0</v>
      </c>
      <c r="H373">
        <f>IF(F373=G373,1,0)</f>
        <v>0</v>
      </c>
      <c r="I373">
        <f>H373*INDEX(Question_Bank!$M$3:$M$14,MATCH(D373,Question_Bank!$A$3:$A$14,0))</f>
        <v>0</v>
      </c>
      <c r="J373">
        <f>SUMIFS($I$3:$I$566,$A$3:$A$566,A373)</f>
        <v>0</v>
      </c>
      <c r="K373" s="5">
        <f>J373/SUM(Question_Bank!$M$3:$M$14)</f>
        <v>0</v>
      </c>
      <c r="L373" s="5">
        <f>SUMIFS($I$3:$I$566,$A$3:$A$566,A373,$E$3:$E$566,E373)/SUMIFS(Question_Bank!$M$3:$M$14,Question_Bank!$B$3:$B$14,E373)</f>
        <v>0</v>
      </c>
      <c r="M373" t="s">
        <v>194</v>
      </c>
    </row>
    <row r="374" spans="1:13">
      <c r="A374" t="s">
        <v>193</v>
      </c>
      <c r="B374" t="s">
        <v>132</v>
      </c>
      <c r="C374" t="s">
        <v>133</v>
      </c>
      <c r="D374" t="s">
        <v>112</v>
      </c>
      <c r="E374" t="s">
        <v>96</v>
      </c>
      <c r="F374" t="s">
        <v>34</v>
      </c>
      <c r="G374">
        <f>INDEX(Question_Bank!$G$3:$G$14,MATCH(D374,Question_Bank!$A$3:$A$14,0))</f>
        <v>0</v>
      </c>
      <c r="H374">
        <f>IF(F374=G374,1,0)</f>
        <v>0</v>
      </c>
      <c r="I374">
        <f>H374*INDEX(Question_Bank!$M$3:$M$14,MATCH(D374,Question_Bank!$A$3:$A$14,0))</f>
        <v>0</v>
      </c>
      <c r="J374">
        <f>SUMIFS($I$3:$I$566,$A$3:$A$566,A374)</f>
        <v>0</v>
      </c>
      <c r="K374" s="5">
        <f>J374/SUM(Question_Bank!$M$3:$M$14)</f>
        <v>0</v>
      </c>
      <c r="L374" s="5">
        <f>SUMIFS($I$3:$I$566,$A$3:$A$566,A374,$E$3:$E$566,E374)/SUMIFS(Question_Bank!$M$3:$M$14,Question_Bank!$B$3:$B$14,E374)</f>
        <v>0</v>
      </c>
      <c r="M374" t="s">
        <v>194</v>
      </c>
    </row>
    <row r="375" spans="1:13">
      <c r="A375" t="s">
        <v>195</v>
      </c>
      <c r="B375" t="s">
        <v>132</v>
      </c>
      <c r="C375" t="s">
        <v>133</v>
      </c>
      <c r="D375" t="s">
        <v>14</v>
      </c>
      <c r="E375" t="s">
        <v>15</v>
      </c>
      <c r="F375" t="s">
        <v>31</v>
      </c>
      <c r="G375">
        <f>INDEX(Question_Bank!$G$3:$G$14,MATCH(D375,Question_Bank!$A$3:$A$14,0))</f>
        <v>0</v>
      </c>
      <c r="H375">
        <f>IF(F375=G375,1,0)</f>
        <v>0</v>
      </c>
      <c r="I375">
        <f>H375*INDEX(Question_Bank!$M$3:$M$14,MATCH(D375,Question_Bank!$A$3:$A$14,0))</f>
        <v>0</v>
      </c>
      <c r="J375">
        <f>SUMIFS($I$3:$I$566,$A$3:$A$566,A375)</f>
        <v>0</v>
      </c>
      <c r="K375" s="5">
        <f>J375/SUM(Question_Bank!$M$3:$M$14)</f>
        <v>0</v>
      </c>
      <c r="L375" s="5">
        <f>SUMIFS($I$3:$I$566,$A$3:$A$566,A375,$E$3:$E$566,E375)/SUMIFS(Question_Bank!$M$3:$M$14,Question_Bank!$B$3:$B$14,E375)</f>
        <v>0</v>
      </c>
      <c r="M375" t="s">
        <v>196</v>
      </c>
    </row>
    <row r="376" spans="1:13">
      <c r="A376" t="s">
        <v>195</v>
      </c>
      <c r="B376" t="s">
        <v>132</v>
      </c>
      <c r="C376" t="s">
        <v>133</v>
      </c>
      <c r="D376" t="s">
        <v>26</v>
      </c>
      <c r="E376" t="s">
        <v>15</v>
      </c>
      <c r="F376" t="s">
        <v>31</v>
      </c>
      <c r="G376">
        <f>INDEX(Question_Bank!$G$3:$G$14,MATCH(D376,Question_Bank!$A$3:$A$14,0))</f>
        <v>0</v>
      </c>
      <c r="H376">
        <f>IF(F376=G376,1,0)</f>
        <v>0</v>
      </c>
      <c r="I376">
        <f>H376*INDEX(Question_Bank!$M$3:$M$14,MATCH(D376,Question_Bank!$A$3:$A$14,0))</f>
        <v>0</v>
      </c>
      <c r="J376">
        <f>SUMIFS($I$3:$I$566,$A$3:$A$566,A376)</f>
        <v>0</v>
      </c>
      <c r="K376" s="5">
        <f>J376/SUM(Question_Bank!$M$3:$M$14)</f>
        <v>0</v>
      </c>
      <c r="L376" s="5">
        <f>SUMIFS($I$3:$I$566,$A$3:$A$566,A376,$E$3:$E$566,E376)/SUMIFS(Question_Bank!$M$3:$M$14,Question_Bank!$B$3:$B$14,E376)</f>
        <v>0</v>
      </c>
      <c r="M376" t="s">
        <v>196</v>
      </c>
    </row>
    <row r="377" spans="1:13">
      <c r="A377" t="s">
        <v>195</v>
      </c>
      <c r="B377" t="s">
        <v>132</v>
      </c>
      <c r="C377" t="s">
        <v>133</v>
      </c>
      <c r="D377" t="s">
        <v>37</v>
      </c>
      <c r="E377" t="s">
        <v>15</v>
      </c>
      <c r="F377" t="s">
        <v>23</v>
      </c>
      <c r="G377">
        <f>INDEX(Question_Bank!$G$3:$G$14,MATCH(D377,Question_Bank!$A$3:$A$14,0))</f>
        <v>0</v>
      </c>
      <c r="H377">
        <f>IF(F377=G377,1,0)</f>
        <v>0</v>
      </c>
      <c r="I377">
        <f>H377*INDEX(Question_Bank!$M$3:$M$14,MATCH(D377,Question_Bank!$A$3:$A$14,0))</f>
        <v>0</v>
      </c>
      <c r="J377">
        <f>SUMIFS($I$3:$I$566,$A$3:$A$566,A377)</f>
        <v>0</v>
      </c>
      <c r="K377" s="5">
        <f>J377/SUM(Question_Bank!$M$3:$M$14)</f>
        <v>0</v>
      </c>
      <c r="L377" s="5">
        <f>SUMIFS($I$3:$I$566,$A$3:$A$566,A377,$E$3:$E$566,E377)/SUMIFS(Question_Bank!$M$3:$M$14,Question_Bank!$B$3:$B$14,E377)</f>
        <v>0</v>
      </c>
      <c r="M377" t="s">
        <v>196</v>
      </c>
    </row>
    <row r="378" spans="1:13">
      <c r="A378" t="s">
        <v>195</v>
      </c>
      <c r="B378" t="s">
        <v>132</v>
      </c>
      <c r="C378" t="s">
        <v>133</v>
      </c>
      <c r="D378" t="s">
        <v>45</v>
      </c>
      <c r="E378" t="s">
        <v>46</v>
      </c>
      <c r="F378" t="s">
        <v>34</v>
      </c>
      <c r="G378">
        <f>INDEX(Question_Bank!$G$3:$G$14,MATCH(D378,Question_Bank!$A$3:$A$14,0))</f>
        <v>0</v>
      </c>
      <c r="H378">
        <f>IF(F378=G378,1,0)</f>
        <v>0</v>
      </c>
      <c r="I378">
        <f>H378*INDEX(Question_Bank!$M$3:$M$14,MATCH(D378,Question_Bank!$A$3:$A$14,0))</f>
        <v>0</v>
      </c>
      <c r="J378">
        <f>SUMIFS($I$3:$I$566,$A$3:$A$566,A378)</f>
        <v>0</v>
      </c>
      <c r="K378" s="5">
        <f>J378/SUM(Question_Bank!$M$3:$M$14)</f>
        <v>0</v>
      </c>
      <c r="L378" s="5">
        <f>SUMIFS($I$3:$I$566,$A$3:$A$566,A378,$E$3:$E$566,E378)/SUMIFS(Question_Bank!$M$3:$M$14,Question_Bank!$B$3:$B$14,E378)</f>
        <v>0</v>
      </c>
      <c r="M378" t="s">
        <v>196</v>
      </c>
    </row>
    <row r="379" spans="1:13">
      <c r="A379" t="s">
        <v>195</v>
      </c>
      <c r="B379" t="s">
        <v>132</v>
      </c>
      <c r="C379" t="s">
        <v>133</v>
      </c>
      <c r="D379" t="s">
        <v>54</v>
      </c>
      <c r="E379" t="s">
        <v>46</v>
      </c>
      <c r="F379" t="s">
        <v>31</v>
      </c>
      <c r="G379">
        <f>INDEX(Question_Bank!$G$3:$G$14,MATCH(D379,Question_Bank!$A$3:$A$14,0))</f>
        <v>0</v>
      </c>
      <c r="H379">
        <f>IF(F379=G379,1,0)</f>
        <v>0</v>
      </c>
      <c r="I379">
        <f>H379*INDEX(Question_Bank!$M$3:$M$14,MATCH(D379,Question_Bank!$A$3:$A$14,0))</f>
        <v>0</v>
      </c>
      <c r="J379">
        <f>SUMIFS($I$3:$I$566,$A$3:$A$566,A379)</f>
        <v>0</v>
      </c>
      <c r="K379" s="5">
        <f>J379/SUM(Question_Bank!$M$3:$M$14)</f>
        <v>0</v>
      </c>
      <c r="L379" s="5">
        <f>SUMIFS($I$3:$I$566,$A$3:$A$566,A379,$E$3:$E$566,E379)/SUMIFS(Question_Bank!$M$3:$M$14,Question_Bank!$B$3:$B$14,E379)</f>
        <v>0</v>
      </c>
      <c r="M379" t="s">
        <v>196</v>
      </c>
    </row>
    <row r="380" spans="1:13">
      <c r="A380" t="s">
        <v>195</v>
      </c>
      <c r="B380" t="s">
        <v>132</v>
      </c>
      <c r="C380" t="s">
        <v>133</v>
      </c>
      <c r="D380" t="s">
        <v>62</v>
      </c>
      <c r="E380" t="s">
        <v>46</v>
      </c>
      <c r="F380" t="s">
        <v>31</v>
      </c>
      <c r="G380">
        <f>INDEX(Question_Bank!$G$3:$G$14,MATCH(D380,Question_Bank!$A$3:$A$14,0))</f>
        <v>0</v>
      </c>
      <c r="H380">
        <f>IF(F380=G380,1,0)</f>
        <v>0</v>
      </c>
      <c r="I380">
        <f>H380*INDEX(Question_Bank!$M$3:$M$14,MATCH(D380,Question_Bank!$A$3:$A$14,0))</f>
        <v>0</v>
      </c>
      <c r="J380">
        <f>SUMIFS($I$3:$I$566,$A$3:$A$566,A380)</f>
        <v>0</v>
      </c>
      <c r="K380" s="5">
        <f>J380/SUM(Question_Bank!$M$3:$M$14)</f>
        <v>0</v>
      </c>
      <c r="L380" s="5">
        <f>SUMIFS($I$3:$I$566,$A$3:$A$566,A380,$E$3:$E$566,E380)/SUMIFS(Question_Bank!$M$3:$M$14,Question_Bank!$B$3:$B$14,E380)</f>
        <v>0</v>
      </c>
      <c r="M380" t="s">
        <v>196</v>
      </c>
    </row>
    <row r="381" spans="1:13">
      <c r="A381" t="s">
        <v>195</v>
      </c>
      <c r="B381" t="s">
        <v>132</v>
      </c>
      <c r="C381" t="s">
        <v>133</v>
      </c>
      <c r="D381" t="s">
        <v>70</v>
      </c>
      <c r="E381" t="s">
        <v>71</v>
      </c>
      <c r="F381" t="s">
        <v>23</v>
      </c>
      <c r="G381">
        <f>INDEX(Question_Bank!$G$3:$G$14,MATCH(D381,Question_Bank!$A$3:$A$14,0))</f>
        <v>0</v>
      </c>
      <c r="H381">
        <f>IF(F381=G381,1,0)</f>
        <v>0</v>
      </c>
      <c r="I381">
        <f>H381*INDEX(Question_Bank!$M$3:$M$14,MATCH(D381,Question_Bank!$A$3:$A$14,0))</f>
        <v>0</v>
      </c>
      <c r="J381">
        <f>SUMIFS($I$3:$I$566,$A$3:$A$566,A381)</f>
        <v>0</v>
      </c>
      <c r="K381" s="5">
        <f>J381/SUM(Question_Bank!$M$3:$M$14)</f>
        <v>0</v>
      </c>
      <c r="L381" s="5">
        <f>SUMIFS($I$3:$I$566,$A$3:$A$566,A381,$E$3:$E$566,E381)/SUMIFS(Question_Bank!$M$3:$M$14,Question_Bank!$B$3:$B$14,E381)</f>
        <v>0</v>
      </c>
      <c r="M381" t="s">
        <v>196</v>
      </c>
    </row>
    <row r="382" spans="1:13">
      <c r="A382" t="s">
        <v>195</v>
      </c>
      <c r="B382" t="s">
        <v>132</v>
      </c>
      <c r="C382" t="s">
        <v>133</v>
      </c>
      <c r="D382" t="s">
        <v>79</v>
      </c>
      <c r="E382" t="s">
        <v>71</v>
      </c>
      <c r="F382" t="s">
        <v>34</v>
      </c>
      <c r="G382">
        <f>INDEX(Question_Bank!$G$3:$G$14,MATCH(D382,Question_Bank!$A$3:$A$14,0))</f>
        <v>0</v>
      </c>
      <c r="H382">
        <f>IF(F382=G382,1,0)</f>
        <v>0</v>
      </c>
      <c r="I382">
        <f>H382*INDEX(Question_Bank!$M$3:$M$14,MATCH(D382,Question_Bank!$A$3:$A$14,0))</f>
        <v>0</v>
      </c>
      <c r="J382">
        <f>SUMIFS($I$3:$I$566,$A$3:$A$566,A382)</f>
        <v>0</v>
      </c>
      <c r="K382" s="5">
        <f>J382/SUM(Question_Bank!$M$3:$M$14)</f>
        <v>0</v>
      </c>
      <c r="L382" s="5">
        <f>SUMIFS($I$3:$I$566,$A$3:$A$566,A382,$E$3:$E$566,E382)/SUMIFS(Question_Bank!$M$3:$M$14,Question_Bank!$B$3:$B$14,E382)</f>
        <v>0</v>
      </c>
      <c r="M382" t="s">
        <v>196</v>
      </c>
    </row>
    <row r="383" spans="1:13">
      <c r="A383" t="s">
        <v>195</v>
      </c>
      <c r="B383" t="s">
        <v>132</v>
      </c>
      <c r="C383" t="s">
        <v>133</v>
      </c>
      <c r="D383" t="s">
        <v>87</v>
      </c>
      <c r="E383" t="s">
        <v>71</v>
      </c>
      <c r="F383" t="s">
        <v>23</v>
      </c>
      <c r="G383">
        <f>INDEX(Question_Bank!$G$3:$G$14,MATCH(D383,Question_Bank!$A$3:$A$14,0))</f>
        <v>0</v>
      </c>
      <c r="H383">
        <f>IF(F383=G383,1,0)</f>
        <v>0</v>
      </c>
      <c r="I383">
        <f>H383*INDEX(Question_Bank!$M$3:$M$14,MATCH(D383,Question_Bank!$A$3:$A$14,0))</f>
        <v>0</v>
      </c>
      <c r="J383">
        <f>SUMIFS($I$3:$I$566,$A$3:$A$566,A383)</f>
        <v>0</v>
      </c>
      <c r="K383" s="5">
        <f>J383/SUM(Question_Bank!$M$3:$M$14)</f>
        <v>0</v>
      </c>
      <c r="L383" s="5">
        <f>SUMIFS($I$3:$I$566,$A$3:$A$566,A383,$E$3:$E$566,E383)/SUMIFS(Question_Bank!$M$3:$M$14,Question_Bank!$B$3:$B$14,E383)</f>
        <v>0</v>
      </c>
      <c r="M383" t="s">
        <v>196</v>
      </c>
    </row>
    <row r="384" spans="1:13">
      <c r="A384" t="s">
        <v>195</v>
      </c>
      <c r="B384" t="s">
        <v>132</v>
      </c>
      <c r="C384" t="s">
        <v>133</v>
      </c>
      <c r="D384" t="s">
        <v>95</v>
      </c>
      <c r="E384" t="s">
        <v>96</v>
      </c>
      <c r="F384" t="s">
        <v>31</v>
      </c>
      <c r="G384">
        <f>INDEX(Question_Bank!$G$3:$G$14,MATCH(D384,Question_Bank!$A$3:$A$14,0))</f>
        <v>0</v>
      </c>
      <c r="H384">
        <f>IF(F384=G384,1,0)</f>
        <v>0</v>
      </c>
      <c r="I384">
        <f>H384*INDEX(Question_Bank!$M$3:$M$14,MATCH(D384,Question_Bank!$A$3:$A$14,0))</f>
        <v>0</v>
      </c>
      <c r="J384">
        <f>SUMIFS($I$3:$I$566,$A$3:$A$566,A384)</f>
        <v>0</v>
      </c>
      <c r="K384" s="5">
        <f>J384/SUM(Question_Bank!$M$3:$M$14)</f>
        <v>0</v>
      </c>
      <c r="L384" s="5">
        <f>SUMIFS($I$3:$I$566,$A$3:$A$566,A384,$E$3:$E$566,E384)/SUMIFS(Question_Bank!$M$3:$M$14,Question_Bank!$B$3:$B$14,E384)</f>
        <v>0</v>
      </c>
      <c r="M384" t="s">
        <v>196</v>
      </c>
    </row>
    <row r="385" spans="1:13">
      <c r="A385" t="s">
        <v>195</v>
      </c>
      <c r="B385" t="s">
        <v>132</v>
      </c>
      <c r="C385" t="s">
        <v>133</v>
      </c>
      <c r="D385" t="s">
        <v>104</v>
      </c>
      <c r="E385" t="s">
        <v>96</v>
      </c>
      <c r="F385" t="s">
        <v>23</v>
      </c>
      <c r="G385">
        <f>INDEX(Question_Bank!$G$3:$G$14,MATCH(D385,Question_Bank!$A$3:$A$14,0))</f>
        <v>0</v>
      </c>
      <c r="H385">
        <f>IF(F385=G385,1,0)</f>
        <v>0</v>
      </c>
      <c r="I385">
        <f>H385*INDEX(Question_Bank!$M$3:$M$14,MATCH(D385,Question_Bank!$A$3:$A$14,0))</f>
        <v>0</v>
      </c>
      <c r="J385">
        <f>SUMIFS($I$3:$I$566,$A$3:$A$566,A385)</f>
        <v>0</v>
      </c>
      <c r="K385" s="5">
        <f>J385/SUM(Question_Bank!$M$3:$M$14)</f>
        <v>0</v>
      </c>
      <c r="L385" s="5">
        <f>SUMIFS($I$3:$I$566,$A$3:$A$566,A385,$E$3:$E$566,E385)/SUMIFS(Question_Bank!$M$3:$M$14,Question_Bank!$B$3:$B$14,E385)</f>
        <v>0</v>
      </c>
      <c r="M385" t="s">
        <v>196</v>
      </c>
    </row>
    <row r="386" spans="1:13">
      <c r="A386" t="s">
        <v>195</v>
      </c>
      <c r="B386" t="s">
        <v>132</v>
      </c>
      <c r="C386" t="s">
        <v>133</v>
      </c>
      <c r="D386" t="s">
        <v>112</v>
      </c>
      <c r="E386" t="s">
        <v>96</v>
      </c>
      <c r="F386" t="s">
        <v>20</v>
      </c>
      <c r="G386">
        <f>INDEX(Question_Bank!$G$3:$G$14,MATCH(D386,Question_Bank!$A$3:$A$14,0))</f>
        <v>0</v>
      </c>
      <c r="H386">
        <f>IF(F386=G386,1,0)</f>
        <v>0</v>
      </c>
      <c r="I386">
        <f>H386*INDEX(Question_Bank!$M$3:$M$14,MATCH(D386,Question_Bank!$A$3:$A$14,0))</f>
        <v>0</v>
      </c>
      <c r="J386">
        <f>SUMIFS($I$3:$I$566,$A$3:$A$566,A386)</f>
        <v>0</v>
      </c>
      <c r="K386" s="5">
        <f>J386/SUM(Question_Bank!$M$3:$M$14)</f>
        <v>0</v>
      </c>
      <c r="L386" s="5">
        <f>SUMIFS($I$3:$I$566,$A$3:$A$566,A386,$E$3:$E$566,E386)/SUMIFS(Question_Bank!$M$3:$M$14,Question_Bank!$B$3:$B$14,E386)</f>
        <v>0</v>
      </c>
      <c r="M386" t="s">
        <v>196</v>
      </c>
    </row>
    <row r="387" spans="1:13">
      <c r="A387" t="s">
        <v>197</v>
      </c>
      <c r="B387" t="s">
        <v>132</v>
      </c>
      <c r="C387" t="s">
        <v>133</v>
      </c>
      <c r="D387" t="s">
        <v>14</v>
      </c>
      <c r="E387" t="s">
        <v>15</v>
      </c>
      <c r="F387" t="s">
        <v>20</v>
      </c>
      <c r="G387">
        <f>INDEX(Question_Bank!$G$3:$G$14,MATCH(D387,Question_Bank!$A$3:$A$14,0))</f>
        <v>0</v>
      </c>
      <c r="H387">
        <f>IF(F387=G387,1,0)</f>
        <v>0</v>
      </c>
      <c r="I387">
        <f>H387*INDEX(Question_Bank!$M$3:$M$14,MATCH(D387,Question_Bank!$A$3:$A$14,0))</f>
        <v>0</v>
      </c>
      <c r="J387">
        <f>SUMIFS($I$3:$I$566,$A$3:$A$566,A387)</f>
        <v>0</v>
      </c>
      <c r="K387" s="5">
        <f>J387/SUM(Question_Bank!$M$3:$M$14)</f>
        <v>0</v>
      </c>
      <c r="L387" s="5">
        <f>SUMIFS($I$3:$I$566,$A$3:$A$566,A387,$E$3:$E$566,E387)/SUMIFS(Question_Bank!$M$3:$M$14,Question_Bank!$B$3:$B$14,E387)</f>
        <v>0</v>
      </c>
      <c r="M387" t="s">
        <v>198</v>
      </c>
    </row>
    <row r="388" spans="1:13">
      <c r="A388" t="s">
        <v>197</v>
      </c>
      <c r="B388" t="s">
        <v>132</v>
      </c>
      <c r="C388" t="s">
        <v>133</v>
      </c>
      <c r="D388" t="s">
        <v>26</v>
      </c>
      <c r="E388" t="s">
        <v>15</v>
      </c>
      <c r="F388" t="s">
        <v>31</v>
      </c>
      <c r="G388">
        <f>INDEX(Question_Bank!$G$3:$G$14,MATCH(D388,Question_Bank!$A$3:$A$14,0))</f>
        <v>0</v>
      </c>
      <c r="H388">
        <f>IF(F388=G388,1,0)</f>
        <v>0</v>
      </c>
      <c r="I388">
        <f>H388*INDEX(Question_Bank!$M$3:$M$14,MATCH(D388,Question_Bank!$A$3:$A$14,0))</f>
        <v>0</v>
      </c>
      <c r="J388">
        <f>SUMIFS($I$3:$I$566,$A$3:$A$566,A388)</f>
        <v>0</v>
      </c>
      <c r="K388" s="5">
        <f>J388/SUM(Question_Bank!$M$3:$M$14)</f>
        <v>0</v>
      </c>
      <c r="L388" s="5">
        <f>SUMIFS($I$3:$I$566,$A$3:$A$566,A388,$E$3:$E$566,E388)/SUMIFS(Question_Bank!$M$3:$M$14,Question_Bank!$B$3:$B$14,E388)</f>
        <v>0</v>
      </c>
      <c r="M388" t="s">
        <v>198</v>
      </c>
    </row>
    <row r="389" spans="1:13">
      <c r="A389" t="s">
        <v>197</v>
      </c>
      <c r="B389" t="s">
        <v>132</v>
      </c>
      <c r="C389" t="s">
        <v>133</v>
      </c>
      <c r="D389" t="s">
        <v>37</v>
      </c>
      <c r="E389" t="s">
        <v>15</v>
      </c>
      <c r="F389" t="s">
        <v>23</v>
      </c>
      <c r="G389">
        <f>INDEX(Question_Bank!$G$3:$G$14,MATCH(D389,Question_Bank!$A$3:$A$14,0))</f>
        <v>0</v>
      </c>
      <c r="H389">
        <f>IF(F389=G389,1,0)</f>
        <v>0</v>
      </c>
      <c r="I389">
        <f>H389*INDEX(Question_Bank!$M$3:$M$14,MATCH(D389,Question_Bank!$A$3:$A$14,0))</f>
        <v>0</v>
      </c>
      <c r="J389">
        <f>SUMIFS($I$3:$I$566,$A$3:$A$566,A389)</f>
        <v>0</v>
      </c>
      <c r="K389" s="5">
        <f>J389/SUM(Question_Bank!$M$3:$M$14)</f>
        <v>0</v>
      </c>
      <c r="L389" s="5">
        <f>SUMIFS($I$3:$I$566,$A$3:$A$566,A389,$E$3:$E$566,E389)/SUMIFS(Question_Bank!$M$3:$M$14,Question_Bank!$B$3:$B$14,E389)</f>
        <v>0</v>
      </c>
      <c r="M389" t="s">
        <v>198</v>
      </c>
    </row>
    <row r="390" spans="1:13">
      <c r="A390" t="s">
        <v>197</v>
      </c>
      <c r="B390" t="s">
        <v>132</v>
      </c>
      <c r="C390" t="s">
        <v>133</v>
      </c>
      <c r="D390" t="s">
        <v>45</v>
      </c>
      <c r="E390" t="s">
        <v>46</v>
      </c>
      <c r="F390" t="s">
        <v>34</v>
      </c>
      <c r="G390">
        <f>INDEX(Question_Bank!$G$3:$G$14,MATCH(D390,Question_Bank!$A$3:$A$14,0))</f>
        <v>0</v>
      </c>
      <c r="H390">
        <f>IF(F390=G390,1,0)</f>
        <v>0</v>
      </c>
      <c r="I390">
        <f>H390*INDEX(Question_Bank!$M$3:$M$14,MATCH(D390,Question_Bank!$A$3:$A$14,0))</f>
        <v>0</v>
      </c>
      <c r="J390">
        <f>SUMIFS($I$3:$I$566,$A$3:$A$566,A390)</f>
        <v>0</v>
      </c>
      <c r="K390" s="5">
        <f>J390/SUM(Question_Bank!$M$3:$M$14)</f>
        <v>0</v>
      </c>
      <c r="L390" s="5">
        <f>SUMIFS($I$3:$I$566,$A$3:$A$566,A390,$E$3:$E$566,E390)/SUMIFS(Question_Bank!$M$3:$M$14,Question_Bank!$B$3:$B$14,E390)</f>
        <v>0</v>
      </c>
      <c r="M390" t="s">
        <v>198</v>
      </c>
    </row>
    <row r="391" spans="1:13">
      <c r="A391" t="s">
        <v>197</v>
      </c>
      <c r="B391" t="s">
        <v>132</v>
      </c>
      <c r="C391" t="s">
        <v>133</v>
      </c>
      <c r="D391" t="s">
        <v>54</v>
      </c>
      <c r="E391" t="s">
        <v>46</v>
      </c>
      <c r="F391" t="s">
        <v>20</v>
      </c>
      <c r="G391">
        <f>INDEX(Question_Bank!$G$3:$G$14,MATCH(D391,Question_Bank!$A$3:$A$14,0))</f>
        <v>0</v>
      </c>
      <c r="H391">
        <f>IF(F391=G391,1,0)</f>
        <v>0</v>
      </c>
      <c r="I391">
        <f>H391*INDEX(Question_Bank!$M$3:$M$14,MATCH(D391,Question_Bank!$A$3:$A$14,0))</f>
        <v>0</v>
      </c>
      <c r="J391">
        <f>SUMIFS($I$3:$I$566,$A$3:$A$566,A391)</f>
        <v>0</v>
      </c>
      <c r="K391" s="5">
        <f>J391/SUM(Question_Bank!$M$3:$M$14)</f>
        <v>0</v>
      </c>
      <c r="L391" s="5">
        <f>SUMIFS($I$3:$I$566,$A$3:$A$566,A391,$E$3:$E$566,E391)/SUMIFS(Question_Bank!$M$3:$M$14,Question_Bank!$B$3:$B$14,E391)</f>
        <v>0</v>
      </c>
      <c r="M391" t="s">
        <v>198</v>
      </c>
    </row>
    <row r="392" spans="1:13">
      <c r="A392" t="s">
        <v>197</v>
      </c>
      <c r="B392" t="s">
        <v>132</v>
      </c>
      <c r="C392" t="s">
        <v>133</v>
      </c>
      <c r="D392" t="s">
        <v>62</v>
      </c>
      <c r="E392" t="s">
        <v>46</v>
      </c>
      <c r="F392" t="s">
        <v>31</v>
      </c>
      <c r="G392">
        <f>INDEX(Question_Bank!$G$3:$G$14,MATCH(D392,Question_Bank!$A$3:$A$14,0))</f>
        <v>0</v>
      </c>
      <c r="H392">
        <f>IF(F392=G392,1,0)</f>
        <v>0</v>
      </c>
      <c r="I392">
        <f>H392*INDEX(Question_Bank!$M$3:$M$14,MATCH(D392,Question_Bank!$A$3:$A$14,0))</f>
        <v>0</v>
      </c>
      <c r="J392">
        <f>SUMIFS($I$3:$I$566,$A$3:$A$566,A392)</f>
        <v>0</v>
      </c>
      <c r="K392" s="5">
        <f>J392/SUM(Question_Bank!$M$3:$M$14)</f>
        <v>0</v>
      </c>
      <c r="L392" s="5">
        <f>SUMIFS($I$3:$I$566,$A$3:$A$566,A392,$E$3:$E$566,E392)/SUMIFS(Question_Bank!$M$3:$M$14,Question_Bank!$B$3:$B$14,E392)</f>
        <v>0</v>
      </c>
      <c r="M392" t="s">
        <v>198</v>
      </c>
    </row>
    <row r="393" spans="1:13">
      <c r="A393" t="s">
        <v>197</v>
      </c>
      <c r="B393" t="s">
        <v>132</v>
      </c>
      <c r="C393" t="s">
        <v>133</v>
      </c>
      <c r="D393" t="s">
        <v>70</v>
      </c>
      <c r="E393" t="s">
        <v>71</v>
      </c>
      <c r="F393" t="s">
        <v>31</v>
      </c>
      <c r="G393">
        <f>INDEX(Question_Bank!$G$3:$G$14,MATCH(D393,Question_Bank!$A$3:$A$14,0))</f>
        <v>0</v>
      </c>
      <c r="H393">
        <f>IF(F393=G393,1,0)</f>
        <v>0</v>
      </c>
      <c r="I393">
        <f>H393*INDEX(Question_Bank!$M$3:$M$14,MATCH(D393,Question_Bank!$A$3:$A$14,0))</f>
        <v>0</v>
      </c>
      <c r="J393">
        <f>SUMIFS($I$3:$I$566,$A$3:$A$566,A393)</f>
        <v>0</v>
      </c>
      <c r="K393" s="5">
        <f>J393/SUM(Question_Bank!$M$3:$M$14)</f>
        <v>0</v>
      </c>
      <c r="L393" s="5">
        <f>SUMIFS($I$3:$I$566,$A$3:$A$566,A393,$E$3:$E$566,E393)/SUMIFS(Question_Bank!$M$3:$M$14,Question_Bank!$B$3:$B$14,E393)</f>
        <v>0</v>
      </c>
      <c r="M393" t="s">
        <v>198</v>
      </c>
    </row>
    <row r="394" spans="1:13">
      <c r="A394" t="s">
        <v>197</v>
      </c>
      <c r="B394" t="s">
        <v>132</v>
      </c>
      <c r="C394" t="s">
        <v>133</v>
      </c>
      <c r="D394" t="s">
        <v>79</v>
      </c>
      <c r="E394" t="s">
        <v>71</v>
      </c>
      <c r="F394" t="s">
        <v>34</v>
      </c>
      <c r="G394">
        <f>INDEX(Question_Bank!$G$3:$G$14,MATCH(D394,Question_Bank!$A$3:$A$14,0))</f>
        <v>0</v>
      </c>
      <c r="H394">
        <f>IF(F394=G394,1,0)</f>
        <v>0</v>
      </c>
      <c r="I394">
        <f>H394*INDEX(Question_Bank!$M$3:$M$14,MATCH(D394,Question_Bank!$A$3:$A$14,0))</f>
        <v>0</v>
      </c>
      <c r="J394">
        <f>SUMIFS($I$3:$I$566,$A$3:$A$566,A394)</f>
        <v>0</v>
      </c>
      <c r="K394" s="5">
        <f>J394/SUM(Question_Bank!$M$3:$M$14)</f>
        <v>0</v>
      </c>
      <c r="L394" s="5">
        <f>SUMIFS($I$3:$I$566,$A$3:$A$566,A394,$E$3:$E$566,E394)/SUMIFS(Question_Bank!$M$3:$M$14,Question_Bank!$B$3:$B$14,E394)</f>
        <v>0</v>
      </c>
      <c r="M394" t="s">
        <v>198</v>
      </c>
    </row>
    <row r="395" spans="1:13">
      <c r="A395" t="s">
        <v>197</v>
      </c>
      <c r="B395" t="s">
        <v>132</v>
      </c>
      <c r="C395" t="s">
        <v>133</v>
      </c>
      <c r="D395" t="s">
        <v>87</v>
      </c>
      <c r="E395" t="s">
        <v>71</v>
      </c>
      <c r="F395" t="s">
        <v>20</v>
      </c>
      <c r="G395">
        <f>INDEX(Question_Bank!$G$3:$G$14,MATCH(D395,Question_Bank!$A$3:$A$14,0))</f>
        <v>0</v>
      </c>
      <c r="H395">
        <f>IF(F395=G395,1,0)</f>
        <v>0</v>
      </c>
      <c r="I395">
        <f>H395*INDEX(Question_Bank!$M$3:$M$14,MATCH(D395,Question_Bank!$A$3:$A$14,0))</f>
        <v>0</v>
      </c>
      <c r="J395">
        <f>SUMIFS($I$3:$I$566,$A$3:$A$566,A395)</f>
        <v>0</v>
      </c>
      <c r="K395" s="5">
        <f>J395/SUM(Question_Bank!$M$3:$M$14)</f>
        <v>0</v>
      </c>
      <c r="L395" s="5">
        <f>SUMIFS($I$3:$I$566,$A$3:$A$566,A395,$E$3:$E$566,E395)/SUMIFS(Question_Bank!$M$3:$M$14,Question_Bank!$B$3:$B$14,E395)</f>
        <v>0</v>
      </c>
      <c r="M395" t="s">
        <v>198</v>
      </c>
    </row>
    <row r="396" spans="1:13">
      <c r="A396" t="s">
        <v>197</v>
      </c>
      <c r="B396" t="s">
        <v>132</v>
      </c>
      <c r="C396" t="s">
        <v>133</v>
      </c>
      <c r="D396" t="s">
        <v>95</v>
      </c>
      <c r="E396" t="s">
        <v>96</v>
      </c>
      <c r="F396" t="s">
        <v>31</v>
      </c>
      <c r="G396">
        <f>INDEX(Question_Bank!$G$3:$G$14,MATCH(D396,Question_Bank!$A$3:$A$14,0))</f>
        <v>0</v>
      </c>
      <c r="H396">
        <f>IF(F396=G396,1,0)</f>
        <v>0</v>
      </c>
      <c r="I396">
        <f>H396*INDEX(Question_Bank!$M$3:$M$14,MATCH(D396,Question_Bank!$A$3:$A$14,0))</f>
        <v>0</v>
      </c>
      <c r="J396">
        <f>SUMIFS($I$3:$I$566,$A$3:$A$566,A396)</f>
        <v>0</v>
      </c>
      <c r="K396" s="5">
        <f>J396/SUM(Question_Bank!$M$3:$M$14)</f>
        <v>0</v>
      </c>
      <c r="L396" s="5">
        <f>SUMIFS($I$3:$I$566,$A$3:$A$566,A396,$E$3:$E$566,E396)/SUMIFS(Question_Bank!$M$3:$M$14,Question_Bank!$B$3:$B$14,E396)</f>
        <v>0</v>
      </c>
      <c r="M396" t="s">
        <v>198</v>
      </c>
    </row>
    <row r="397" spans="1:13">
      <c r="A397" t="s">
        <v>197</v>
      </c>
      <c r="B397" t="s">
        <v>132</v>
      </c>
      <c r="C397" t="s">
        <v>133</v>
      </c>
      <c r="D397" t="s">
        <v>104</v>
      </c>
      <c r="E397" t="s">
        <v>96</v>
      </c>
      <c r="F397" t="s">
        <v>31</v>
      </c>
      <c r="G397">
        <f>INDEX(Question_Bank!$G$3:$G$14,MATCH(D397,Question_Bank!$A$3:$A$14,0))</f>
        <v>0</v>
      </c>
      <c r="H397">
        <f>IF(F397=G397,1,0)</f>
        <v>0</v>
      </c>
      <c r="I397">
        <f>H397*INDEX(Question_Bank!$M$3:$M$14,MATCH(D397,Question_Bank!$A$3:$A$14,0))</f>
        <v>0</v>
      </c>
      <c r="J397">
        <f>SUMIFS($I$3:$I$566,$A$3:$A$566,A397)</f>
        <v>0</v>
      </c>
      <c r="K397" s="5">
        <f>J397/SUM(Question_Bank!$M$3:$M$14)</f>
        <v>0</v>
      </c>
      <c r="L397" s="5">
        <f>SUMIFS($I$3:$I$566,$A$3:$A$566,A397,$E$3:$E$566,E397)/SUMIFS(Question_Bank!$M$3:$M$14,Question_Bank!$B$3:$B$14,E397)</f>
        <v>0</v>
      </c>
      <c r="M397" t="s">
        <v>198</v>
      </c>
    </row>
    <row r="398" spans="1:13">
      <c r="A398" t="s">
        <v>197</v>
      </c>
      <c r="B398" t="s">
        <v>132</v>
      </c>
      <c r="C398" t="s">
        <v>133</v>
      </c>
      <c r="D398" t="s">
        <v>112</v>
      </c>
      <c r="E398" t="s">
        <v>96</v>
      </c>
      <c r="F398" t="s">
        <v>34</v>
      </c>
      <c r="G398">
        <f>INDEX(Question_Bank!$G$3:$G$14,MATCH(D398,Question_Bank!$A$3:$A$14,0))</f>
        <v>0</v>
      </c>
      <c r="H398">
        <f>IF(F398=G398,1,0)</f>
        <v>0</v>
      </c>
      <c r="I398">
        <f>H398*INDEX(Question_Bank!$M$3:$M$14,MATCH(D398,Question_Bank!$A$3:$A$14,0))</f>
        <v>0</v>
      </c>
      <c r="J398">
        <f>SUMIFS($I$3:$I$566,$A$3:$A$566,A398)</f>
        <v>0</v>
      </c>
      <c r="K398" s="5">
        <f>J398/SUM(Question_Bank!$M$3:$M$14)</f>
        <v>0</v>
      </c>
      <c r="L398" s="5">
        <f>SUMIFS($I$3:$I$566,$A$3:$A$566,A398,$E$3:$E$566,E398)/SUMIFS(Question_Bank!$M$3:$M$14,Question_Bank!$B$3:$B$14,E398)</f>
        <v>0</v>
      </c>
      <c r="M398" t="s">
        <v>198</v>
      </c>
    </row>
    <row r="399" spans="1:13">
      <c r="A399" t="s">
        <v>199</v>
      </c>
      <c r="B399" t="s">
        <v>132</v>
      </c>
      <c r="C399" t="s">
        <v>133</v>
      </c>
      <c r="D399" t="s">
        <v>14</v>
      </c>
      <c r="E399" t="s">
        <v>15</v>
      </c>
      <c r="F399" t="s">
        <v>31</v>
      </c>
      <c r="G399">
        <f>INDEX(Question_Bank!$G$3:$G$14,MATCH(D399,Question_Bank!$A$3:$A$14,0))</f>
        <v>0</v>
      </c>
      <c r="H399">
        <f>IF(F399=G399,1,0)</f>
        <v>0</v>
      </c>
      <c r="I399">
        <f>H399*INDEX(Question_Bank!$M$3:$M$14,MATCH(D399,Question_Bank!$A$3:$A$14,0))</f>
        <v>0</v>
      </c>
      <c r="J399">
        <f>SUMIFS($I$3:$I$566,$A$3:$A$566,A399)</f>
        <v>0</v>
      </c>
      <c r="K399" s="5">
        <f>J399/SUM(Question_Bank!$M$3:$M$14)</f>
        <v>0</v>
      </c>
      <c r="L399" s="5">
        <f>SUMIFS($I$3:$I$566,$A$3:$A$566,A399,$E$3:$E$566,E399)/SUMIFS(Question_Bank!$M$3:$M$14,Question_Bank!$B$3:$B$14,E399)</f>
        <v>0</v>
      </c>
      <c r="M399" t="s">
        <v>200</v>
      </c>
    </row>
    <row r="400" spans="1:13">
      <c r="A400" t="s">
        <v>199</v>
      </c>
      <c r="B400" t="s">
        <v>132</v>
      </c>
      <c r="C400" t="s">
        <v>133</v>
      </c>
      <c r="D400" t="s">
        <v>26</v>
      </c>
      <c r="E400" t="s">
        <v>15</v>
      </c>
      <c r="F400" t="s">
        <v>34</v>
      </c>
      <c r="G400">
        <f>INDEX(Question_Bank!$G$3:$G$14,MATCH(D400,Question_Bank!$A$3:$A$14,0))</f>
        <v>0</v>
      </c>
      <c r="H400">
        <f>IF(F400=G400,1,0)</f>
        <v>0</v>
      </c>
      <c r="I400">
        <f>H400*INDEX(Question_Bank!$M$3:$M$14,MATCH(D400,Question_Bank!$A$3:$A$14,0))</f>
        <v>0</v>
      </c>
      <c r="J400">
        <f>SUMIFS($I$3:$I$566,$A$3:$A$566,A400)</f>
        <v>0</v>
      </c>
      <c r="K400" s="5">
        <f>J400/SUM(Question_Bank!$M$3:$M$14)</f>
        <v>0</v>
      </c>
      <c r="L400" s="5">
        <f>SUMIFS($I$3:$I$566,$A$3:$A$566,A400,$E$3:$E$566,E400)/SUMIFS(Question_Bank!$M$3:$M$14,Question_Bank!$B$3:$B$14,E400)</f>
        <v>0</v>
      </c>
      <c r="M400" t="s">
        <v>200</v>
      </c>
    </row>
    <row r="401" spans="1:13">
      <c r="A401" t="s">
        <v>199</v>
      </c>
      <c r="B401" t="s">
        <v>132</v>
      </c>
      <c r="C401" t="s">
        <v>133</v>
      </c>
      <c r="D401" t="s">
        <v>37</v>
      </c>
      <c r="E401" t="s">
        <v>15</v>
      </c>
      <c r="F401" t="s">
        <v>31</v>
      </c>
      <c r="G401">
        <f>INDEX(Question_Bank!$G$3:$G$14,MATCH(D401,Question_Bank!$A$3:$A$14,0))</f>
        <v>0</v>
      </c>
      <c r="H401">
        <f>IF(F401=G401,1,0)</f>
        <v>0</v>
      </c>
      <c r="I401">
        <f>H401*INDEX(Question_Bank!$M$3:$M$14,MATCH(D401,Question_Bank!$A$3:$A$14,0))</f>
        <v>0</v>
      </c>
      <c r="J401">
        <f>SUMIFS($I$3:$I$566,$A$3:$A$566,A401)</f>
        <v>0</v>
      </c>
      <c r="K401" s="5">
        <f>J401/SUM(Question_Bank!$M$3:$M$14)</f>
        <v>0</v>
      </c>
      <c r="L401" s="5">
        <f>SUMIFS($I$3:$I$566,$A$3:$A$566,A401,$E$3:$E$566,E401)/SUMIFS(Question_Bank!$M$3:$M$14,Question_Bank!$B$3:$B$14,E401)</f>
        <v>0</v>
      </c>
      <c r="M401" t="s">
        <v>200</v>
      </c>
    </row>
    <row r="402" spans="1:13">
      <c r="A402" t="s">
        <v>199</v>
      </c>
      <c r="B402" t="s">
        <v>132</v>
      </c>
      <c r="C402" t="s">
        <v>133</v>
      </c>
      <c r="D402" t="s">
        <v>45</v>
      </c>
      <c r="E402" t="s">
        <v>46</v>
      </c>
      <c r="F402" t="s">
        <v>34</v>
      </c>
      <c r="G402">
        <f>INDEX(Question_Bank!$G$3:$G$14,MATCH(D402,Question_Bank!$A$3:$A$14,0))</f>
        <v>0</v>
      </c>
      <c r="H402">
        <f>IF(F402=G402,1,0)</f>
        <v>0</v>
      </c>
      <c r="I402">
        <f>H402*INDEX(Question_Bank!$M$3:$M$14,MATCH(D402,Question_Bank!$A$3:$A$14,0))</f>
        <v>0</v>
      </c>
      <c r="J402">
        <f>SUMIFS($I$3:$I$566,$A$3:$A$566,A402)</f>
        <v>0</v>
      </c>
      <c r="K402" s="5">
        <f>J402/SUM(Question_Bank!$M$3:$M$14)</f>
        <v>0</v>
      </c>
      <c r="L402" s="5">
        <f>SUMIFS($I$3:$I$566,$A$3:$A$566,A402,$E$3:$E$566,E402)/SUMIFS(Question_Bank!$M$3:$M$14,Question_Bank!$B$3:$B$14,E402)</f>
        <v>0</v>
      </c>
      <c r="M402" t="s">
        <v>200</v>
      </c>
    </row>
    <row r="403" spans="1:13">
      <c r="A403" t="s">
        <v>199</v>
      </c>
      <c r="B403" t="s">
        <v>132</v>
      </c>
      <c r="C403" t="s">
        <v>133</v>
      </c>
      <c r="D403" t="s">
        <v>54</v>
      </c>
      <c r="E403" t="s">
        <v>46</v>
      </c>
      <c r="F403" t="s">
        <v>31</v>
      </c>
      <c r="G403">
        <f>INDEX(Question_Bank!$G$3:$G$14,MATCH(D403,Question_Bank!$A$3:$A$14,0))</f>
        <v>0</v>
      </c>
      <c r="H403">
        <f>IF(F403=G403,1,0)</f>
        <v>0</v>
      </c>
      <c r="I403">
        <f>H403*INDEX(Question_Bank!$M$3:$M$14,MATCH(D403,Question_Bank!$A$3:$A$14,0))</f>
        <v>0</v>
      </c>
      <c r="J403">
        <f>SUMIFS($I$3:$I$566,$A$3:$A$566,A403)</f>
        <v>0</v>
      </c>
      <c r="K403" s="5">
        <f>J403/SUM(Question_Bank!$M$3:$M$14)</f>
        <v>0</v>
      </c>
      <c r="L403" s="5">
        <f>SUMIFS($I$3:$I$566,$A$3:$A$566,A403,$E$3:$E$566,E403)/SUMIFS(Question_Bank!$M$3:$M$14,Question_Bank!$B$3:$B$14,E403)</f>
        <v>0</v>
      </c>
      <c r="M403" t="s">
        <v>200</v>
      </c>
    </row>
    <row r="404" spans="1:13">
      <c r="A404" t="s">
        <v>199</v>
      </c>
      <c r="B404" t="s">
        <v>132</v>
      </c>
      <c r="C404" t="s">
        <v>133</v>
      </c>
      <c r="D404" t="s">
        <v>62</v>
      </c>
      <c r="E404" t="s">
        <v>46</v>
      </c>
      <c r="F404" t="s">
        <v>20</v>
      </c>
      <c r="G404">
        <f>INDEX(Question_Bank!$G$3:$G$14,MATCH(D404,Question_Bank!$A$3:$A$14,0))</f>
        <v>0</v>
      </c>
      <c r="H404">
        <f>IF(F404=G404,1,0)</f>
        <v>0</v>
      </c>
      <c r="I404">
        <f>H404*INDEX(Question_Bank!$M$3:$M$14,MATCH(D404,Question_Bank!$A$3:$A$14,0))</f>
        <v>0</v>
      </c>
      <c r="J404">
        <f>SUMIFS($I$3:$I$566,$A$3:$A$566,A404)</f>
        <v>0</v>
      </c>
      <c r="K404" s="5">
        <f>J404/SUM(Question_Bank!$M$3:$M$14)</f>
        <v>0</v>
      </c>
      <c r="L404" s="5">
        <f>SUMIFS($I$3:$I$566,$A$3:$A$566,A404,$E$3:$E$566,E404)/SUMIFS(Question_Bank!$M$3:$M$14,Question_Bank!$B$3:$B$14,E404)</f>
        <v>0</v>
      </c>
      <c r="M404" t="s">
        <v>200</v>
      </c>
    </row>
    <row r="405" spans="1:13">
      <c r="A405" t="s">
        <v>199</v>
      </c>
      <c r="B405" t="s">
        <v>132</v>
      </c>
      <c r="C405" t="s">
        <v>133</v>
      </c>
      <c r="D405" t="s">
        <v>70</v>
      </c>
      <c r="E405" t="s">
        <v>71</v>
      </c>
      <c r="F405" t="s">
        <v>34</v>
      </c>
      <c r="G405">
        <f>INDEX(Question_Bank!$G$3:$G$14,MATCH(D405,Question_Bank!$A$3:$A$14,0))</f>
        <v>0</v>
      </c>
      <c r="H405">
        <f>IF(F405=G405,1,0)</f>
        <v>0</v>
      </c>
      <c r="I405">
        <f>H405*INDEX(Question_Bank!$M$3:$M$14,MATCH(D405,Question_Bank!$A$3:$A$14,0))</f>
        <v>0</v>
      </c>
      <c r="J405">
        <f>SUMIFS($I$3:$I$566,$A$3:$A$566,A405)</f>
        <v>0</v>
      </c>
      <c r="K405" s="5">
        <f>J405/SUM(Question_Bank!$M$3:$M$14)</f>
        <v>0</v>
      </c>
      <c r="L405" s="5">
        <f>SUMIFS($I$3:$I$566,$A$3:$A$566,A405,$E$3:$E$566,E405)/SUMIFS(Question_Bank!$M$3:$M$14,Question_Bank!$B$3:$B$14,E405)</f>
        <v>0</v>
      </c>
      <c r="M405" t="s">
        <v>200</v>
      </c>
    </row>
    <row r="406" spans="1:13">
      <c r="A406" t="s">
        <v>199</v>
      </c>
      <c r="B406" t="s">
        <v>132</v>
      </c>
      <c r="C406" t="s">
        <v>133</v>
      </c>
      <c r="D406" t="s">
        <v>79</v>
      </c>
      <c r="E406" t="s">
        <v>71</v>
      </c>
      <c r="F406" t="s">
        <v>31</v>
      </c>
      <c r="G406">
        <f>INDEX(Question_Bank!$G$3:$G$14,MATCH(D406,Question_Bank!$A$3:$A$14,0))</f>
        <v>0</v>
      </c>
      <c r="H406">
        <f>IF(F406=G406,1,0)</f>
        <v>0</v>
      </c>
      <c r="I406">
        <f>H406*INDEX(Question_Bank!$M$3:$M$14,MATCH(D406,Question_Bank!$A$3:$A$14,0))</f>
        <v>0</v>
      </c>
      <c r="J406">
        <f>SUMIFS($I$3:$I$566,$A$3:$A$566,A406)</f>
        <v>0</v>
      </c>
      <c r="K406" s="5">
        <f>J406/SUM(Question_Bank!$M$3:$M$14)</f>
        <v>0</v>
      </c>
      <c r="L406" s="5">
        <f>SUMIFS($I$3:$I$566,$A$3:$A$566,A406,$E$3:$E$566,E406)/SUMIFS(Question_Bank!$M$3:$M$14,Question_Bank!$B$3:$B$14,E406)</f>
        <v>0</v>
      </c>
      <c r="M406" t="s">
        <v>200</v>
      </c>
    </row>
    <row r="407" spans="1:13">
      <c r="A407" t="s">
        <v>199</v>
      </c>
      <c r="B407" t="s">
        <v>132</v>
      </c>
      <c r="C407" t="s">
        <v>133</v>
      </c>
      <c r="D407" t="s">
        <v>87</v>
      </c>
      <c r="E407" t="s">
        <v>71</v>
      </c>
      <c r="F407" t="s">
        <v>20</v>
      </c>
      <c r="G407">
        <f>INDEX(Question_Bank!$G$3:$G$14,MATCH(D407,Question_Bank!$A$3:$A$14,0))</f>
        <v>0</v>
      </c>
      <c r="H407">
        <f>IF(F407=G407,1,0)</f>
        <v>0</v>
      </c>
      <c r="I407">
        <f>H407*INDEX(Question_Bank!$M$3:$M$14,MATCH(D407,Question_Bank!$A$3:$A$14,0))</f>
        <v>0</v>
      </c>
      <c r="J407">
        <f>SUMIFS($I$3:$I$566,$A$3:$A$566,A407)</f>
        <v>0</v>
      </c>
      <c r="K407" s="5">
        <f>J407/SUM(Question_Bank!$M$3:$M$14)</f>
        <v>0</v>
      </c>
      <c r="L407" s="5">
        <f>SUMIFS($I$3:$I$566,$A$3:$A$566,A407,$E$3:$E$566,E407)/SUMIFS(Question_Bank!$M$3:$M$14,Question_Bank!$B$3:$B$14,E407)</f>
        <v>0</v>
      </c>
      <c r="M407" t="s">
        <v>200</v>
      </c>
    </row>
    <row r="408" spans="1:13">
      <c r="A408" t="s">
        <v>199</v>
      </c>
      <c r="B408" t="s">
        <v>132</v>
      </c>
      <c r="C408" t="s">
        <v>133</v>
      </c>
      <c r="D408" t="s">
        <v>95</v>
      </c>
      <c r="E408" t="s">
        <v>96</v>
      </c>
      <c r="F408" t="s">
        <v>34</v>
      </c>
      <c r="G408">
        <f>INDEX(Question_Bank!$G$3:$G$14,MATCH(D408,Question_Bank!$A$3:$A$14,0))</f>
        <v>0</v>
      </c>
      <c r="H408">
        <f>IF(F408=G408,1,0)</f>
        <v>0</v>
      </c>
      <c r="I408">
        <f>H408*INDEX(Question_Bank!$M$3:$M$14,MATCH(D408,Question_Bank!$A$3:$A$14,0))</f>
        <v>0</v>
      </c>
      <c r="J408">
        <f>SUMIFS($I$3:$I$566,$A$3:$A$566,A408)</f>
        <v>0</v>
      </c>
      <c r="K408" s="5">
        <f>J408/SUM(Question_Bank!$M$3:$M$14)</f>
        <v>0</v>
      </c>
      <c r="L408" s="5">
        <f>SUMIFS($I$3:$I$566,$A$3:$A$566,A408,$E$3:$E$566,E408)/SUMIFS(Question_Bank!$M$3:$M$14,Question_Bank!$B$3:$B$14,E408)</f>
        <v>0</v>
      </c>
      <c r="M408" t="s">
        <v>200</v>
      </c>
    </row>
    <row r="409" spans="1:13">
      <c r="A409" t="s">
        <v>199</v>
      </c>
      <c r="B409" t="s">
        <v>132</v>
      </c>
      <c r="C409" t="s">
        <v>133</v>
      </c>
      <c r="D409" t="s">
        <v>104</v>
      </c>
      <c r="E409" t="s">
        <v>96</v>
      </c>
      <c r="F409" t="s">
        <v>20</v>
      </c>
      <c r="G409">
        <f>INDEX(Question_Bank!$G$3:$G$14,MATCH(D409,Question_Bank!$A$3:$A$14,0))</f>
        <v>0</v>
      </c>
      <c r="H409">
        <f>IF(F409=G409,1,0)</f>
        <v>0</v>
      </c>
      <c r="I409">
        <f>H409*INDEX(Question_Bank!$M$3:$M$14,MATCH(D409,Question_Bank!$A$3:$A$14,0))</f>
        <v>0</v>
      </c>
      <c r="J409">
        <f>SUMIFS($I$3:$I$566,$A$3:$A$566,A409)</f>
        <v>0</v>
      </c>
      <c r="K409" s="5">
        <f>J409/SUM(Question_Bank!$M$3:$M$14)</f>
        <v>0</v>
      </c>
      <c r="L409" s="5">
        <f>SUMIFS($I$3:$I$566,$A$3:$A$566,A409,$E$3:$E$566,E409)/SUMIFS(Question_Bank!$M$3:$M$14,Question_Bank!$B$3:$B$14,E409)</f>
        <v>0</v>
      </c>
      <c r="M409" t="s">
        <v>200</v>
      </c>
    </row>
    <row r="410" spans="1:13">
      <c r="A410" t="s">
        <v>199</v>
      </c>
      <c r="B410" t="s">
        <v>132</v>
      </c>
      <c r="C410" t="s">
        <v>133</v>
      </c>
      <c r="D410" t="s">
        <v>112</v>
      </c>
      <c r="E410" t="s">
        <v>96</v>
      </c>
      <c r="F410" t="s">
        <v>20</v>
      </c>
      <c r="G410">
        <f>INDEX(Question_Bank!$G$3:$G$14,MATCH(D410,Question_Bank!$A$3:$A$14,0))</f>
        <v>0</v>
      </c>
      <c r="H410">
        <f>IF(F410=G410,1,0)</f>
        <v>0</v>
      </c>
      <c r="I410">
        <f>H410*INDEX(Question_Bank!$M$3:$M$14,MATCH(D410,Question_Bank!$A$3:$A$14,0))</f>
        <v>0</v>
      </c>
      <c r="J410">
        <f>SUMIFS($I$3:$I$566,$A$3:$A$566,A410)</f>
        <v>0</v>
      </c>
      <c r="K410" s="5">
        <f>J410/SUM(Question_Bank!$M$3:$M$14)</f>
        <v>0</v>
      </c>
      <c r="L410" s="5">
        <f>SUMIFS($I$3:$I$566,$A$3:$A$566,A410,$E$3:$E$566,E410)/SUMIFS(Question_Bank!$M$3:$M$14,Question_Bank!$B$3:$B$14,E410)</f>
        <v>0</v>
      </c>
      <c r="M410" t="s">
        <v>200</v>
      </c>
    </row>
    <row r="411" spans="1:13">
      <c r="A411" t="s">
        <v>201</v>
      </c>
      <c r="B411" t="s">
        <v>132</v>
      </c>
      <c r="C411" t="s">
        <v>133</v>
      </c>
      <c r="D411" t="s">
        <v>14</v>
      </c>
      <c r="E411" t="s">
        <v>15</v>
      </c>
      <c r="F411" t="s">
        <v>31</v>
      </c>
      <c r="G411">
        <f>INDEX(Question_Bank!$G$3:$G$14,MATCH(D411,Question_Bank!$A$3:$A$14,0))</f>
        <v>0</v>
      </c>
      <c r="H411">
        <f>IF(F411=G411,1,0)</f>
        <v>0</v>
      </c>
      <c r="I411">
        <f>H411*INDEX(Question_Bank!$M$3:$M$14,MATCH(D411,Question_Bank!$A$3:$A$14,0))</f>
        <v>0</v>
      </c>
      <c r="J411">
        <f>SUMIFS($I$3:$I$566,$A$3:$A$566,A411)</f>
        <v>0</v>
      </c>
      <c r="K411" s="5">
        <f>J411/SUM(Question_Bank!$M$3:$M$14)</f>
        <v>0</v>
      </c>
      <c r="L411" s="5">
        <f>SUMIFS($I$3:$I$566,$A$3:$A$566,A411,$E$3:$E$566,E411)/SUMIFS(Question_Bank!$M$3:$M$14,Question_Bank!$B$3:$B$14,E411)</f>
        <v>0</v>
      </c>
      <c r="M411" t="s">
        <v>202</v>
      </c>
    </row>
    <row r="412" spans="1:13">
      <c r="A412" t="s">
        <v>201</v>
      </c>
      <c r="B412" t="s">
        <v>132</v>
      </c>
      <c r="C412" t="s">
        <v>133</v>
      </c>
      <c r="D412" t="s">
        <v>26</v>
      </c>
      <c r="E412" t="s">
        <v>15</v>
      </c>
      <c r="F412" t="s">
        <v>20</v>
      </c>
      <c r="G412">
        <f>INDEX(Question_Bank!$G$3:$G$14,MATCH(D412,Question_Bank!$A$3:$A$14,0))</f>
        <v>0</v>
      </c>
      <c r="H412">
        <f>IF(F412=G412,1,0)</f>
        <v>0</v>
      </c>
      <c r="I412">
        <f>H412*INDEX(Question_Bank!$M$3:$M$14,MATCH(D412,Question_Bank!$A$3:$A$14,0))</f>
        <v>0</v>
      </c>
      <c r="J412">
        <f>SUMIFS($I$3:$I$566,$A$3:$A$566,A412)</f>
        <v>0</v>
      </c>
      <c r="K412" s="5">
        <f>J412/SUM(Question_Bank!$M$3:$M$14)</f>
        <v>0</v>
      </c>
      <c r="L412" s="5">
        <f>SUMIFS($I$3:$I$566,$A$3:$A$566,A412,$E$3:$E$566,E412)/SUMIFS(Question_Bank!$M$3:$M$14,Question_Bank!$B$3:$B$14,E412)</f>
        <v>0</v>
      </c>
      <c r="M412" t="s">
        <v>202</v>
      </c>
    </row>
    <row r="413" spans="1:13">
      <c r="A413" t="s">
        <v>201</v>
      </c>
      <c r="B413" t="s">
        <v>132</v>
      </c>
      <c r="C413" t="s">
        <v>133</v>
      </c>
      <c r="D413" t="s">
        <v>37</v>
      </c>
      <c r="E413" t="s">
        <v>15</v>
      </c>
      <c r="F413" t="s">
        <v>31</v>
      </c>
      <c r="G413">
        <f>INDEX(Question_Bank!$G$3:$G$14,MATCH(D413,Question_Bank!$A$3:$A$14,0))</f>
        <v>0</v>
      </c>
      <c r="H413">
        <f>IF(F413=G413,1,0)</f>
        <v>0</v>
      </c>
      <c r="I413">
        <f>H413*INDEX(Question_Bank!$M$3:$M$14,MATCH(D413,Question_Bank!$A$3:$A$14,0))</f>
        <v>0</v>
      </c>
      <c r="J413">
        <f>SUMIFS($I$3:$I$566,$A$3:$A$566,A413)</f>
        <v>0</v>
      </c>
      <c r="K413" s="5">
        <f>J413/SUM(Question_Bank!$M$3:$M$14)</f>
        <v>0</v>
      </c>
      <c r="L413" s="5">
        <f>SUMIFS($I$3:$I$566,$A$3:$A$566,A413,$E$3:$E$566,E413)/SUMIFS(Question_Bank!$M$3:$M$14,Question_Bank!$B$3:$B$14,E413)</f>
        <v>0</v>
      </c>
      <c r="M413" t="s">
        <v>202</v>
      </c>
    </row>
    <row r="414" spans="1:13">
      <c r="A414" t="s">
        <v>201</v>
      </c>
      <c r="B414" t="s">
        <v>132</v>
      </c>
      <c r="C414" t="s">
        <v>133</v>
      </c>
      <c r="D414" t="s">
        <v>45</v>
      </c>
      <c r="E414" t="s">
        <v>46</v>
      </c>
      <c r="F414" t="s">
        <v>20</v>
      </c>
      <c r="G414">
        <f>INDEX(Question_Bank!$G$3:$G$14,MATCH(D414,Question_Bank!$A$3:$A$14,0))</f>
        <v>0</v>
      </c>
      <c r="H414">
        <f>IF(F414=G414,1,0)</f>
        <v>0</v>
      </c>
      <c r="I414">
        <f>H414*INDEX(Question_Bank!$M$3:$M$14,MATCH(D414,Question_Bank!$A$3:$A$14,0))</f>
        <v>0</v>
      </c>
      <c r="J414">
        <f>SUMIFS($I$3:$I$566,$A$3:$A$566,A414)</f>
        <v>0</v>
      </c>
      <c r="K414" s="5">
        <f>J414/SUM(Question_Bank!$M$3:$M$14)</f>
        <v>0</v>
      </c>
      <c r="L414" s="5">
        <f>SUMIFS($I$3:$I$566,$A$3:$A$566,A414,$E$3:$E$566,E414)/SUMIFS(Question_Bank!$M$3:$M$14,Question_Bank!$B$3:$B$14,E414)</f>
        <v>0</v>
      </c>
      <c r="M414" t="s">
        <v>202</v>
      </c>
    </row>
    <row r="415" spans="1:13">
      <c r="A415" t="s">
        <v>201</v>
      </c>
      <c r="B415" t="s">
        <v>132</v>
      </c>
      <c r="C415" t="s">
        <v>133</v>
      </c>
      <c r="D415" t="s">
        <v>54</v>
      </c>
      <c r="E415" t="s">
        <v>46</v>
      </c>
      <c r="F415" t="s">
        <v>31</v>
      </c>
      <c r="G415">
        <f>INDEX(Question_Bank!$G$3:$G$14,MATCH(D415,Question_Bank!$A$3:$A$14,0))</f>
        <v>0</v>
      </c>
      <c r="H415">
        <f>IF(F415=G415,1,0)</f>
        <v>0</v>
      </c>
      <c r="I415">
        <f>H415*INDEX(Question_Bank!$M$3:$M$14,MATCH(D415,Question_Bank!$A$3:$A$14,0))</f>
        <v>0</v>
      </c>
      <c r="J415">
        <f>SUMIFS($I$3:$I$566,$A$3:$A$566,A415)</f>
        <v>0</v>
      </c>
      <c r="K415" s="5">
        <f>J415/SUM(Question_Bank!$M$3:$M$14)</f>
        <v>0</v>
      </c>
      <c r="L415" s="5">
        <f>SUMIFS($I$3:$I$566,$A$3:$A$566,A415,$E$3:$E$566,E415)/SUMIFS(Question_Bank!$M$3:$M$14,Question_Bank!$B$3:$B$14,E415)</f>
        <v>0</v>
      </c>
      <c r="M415" t="s">
        <v>202</v>
      </c>
    </row>
    <row r="416" spans="1:13">
      <c r="A416" t="s">
        <v>201</v>
      </c>
      <c r="B416" t="s">
        <v>132</v>
      </c>
      <c r="C416" t="s">
        <v>133</v>
      </c>
      <c r="D416" t="s">
        <v>62</v>
      </c>
      <c r="E416" t="s">
        <v>46</v>
      </c>
      <c r="F416" t="s">
        <v>31</v>
      </c>
      <c r="G416">
        <f>INDEX(Question_Bank!$G$3:$G$14,MATCH(D416,Question_Bank!$A$3:$A$14,0))</f>
        <v>0</v>
      </c>
      <c r="H416">
        <f>IF(F416=G416,1,0)</f>
        <v>0</v>
      </c>
      <c r="I416">
        <f>H416*INDEX(Question_Bank!$M$3:$M$14,MATCH(D416,Question_Bank!$A$3:$A$14,0))</f>
        <v>0</v>
      </c>
      <c r="J416">
        <f>SUMIFS($I$3:$I$566,$A$3:$A$566,A416)</f>
        <v>0</v>
      </c>
      <c r="K416" s="5">
        <f>J416/SUM(Question_Bank!$M$3:$M$14)</f>
        <v>0</v>
      </c>
      <c r="L416" s="5">
        <f>SUMIFS($I$3:$I$566,$A$3:$A$566,A416,$E$3:$E$566,E416)/SUMIFS(Question_Bank!$M$3:$M$14,Question_Bank!$B$3:$B$14,E416)</f>
        <v>0</v>
      </c>
      <c r="M416" t="s">
        <v>202</v>
      </c>
    </row>
    <row r="417" spans="1:13">
      <c r="A417" t="s">
        <v>201</v>
      </c>
      <c r="B417" t="s">
        <v>132</v>
      </c>
      <c r="C417" t="s">
        <v>133</v>
      </c>
      <c r="D417" t="s">
        <v>70</v>
      </c>
      <c r="E417" t="s">
        <v>71</v>
      </c>
      <c r="F417" t="s">
        <v>20</v>
      </c>
      <c r="G417">
        <f>INDEX(Question_Bank!$G$3:$G$14,MATCH(D417,Question_Bank!$A$3:$A$14,0))</f>
        <v>0</v>
      </c>
      <c r="H417">
        <f>IF(F417=G417,1,0)</f>
        <v>0</v>
      </c>
      <c r="I417">
        <f>H417*INDEX(Question_Bank!$M$3:$M$14,MATCH(D417,Question_Bank!$A$3:$A$14,0))</f>
        <v>0</v>
      </c>
      <c r="J417">
        <f>SUMIFS($I$3:$I$566,$A$3:$A$566,A417)</f>
        <v>0</v>
      </c>
      <c r="K417" s="5">
        <f>J417/SUM(Question_Bank!$M$3:$M$14)</f>
        <v>0</v>
      </c>
      <c r="L417" s="5">
        <f>SUMIFS($I$3:$I$566,$A$3:$A$566,A417,$E$3:$E$566,E417)/SUMIFS(Question_Bank!$M$3:$M$14,Question_Bank!$B$3:$B$14,E417)</f>
        <v>0</v>
      </c>
      <c r="M417" t="s">
        <v>202</v>
      </c>
    </row>
    <row r="418" spans="1:13">
      <c r="A418" t="s">
        <v>201</v>
      </c>
      <c r="B418" t="s">
        <v>132</v>
      </c>
      <c r="C418" t="s">
        <v>133</v>
      </c>
      <c r="D418" t="s">
        <v>79</v>
      </c>
      <c r="E418" t="s">
        <v>71</v>
      </c>
      <c r="F418" t="s">
        <v>31</v>
      </c>
      <c r="G418">
        <f>INDEX(Question_Bank!$G$3:$G$14,MATCH(D418,Question_Bank!$A$3:$A$14,0))</f>
        <v>0</v>
      </c>
      <c r="H418">
        <f>IF(F418=G418,1,0)</f>
        <v>0</v>
      </c>
      <c r="I418">
        <f>H418*INDEX(Question_Bank!$M$3:$M$14,MATCH(D418,Question_Bank!$A$3:$A$14,0))</f>
        <v>0</v>
      </c>
      <c r="J418">
        <f>SUMIFS($I$3:$I$566,$A$3:$A$566,A418)</f>
        <v>0</v>
      </c>
      <c r="K418" s="5">
        <f>J418/SUM(Question_Bank!$M$3:$M$14)</f>
        <v>0</v>
      </c>
      <c r="L418" s="5">
        <f>SUMIFS($I$3:$I$566,$A$3:$A$566,A418,$E$3:$E$566,E418)/SUMIFS(Question_Bank!$M$3:$M$14,Question_Bank!$B$3:$B$14,E418)</f>
        <v>0</v>
      </c>
      <c r="M418" t="s">
        <v>202</v>
      </c>
    </row>
    <row r="419" spans="1:13">
      <c r="A419" t="s">
        <v>201</v>
      </c>
      <c r="B419" t="s">
        <v>132</v>
      </c>
      <c r="C419" t="s">
        <v>133</v>
      </c>
      <c r="D419" t="s">
        <v>87</v>
      </c>
      <c r="E419" t="s">
        <v>71</v>
      </c>
      <c r="F419" t="s">
        <v>20</v>
      </c>
      <c r="G419">
        <f>INDEX(Question_Bank!$G$3:$G$14,MATCH(D419,Question_Bank!$A$3:$A$14,0))</f>
        <v>0</v>
      </c>
      <c r="H419">
        <f>IF(F419=G419,1,0)</f>
        <v>0</v>
      </c>
      <c r="I419">
        <f>H419*INDEX(Question_Bank!$M$3:$M$14,MATCH(D419,Question_Bank!$A$3:$A$14,0))</f>
        <v>0</v>
      </c>
      <c r="J419">
        <f>SUMIFS($I$3:$I$566,$A$3:$A$566,A419)</f>
        <v>0</v>
      </c>
      <c r="K419" s="5">
        <f>J419/SUM(Question_Bank!$M$3:$M$14)</f>
        <v>0</v>
      </c>
      <c r="L419" s="5">
        <f>SUMIFS($I$3:$I$566,$A$3:$A$566,A419,$E$3:$E$566,E419)/SUMIFS(Question_Bank!$M$3:$M$14,Question_Bank!$B$3:$B$14,E419)</f>
        <v>0</v>
      </c>
      <c r="M419" t="s">
        <v>202</v>
      </c>
    </row>
    <row r="420" spans="1:13">
      <c r="A420" t="s">
        <v>201</v>
      </c>
      <c r="B420" t="s">
        <v>132</v>
      </c>
      <c r="C420" t="s">
        <v>133</v>
      </c>
      <c r="D420" t="s">
        <v>95</v>
      </c>
      <c r="E420" t="s">
        <v>96</v>
      </c>
      <c r="F420" t="s">
        <v>23</v>
      </c>
      <c r="G420">
        <f>INDEX(Question_Bank!$G$3:$G$14,MATCH(D420,Question_Bank!$A$3:$A$14,0))</f>
        <v>0</v>
      </c>
      <c r="H420">
        <f>IF(F420=G420,1,0)</f>
        <v>0</v>
      </c>
      <c r="I420">
        <f>H420*INDEX(Question_Bank!$M$3:$M$14,MATCH(D420,Question_Bank!$A$3:$A$14,0))</f>
        <v>0</v>
      </c>
      <c r="J420">
        <f>SUMIFS($I$3:$I$566,$A$3:$A$566,A420)</f>
        <v>0</v>
      </c>
      <c r="K420" s="5">
        <f>J420/SUM(Question_Bank!$M$3:$M$14)</f>
        <v>0</v>
      </c>
      <c r="L420" s="5">
        <f>SUMIFS($I$3:$I$566,$A$3:$A$566,A420,$E$3:$E$566,E420)/SUMIFS(Question_Bank!$M$3:$M$14,Question_Bank!$B$3:$B$14,E420)</f>
        <v>0</v>
      </c>
      <c r="M420" t="s">
        <v>202</v>
      </c>
    </row>
    <row r="421" spans="1:13">
      <c r="A421" t="s">
        <v>201</v>
      </c>
      <c r="B421" t="s">
        <v>132</v>
      </c>
      <c r="C421" t="s">
        <v>133</v>
      </c>
      <c r="D421" t="s">
        <v>104</v>
      </c>
      <c r="E421" t="s">
        <v>96</v>
      </c>
      <c r="F421" t="s">
        <v>20</v>
      </c>
      <c r="G421">
        <f>INDEX(Question_Bank!$G$3:$G$14,MATCH(D421,Question_Bank!$A$3:$A$14,0))</f>
        <v>0</v>
      </c>
      <c r="H421">
        <f>IF(F421=G421,1,0)</f>
        <v>0</v>
      </c>
      <c r="I421">
        <f>H421*INDEX(Question_Bank!$M$3:$M$14,MATCH(D421,Question_Bank!$A$3:$A$14,0))</f>
        <v>0</v>
      </c>
      <c r="J421">
        <f>SUMIFS($I$3:$I$566,$A$3:$A$566,A421)</f>
        <v>0</v>
      </c>
      <c r="K421" s="5">
        <f>J421/SUM(Question_Bank!$M$3:$M$14)</f>
        <v>0</v>
      </c>
      <c r="L421" s="5">
        <f>SUMIFS($I$3:$I$566,$A$3:$A$566,A421,$E$3:$E$566,E421)/SUMIFS(Question_Bank!$M$3:$M$14,Question_Bank!$B$3:$B$14,E421)</f>
        <v>0</v>
      </c>
      <c r="M421" t="s">
        <v>202</v>
      </c>
    </row>
    <row r="422" spans="1:13">
      <c r="A422" t="s">
        <v>201</v>
      </c>
      <c r="B422" t="s">
        <v>132</v>
      </c>
      <c r="C422" t="s">
        <v>133</v>
      </c>
      <c r="D422" t="s">
        <v>112</v>
      </c>
      <c r="E422" t="s">
        <v>96</v>
      </c>
      <c r="F422" t="s">
        <v>23</v>
      </c>
      <c r="G422">
        <f>INDEX(Question_Bank!$G$3:$G$14,MATCH(D422,Question_Bank!$A$3:$A$14,0))</f>
        <v>0</v>
      </c>
      <c r="H422">
        <f>IF(F422=G422,1,0)</f>
        <v>0</v>
      </c>
      <c r="I422">
        <f>H422*INDEX(Question_Bank!$M$3:$M$14,MATCH(D422,Question_Bank!$A$3:$A$14,0))</f>
        <v>0</v>
      </c>
      <c r="J422">
        <f>SUMIFS($I$3:$I$566,$A$3:$A$566,A422)</f>
        <v>0</v>
      </c>
      <c r="K422" s="5">
        <f>J422/SUM(Question_Bank!$M$3:$M$14)</f>
        <v>0</v>
      </c>
      <c r="L422" s="5">
        <f>SUMIFS($I$3:$I$566,$A$3:$A$566,A422,$E$3:$E$566,E422)/SUMIFS(Question_Bank!$M$3:$M$14,Question_Bank!$B$3:$B$14,E422)</f>
        <v>0</v>
      </c>
      <c r="M422" t="s">
        <v>202</v>
      </c>
    </row>
    <row r="423" spans="1:13">
      <c r="A423" t="s">
        <v>203</v>
      </c>
      <c r="B423" t="s">
        <v>132</v>
      </c>
      <c r="C423" t="s">
        <v>133</v>
      </c>
      <c r="D423" t="s">
        <v>14</v>
      </c>
      <c r="E423" t="s">
        <v>15</v>
      </c>
      <c r="F423" t="s">
        <v>20</v>
      </c>
      <c r="G423">
        <f>INDEX(Question_Bank!$G$3:$G$14,MATCH(D423,Question_Bank!$A$3:$A$14,0))</f>
        <v>0</v>
      </c>
      <c r="H423">
        <f>IF(F423=G423,1,0)</f>
        <v>0</v>
      </c>
      <c r="I423">
        <f>H423*INDEX(Question_Bank!$M$3:$M$14,MATCH(D423,Question_Bank!$A$3:$A$14,0))</f>
        <v>0</v>
      </c>
      <c r="J423">
        <f>SUMIFS($I$3:$I$566,$A$3:$A$566,A423)</f>
        <v>0</v>
      </c>
      <c r="K423" s="5">
        <f>J423/SUM(Question_Bank!$M$3:$M$14)</f>
        <v>0</v>
      </c>
      <c r="L423" s="5">
        <f>SUMIFS($I$3:$I$566,$A$3:$A$566,A423,$E$3:$E$566,E423)/SUMIFS(Question_Bank!$M$3:$M$14,Question_Bank!$B$3:$B$14,E423)</f>
        <v>0</v>
      </c>
      <c r="M423" t="s">
        <v>204</v>
      </c>
    </row>
    <row r="424" spans="1:13">
      <c r="A424" t="s">
        <v>203</v>
      </c>
      <c r="B424" t="s">
        <v>132</v>
      </c>
      <c r="C424" t="s">
        <v>133</v>
      </c>
      <c r="D424" t="s">
        <v>26</v>
      </c>
      <c r="E424" t="s">
        <v>15</v>
      </c>
      <c r="F424" t="s">
        <v>31</v>
      </c>
      <c r="G424">
        <f>INDEX(Question_Bank!$G$3:$G$14,MATCH(D424,Question_Bank!$A$3:$A$14,0))</f>
        <v>0</v>
      </c>
      <c r="H424">
        <f>IF(F424=G424,1,0)</f>
        <v>0</v>
      </c>
      <c r="I424">
        <f>H424*INDEX(Question_Bank!$M$3:$M$14,MATCH(D424,Question_Bank!$A$3:$A$14,0))</f>
        <v>0</v>
      </c>
      <c r="J424">
        <f>SUMIFS($I$3:$I$566,$A$3:$A$566,A424)</f>
        <v>0</v>
      </c>
      <c r="K424" s="5">
        <f>J424/SUM(Question_Bank!$M$3:$M$14)</f>
        <v>0</v>
      </c>
      <c r="L424" s="5">
        <f>SUMIFS($I$3:$I$566,$A$3:$A$566,A424,$E$3:$E$566,E424)/SUMIFS(Question_Bank!$M$3:$M$14,Question_Bank!$B$3:$B$14,E424)</f>
        <v>0</v>
      </c>
      <c r="M424" t="s">
        <v>204</v>
      </c>
    </row>
    <row r="425" spans="1:13">
      <c r="A425" t="s">
        <v>203</v>
      </c>
      <c r="B425" t="s">
        <v>132</v>
      </c>
      <c r="C425" t="s">
        <v>133</v>
      </c>
      <c r="D425" t="s">
        <v>37</v>
      </c>
      <c r="E425" t="s">
        <v>15</v>
      </c>
      <c r="F425" t="s">
        <v>23</v>
      </c>
      <c r="G425">
        <f>INDEX(Question_Bank!$G$3:$G$14,MATCH(D425,Question_Bank!$A$3:$A$14,0))</f>
        <v>0</v>
      </c>
      <c r="H425">
        <f>IF(F425=G425,1,0)</f>
        <v>0</v>
      </c>
      <c r="I425">
        <f>H425*INDEX(Question_Bank!$M$3:$M$14,MATCH(D425,Question_Bank!$A$3:$A$14,0))</f>
        <v>0</v>
      </c>
      <c r="J425">
        <f>SUMIFS($I$3:$I$566,$A$3:$A$566,A425)</f>
        <v>0</v>
      </c>
      <c r="K425" s="5">
        <f>J425/SUM(Question_Bank!$M$3:$M$14)</f>
        <v>0</v>
      </c>
      <c r="L425" s="5">
        <f>SUMIFS($I$3:$I$566,$A$3:$A$566,A425,$E$3:$E$566,E425)/SUMIFS(Question_Bank!$M$3:$M$14,Question_Bank!$B$3:$B$14,E425)</f>
        <v>0</v>
      </c>
      <c r="M425" t="s">
        <v>204</v>
      </c>
    </row>
    <row r="426" spans="1:13">
      <c r="A426" t="s">
        <v>203</v>
      </c>
      <c r="B426" t="s">
        <v>132</v>
      </c>
      <c r="C426" t="s">
        <v>133</v>
      </c>
      <c r="D426" t="s">
        <v>45</v>
      </c>
      <c r="E426" t="s">
        <v>46</v>
      </c>
      <c r="F426" t="s">
        <v>34</v>
      </c>
      <c r="G426">
        <f>INDEX(Question_Bank!$G$3:$G$14,MATCH(D426,Question_Bank!$A$3:$A$14,0))</f>
        <v>0</v>
      </c>
      <c r="H426">
        <f>IF(F426=G426,1,0)</f>
        <v>0</v>
      </c>
      <c r="I426">
        <f>H426*INDEX(Question_Bank!$M$3:$M$14,MATCH(D426,Question_Bank!$A$3:$A$14,0))</f>
        <v>0</v>
      </c>
      <c r="J426">
        <f>SUMIFS($I$3:$I$566,$A$3:$A$566,A426)</f>
        <v>0</v>
      </c>
      <c r="K426" s="5">
        <f>J426/SUM(Question_Bank!$M$3:$M$14)</f>
        <v>0</v>
      </c>
      <c r="L426" s="5">
        <f>SUMIFS($I$3:$I$566,$A$3:$A$566,A426,$E$3:$E$566,E426)/SUMIFS(Question_Bank!$M$3:$M$14,Question_Bank!$B$3:$B$14,E426)</f>
        <v>0</v>
      </c>
      <c r="M426" t="s">
        <v>204</v>
      </c>
    </row>
    <row r="427" spans="1:13">
      <c r="A427" t="s">
        <v>203</v>
      </c>
      <c r="B427" t="s">
        <v>132</v>
      </c>
      <c r="C427" t="s">
        <v>133</v>
      </c>
      <c r="D427" t="s">
        <v>54</v>
      </c>
      <c r="E427" t="s">
        <v>46</v>
      </c>
      <c r="F427" t="s">
        <v>34</v>
      </c>
      <c r="G427">
        <f>INDEX(Question_Bank!$G$3:$G$14,MATCH(D427,Question_Bank!$A$3:$A$14,0))</f>
        <v>0</v>
      </c>
      <c r="H427">
        <f>IF(F427=G427,1,0)</f>
        <v>0</v>
      </c>
      <c r="I427">
        <f>H427*INDEX(Question_Bank!$M$3:$M$14,MATCH(D427,Question_Bank!$A$3:$A$14,0))</f>
        <v>0</v>
      </c>
      <c r="J427">
        <f>SUMIFS($I$3:$I$566,$A$3:$A$566,A427)</f>
        <v>0</v>
      </c>
      <c r="K427" s="5">
        <f>J427/SUM(Question_Bank!$M$3:$M$14)</f>
        <v>0</v>
      </c>
      <c r="L427" s="5">
        <f>SUMIFS($I$3:$I$566,$A$3:$A$566,A427,$E$3:$E$566,E427)/SUMIFS(Question_Bank!$M$3:$M$14,Question_Bank!$B$3:$B$14,E427)</f>
        <v>0</v>
      </c>
      <c r="M427" t="s">
        <v>204</v>
      </c>
    </row>
    <row r="428" spans="1:13">
      <c r="A428" t="s">
        <v>203</v>
      </c>
      <c r="B428" t="s">
        <v>132</v>
      </c>
      <c r="C428" t="s">
        <v>133</v>
      </c>
      <c r="D428" t="s">
        <v>62</v>
      </c>
      <c r="E428" t="s">
        <v>46</v>
      </c>
      <c r="F428" t="s">
        <v>34</v>
      </c>
      <c r="G428">
        <f>INDEX(Question_Bank!$G$3:$G$14,MATCH(D428,Question_Bank!$A$3:$A$14,0))</f>
        <v>0</v>
      </c>
      <c r="H428">
        <f>IF(F428=G428,1,0)</f>
        <v>0</v>
      </c>
      <c r="I428">
        <f>H428*INDEX(Question_Bank!$M$3:$M$14,MATCH(D428,Question_Bank!$A$3:$A$14,0))</f>
        <v>0</v>
      </c>
      <c r="J428">
        <f>SUMIFS($I$3:$I$566,$A$3:$A$566,A428)</f>
        <v>0</v>
      </c>
      <c r="K428" s="5">
        <f>J428/SUM(Question_Bank!$M$3:$M$14)</f>
        <v>0</v>
      </c>
      <c r="L428" s="5">
        <f>SUMIFS($I$3:$I$566,$A$3:$A$566,A428,$E$3:$E$566,E428)/SUMIFS(Question_Bank!$M$3:$M$14,Question_Bank!$B$3:$B$14,E428)</f>
        <v>0</v>
      </c>
      <c r="M428" t="s">
        <v>204</v>
      </c>
    </row>
    <row r="429" spans="1:13">
      <c r="A429" t="s">
        <v>203</v>
      </c>
      <c r="B429" t="s">
        <v>132</v>
      </c>
      <c r="C429" t="s">
        <v>133</v>
      </c>
      <c r="D429" t="s">
        <v>70</v>
      </c>
      <c r="E429" t="s">
        <v>71</v>
      </c>
      <c r="F429" t="s">
        <v>20</v>
      </c>
      <c r="G429">
        <f>INDEX(Question_Bank!$G$3:$G$14,MATCH(D429,Question_Bank!$A$3:$A$14,0))</f>
        <v>0</v>
      </c>
      <c r="H429">
        <f>IF(F429=G429,1,0)</f>
        <v>0</v>
      </c>
      <c r="I429">
        <f>H429*INDEX(Question_Bank!$M$3:$M$14,MATCH(D429,Question_Bank!$A$3:$A$14,0))</f>
        <v>0</v>
      </c>
      <c r="J429">
        <f>SUMIFS($I$3:$I$566,$A$3:$A$566,A429)</f>
        <v>0</v>
      </c>
      <c r="K429" s="5">
        <f>J429/SUM(Question_Bank!$M$3:$M$14)</f>
        <v>0</v>
      </c>
      <c r="L429" s="5">
        <f>SUMIFS($I$3:$I$566,$A$3:$A$566,A429,$E$3:$E$566,E429)/SUMIFS(Question_Bank!$M$3:$M$14,Question_Bank!$B$3:$B$14,E429)</f>
        <v>0</v>
      </c>
      <c r="M429" t="s">
        <v>204</v>
      </c>
    </row>
    <row r="430" spans="1:13">
      <c r="A430" t="s">
        <v>203</v>
      </c>
      <c r="B430" t="s">
        <v>132</v>
      </c>
      <c r="C430" t="s">
        <v>133</v>
      </c>
      <c r="D430" t="s">
        <v>79</v>
      </c>
      <c r="E430" t="s">
        <v>71</v>
      </c>
      <c r="F430" t="s">
        <v>34</v>
      </c>
      <c r="G430">
        <f>INDEX(Question_Bank!$G$3:$G$14,MATCH(D430,Question_Bank!$A$3:$A$14,0))</f>
        <v>0</v>
      </c>
      <c r="H430">
        <f>IF(F430=G430,1,0)</f>
        <v>0</v>
      </c>
      <c r="I430">
        <f>H430*INDEX(Question_Bank!$M$3:$M$14,MATCH(D430,Question_Bank!$A$3:$A$14,0))</f>
        <v>0</v>
      </c>
      <c r="J430">
        <f>SUMIFS($I$3:$I$566,$A$3:$A$566,A430)</f>
        <v>0</v>
      </c>
      <c r="K430" s="5">
        <f>J430/SUM(Question_Bank!$M$3:$M$14)</f>
        <v>0</v>
      </c>
      <c r="L430" s="5">
        <f>SUMIFS($I$3:$I$566,$A$3:$A$566,A430,$E$3:$E$566,E430)/SUMIFS(Question_Bank!$M$3:$M$14,Question_Bank!$B$3:$B$14,E430)</f>
        <v>0</v>
      </c>
      <c r="M430" t="s">
        <v>204</v>
      </c>
    </row>
    <row r="431" spans="1:13">
      <c r="A431" t="s">
        <v>203</v>
      </c>
      <c r="B431" t="s">
        <v>132</v>
      </c>
      <c r="C431" t="s">
        <v>133</v>
      </c>
      <c r="D431" t="s">
        <v>87</v>
      </c>
      <c r="E431" t="s">
        <v>71</v>
      </c>
      <c r="F431" t="s">
        <v>23</v>
      </c>
      <c r="G431">
        <f>INDEX(Question_Bank!$G$3:$G$14,MATCH(D431,Question_Bank!$A$3:$A$14,0))</f>
        <v>0</v>
      </c>
      <c r="H431">
        <f>IF(F431=G431,1,0)</f>
        <v>0</v>
      </c>
      <c r="I431">
        <f>H431*INDEX(Question_Bank!$M$3:$M$14,MATCH(D431,Question_Bank!$A$3:$A$14,0))</f>
        <v>0</v>
      </c>
      <c r="J431">
        <f>SUMIFS($I$3:$I$566,$A$3:$A$566,A431)</f>
        <v>0</v>
      </c>
      <c r="K431" s="5">
        <f>J431/SUM(Question_Bank!$M$3:$M$14)</f>
        <v>0</v>
      </c>
      <c r="L431" s="5">
        <f>SUMIFS($I$3:$I$566,$A$3:$A$566,A431,$E$3:$E$566,E431)/SUMIFS(Question_Bank!$M$3:$M$14,Question_Bank!$B$3:$B$14,E431)</f>
        <v>0</v>
      </c>
      <c r="M431" t="s">
        <v>204</v>
      </c>
    </row>
    <row r="432" spans="1:13">
      <c r="A432" t="s">
        <v>203</v>
      </c>
      <c r="B432" t="s">
        <v>132</v>
      </c>
      <c r="C432" t="s">
        <v>133</v>
      </c>
      <c r="D432" t="s">
        <v>95</v>
      </c>
      <c r="E432" t="s">
        <v>96</v>
      </c>
      <c r="F432" t="s">
        <v>31</v>
      </c>
      <c r="G432">
        <f>INDEX(Question_Bank!$G$3:$G$14,MATCH(D432,Question_Bank!$A$3:$A$14,0))</f>
        <v>0</v>
      </c>
      <c r="H432">
        <f>IF(F432=G432,1,0)</f>
        <v>0</v>
      </c>
      <c r="I432">
        <f>H432*INDEX(Question_Bank!$M$3:$M$14,MATCH(D432,Question_Bank!$A$3:$A$14,0))</f>
        <v>0</v>
      </c>
      <c r="J432">
        <f>SUMIFS($I$3:$I$566,$A$3:$A$566,A432)</f>
        <v>0</v>
      </c>
      <c r="K432" s="5">
        <f>J432/SUM(Question_Bank!$M$3:$M$14)</f>
        <v>0</v>
      </c>
      <c r="L432" s="5">
        <f>SUMIFS($I$3:$I$566,$A$3:$A$566,A432,$E$3:$E$566,E432)/SUMIFS(Question_Bank!$M$3:$M$14,Question_Bank!$B$3:$B$14,E432)</f>
        <v>0</v>
      </c>
      <c r="M432" t="s">
        <v>204</v>
      </c>
    </row>
    <row r="433" spans="1:13">
      <c r="A433" t="s">
        <v>203</v>
      </c>
      <c r="B433" t="s">
        <v>132</v>
      </c>
      <c r="C433" t="s">
        <v>133</v>
      </c>
      <c r="D433" t="s">
        <v>104</v>
      </c>
      <c r="E433" t="s">
        <v>96</v>
      </c>
      <c r="F433" t="s">
        <v>23</v>
      </c>
      <c r="G433">
        <f>INDEX(Question_Bank!$G$3:$G$14,MATCH(D433,Question_Bank!$A$3:$A$14,0))</f>
        <v>0</v>
      </c>
      <c r="H433">
        <f>IF(F433=G433,1,0)</f>
        <v>0</v>
      </c>
      <c r="I433">
        <f>H433*INDEX(Question_Bank!$M$3:$M$14,MATCH(D433,Question_Bank!$A$3:$A$14,0))</f>
        <v>0</v>
      </c>
      <c r="J433">
        <f>SUMIFS($I$3:$I$566,$A$3:$A$566,A433)</f>
        <v>0</v>
      </c>
      <c r="K433" s="5">
        <f>J433/SUM(Question_Bank!$M$3:$M$14)</f>
        <v>0</v>
      </c>
      <c r="L433" s="5">
        <f>SUMIFS($I$3:$I$566,$A$3:$A$566,A433,$E$3:$E$566,E433)/SUMIFS(Question_Bank!$M$3:$M$14,Question_Bank!$B$3:$B$14,E433)</f>
        <v>0</v>
      </c>
      <c r="M433" t="s">
        <v>204</v>
      </c>
    </row>
    <row r="434" spans="1:13">
      <c r="A434" t="s">
        <v>203</v>
      </c>
      <c r="B434" t="s">
        <v>132</v>
      </c>
      <c r="C434" t="s">
        <v>133</v>
      </c>
      <c r="D434" t="s">
        <v>112</v>
      </c>
      <c r="E434" t="s">
        <v>96</v>
      </c>
      <c r="F434" t="s">
        <v>20</v>
      </c>
      <c r="G434">
        <f>INDEX(Question_Bank!$G$3:$G$14,MATCH(D434,Question_Bank!$A$3:$A$14,0))</f>
        <v>0</v>
      </c>
      <c r="H434">
        <f>IF(F434=G434,1,0)</f>
        <v>0</v>
      </c>
      <c r="I434">
        <f>H434*INDEX(Question_Bank!$M$3:$M$14,MATCH(D434,Question_Bank!$A$3:$A$14,0))</f>
        <v>0</v>
      </c>
      <c r="J434">
        <f>SUMIFS($I$3:$I$566,$A$3:$A$566,A434)</f>
        <v>0</v>
      </c>
      <c r="K434" s="5">
        <f>J434/SUM(Question_Bank!$M$3:$M$14)</f>
        <v>0</v>
      </c>
      <c r="L434" s="5">
        <f>SUMIFS($I$3:$I$566,$A$3:$A$566,A434,$E$3:$E$566,E434)/SUMIFS(Question_Bank!$M$3:$M$14,Question_Bank!$B$3:$B$14,E434)</f>
        <v>0</v>
      </c>
      <c r="M434" t="s">
        <v>204</v>
      </c>
    </row>
    <row r="435" spans="1:13">
      <c r="A435" t="s">
        <v>205</v>
      </c>
      <c r="B435" t="s">
        <v>132</v>
      </c>
      <c r="C435" t="s">
        <v>133</v>
      </c>
      <c r="D435" t="s">
        <v>14</v>
      </c>
      <c r="E435" t="s">
        <v>15</v>
      </c>
      <c r="F435" t="s">
        <v>23</v>
      </c>
      <c r="G435">
        <f>INDEX(Question_Bank!$G$3:$G$14,MATCH(D435,Question_Bank!$A$3:$A$14,0))</f>
        <v>0</v>
      </c>
      <c r="H435">
        <f>IF(F435=G435,1,0)</f>
        <v>0</v>
      </c>
      <c r="I435">
        <f>H435*INDEX(Question_Bank!$M$3:$M$14,MATCH(D435,Question_Bank!$A$3:$A$14,0))</f>
        <v>0</v>
      </c>
      <c r="J435">
        <f>SUMIFS($I$3:$I$566,$A$3:$A$566,A435)</f>
        <v>0</v>
      </c>
      <c r="K435" s="5">
        <f>J435/SUM(Question_Bank!$M$3:$M$14)</f>
        <v>0</v>
      </c>
      <c r="L435" s="5">
        <f>SUMIFS($I$3:$I$566,$A$3:$A$566,A435,$E$3:$E$566,E435)/SUMIFS(Question_Bank!$M$3:$M$14,Question_Bank!$B$3:$B$14,E435)</f>
        <v>0</v>
      </c>
      <c r="M435" t="s">
        <v>206</v>
      </c>
    </row>
    <row r="436" spans="1:13">
      <c r="A436" t="s">
        <v>205</v>
      </c>
      <c r="B436" t="s">
        <v>132</v>
      </c>
      <c r="C436" t="s">
        <v>133</v>
      </c>
      <c r="D436" t="s">
        <v>26</v>
      </c>
      <c r="E436" t="s">
        <v>15</v>
      </c>
      <c r="F436" t="s">
        <v>31</v>
      </c>
      <c r="G436">
        <f>INDEX(Question_Bank!$G$3:$G$14,MATCH(D436,Question_Bank!$A$3:$A$14,0))</f>
        <v>0</v>
      </c>
      <c r="H436">
        <f>IF(F436=G436,1,0)</f>
        <v>0</v>
      </c>
      <c r="I436">
        <f>H436*INDEX(Question_Bank!$M$3:$M$14,MATCH(D436,Question_Bank!$A$3:$A$14,0))</f>
        <v>0</v>
      </c>
      <c r="J436">
        <f>SUMIFS($I$3:$I$566,$A$3:$A$566,A436)</f>
        <v>0</v>
      </c>
      <c r="K436" s="5">
        <f>J436/SUM(Question_Bank!$M$3:$M$14)</f>
        <v>0</v>
      </c>
      <c r="L436" s="5">
        <f>SUMIFS($I$3:$I$566,$A$3:$A$566,A436,$E$3:$E$566,E436)/SUMIFS(Question_Bank!$M$3:$M$14,Question_Bank!$B$3:$B$14,E436)</f>
        <v>0</v>
      </c>
      <c r="M436" t="s">
        <v>206</v>
      </c>
    </row>
    <row r="437" spans="1:13">
      <c r="A437" t="s">
        <v>205</v>
      </c>
      <c r="B437" t="s">
        <v>132</v>
      </c>
      <c r="C437" t="s">
        <v>133</v>
      </c>
      <c r="D437" t="s">
        <v>37</v>
      </c>
      <c r="E437" t="s">
        <v>15</v>
      </c>
      <c r="F437" t="s">
        <v>34</v>
      </c>
      <c r="G437">
        <f>INDEX(Question_Bank!$G$3:$G$14,MATCH(D437,Question_Bank!$A$3:$A$14,0))</f>
        <v>0</v>
      </c>
      <c r="H437">
        <f>IF(F437=G437,1,0)</f>
        <v>0</v>
      </c>
      <c r="I437">
        <f>H437*INDEX(Question_Bank!$M$3:$M$14,MATCH(D437,Question_Bank!$A$3:$A$14,0))</f>
        <v>0</v>
      </c>
      <c r="J437">
        <f>SUMIFS($I$3:$I$566,$A$3:$A$566,A437)</f>
        <v>0</v>
      </c>
      <c r="K437" s="5">
        <f>J437/SUM(Question_Bank!$M$3:$M$14)</f>
        <v>0</v>
      </c>
      <c r="L437" s="5">
        <f>SUMIFS($I$3:$I$566,$A$3:$A$566,A437,$E$3:$E$566,E437)/SUMIFS(Question_Bank!$M$3:$M$14,Question_Bank!$B$3:$B$14,E437)</f>
        <v>0</v>
      </c>
      <c r="M437" t="s">
        <v>206</v>
      </c>
    </row>
    <row r="438" spans="1:13">
      <c r="A438" t="s">
        <v>205</v>
      </c>
      <c r="B438" t="s">
        <v>132</v>
      </c>
      <c r="C438" t="s">
        <v>133</v>
      </c>
      <c r="D438" t="s">
        <v>45</v>
      </c>
      <c r="E438" t="s">
        <v>46</v>
      </c>
      <c r="F438" t="s">
        <v>34</v>
      </c>
      <c r="G438">
        <f>INDEX(Question_Bank!$G$3:$G$14,MATCH(D438,Question_Bank!$A$3:$A$14,0))</f>
        <v>0</v>
      </c>
      <c r="H438">
        <f>IF(F438=G438,1,0)</f>
        <v>0</v>
      </c>
      <c r="I438">
        <f>H438*INDEX(Question_Bank!$M$3:$M$14,MATCH(D438,Question_Bank!$A$3:$A$14,0))</f>
        <v>0</v>
      </c>
      <c r="J438">
        <f>SUMIFS($I$3:$I$566,$A$3:$A$566,A438)</f>
        <v>0</v>
      </c>
      <c r="K438" s="5">
        <f>J438/SUM(Question_Bank!$M$3:$M$14)</f>
        <v>0</v>
      </c>
      <c r="L438" s="5">
        <f>SUMIFS($I$3:$I$566,$A$3:$A$566,A438,$E$3:$E$566,E438)/SUMIFS(Question_Bank!$M$3:$M$14,Question_Bank!$B$3:$B$14,E438)</f>
        <v>0</v>
      </c>
      <c r="M438" t="s">
        <v>206</v>
      </c>
    </row>
    <row r="439" spans="1:13">
      <c r="A439" t="s">
        <v>205</v>
      </c>
      <c r="B439" t="s">
        <v>132</v>
      </c>
      <c r="C439" t="s">
        <v>133</v>
      </c>
      <c r="D439" t="s">
        <v>54</v>
      </c>
      <c r="E439" t="s">
        <v>46</v>
      </c>
      <c r="F439" t="s">
        <v>31</v>
      </c>
      <c r="G439">
        <f>INDEX(Question_Bank!$G$3:$G$14,MATCH(D439,Question_Bank!$A$3:$A$14,0))</f>
        <v>0</v>
      </c>
      <c r="H439">
        <f>IF(F439=G439,1,0)</f>
        <v>0</v>
      </c>
      <c r="I439">
        <f>H439*INDEX(Question_Bank!$M$3:$M$14,MATCH(D439,Question_Bank!$A$3:$A$14,0))</f>
        <v>0</v>
      </c>
      <c r="J439">
        <f>SUMIFS($I$3:$I$566,$A$3:$A$566,A439)</f>
        <v>0</v>
      </c>
      <c r="K439" s="5">
        <f>J439/SUM(Question_Bank!$M$3:$M$14)</f>
        <v>0</v>
      </c>
      <c r="L439" s="5">
        <f>SUMIFS($I$3:$I$566,$A$3:$A$566,A439,$E$3:$E$566,E439)/SUMIFS(Question_Bank!$M$3:$M$14,Question_Bank!$B$3:$B$14,E439)</f>
        <v>0</v>
      </c>
      <c r="M439" t="s">
        <v>206</v>
      </c>
    </row>
    <row r="440" spans="1:13">
      <c r="A440" t="s">
        <v>205</v>
      </c>
      <c r="B440" t="s">
        <v>132</v>
      </c>
      <c r="C440" t="s">
        <v>133</v>
      </c>
      <c r="D440" t="s">
        <v>62</v>
      </c>
      <c r="E440" t="s">
        <v>46</v>
      </c>
      <c r="F440" t="s">
        <v>31</v>
      </c>
      <c r="G440">
        <f>INDEX(Question_Bank!$G$3:$G$14,MATCH(D440,Question_Bank!$A$3:$A$14,0))</f>
        <v>0</v>
      </c>
      <c r="H440">
        <f>IF(F440=G440,1,0)</f>
        <v>0</v>
      </c>
      <c r="I440">
        <f>H440*INDEX(Question_Bank!$M$3:$M$14,MATCH(D440,Question_Bank!$A$3:$A$14,0))</f>
        <v>0</v>
      </c>
      <c r="J440">
        <f>SUMIFS($I$3:$I$566,$A$3:$A$566,A440)</f>
        <v>0</v>
      </c>
      <c r="K440" s="5">
        <f>J440/SUM(Question_Bank!$M$3:$M$14)</f>
        <v>0</v>
      </c>
      <c r="L440" s="5">
        <f>SUMIFS($I$3:$I$566,$A$3:$A$566,A440,$E$3:$E$566,E440)/SUMIFS(Question_Bank!$M$3:$M$14,Question_Bank!$B$3:$B$14,E440)</f>
        <v>0</v>
      </c>
      <c r="M440" t="s">
        <v>206</v>
      </c>
    </row>
    <row r="441" spans="1:13">
      <c r="A441" t="s">
        <v>205</v>
      </c>
      <c r="B441" t="s">
        <v>132</v>
      </c>
      <c r="C441" t="s">
        <v>133</v>
      </c>
      <c r="D441" t="s">
        <v>70</v>
      </c>
      <c r="E441" t="s">
        <v>71</v>
      </c>
      <c r="F441" t="s">
        <v>34</v>
      </c>
      <c r="G441">
        <f>INDEX(Question_Bank!$G$3:$G$14,MATCH(D441,Question_Bank!$A$3:$A$14,0))</f>
        <v>0</v>
      </c>
      <c r="H441">
        <f>IF(F441=G441,1,0)</f>
        <v>0</v>
      </c>
      <c r="I441">
        <f>H441*INDEX(Question_Bank!$M$3:$M$14,MATCH(D441,Question_Bank!$A$3:$A$14,0))</f>
        <v>0</v>
      </c>
      <c r="J441">
        <f>SUMIFS($I$3:$I$566,$A$3:$A$566,A441)</f>
        <v>0</v>
      </c>
      <c r="K441" s="5">
        <f>J441/SUM(Question_Bank!$M$3:$M$14)</f>
        <v>0</v>
      </c>
      <c r="L441" s="5">
        <f>SUMIFS($I$3:$I$566,$A$3:$A$566,A441,$E$3:$E$566,E441)/SUMIFS(Question_Bank!$M$3:$M$14,Question_Bank!$B$3:$B$14,E441)</f>
        <v>0</v>
      </c>
      <c r="M441" t="s">
        <v>206</v>
      </c>
    </row>
    <row r="442" spans="1:13">
      <c r="A442" t="s">
        <v>205</v>
      </c>
      <c r="B442" t="s">
        <v>132</v>
      </c>
      <c r="C442" t="s">
        <v>133</v>
      </c>
      <c r="D442" t="s">
        <v>79</v>
      </c>
      <c r="E442" t="s">
        <v>71</v>
      </c>
      <c r="F442" t="s">
        <v>34</v>
      </c>
      <c r="G442">
        <f>INDEX(Question_Bank!$G$3:$G$14,MATCH(D442,Question_Bank!$A$3:$A$14,0))</f>
        <v>0</v>
      </c>
      <c r="H442">
        <f>IF(F442=G442,1,0)</f>
        <v>0</v>
      </c>
      <c r="I442">
        <f>H442*INDEX(Question_Bank!$M$3:$M$14,MATCH(D442,Question_Bank!$A$3:$A$14,0))</f>
        <v>0</v>
      </c>
      <c r="J442">
        <f>SUMIFS($I$3:$I$566,$A$3:$A$566,A442)</f>
        <v>0</v>
      </c>
      <c r="K442" s="5">
        <f>J442/SUM(Question_Bank!$M$3:$M$14)</f>
        <v>0</v>
      </c>
      <c r="L442" s="5">
        <f>SUMIFS($I$3:$I$566,$A$3:$A$566,A442,$E$3:$E$566,E442)/SUMIFS(Question_Bank!$M$3:$M$14,Question_Bank!$B$3:$B$14,E442)</f>
        <v>0</v>
      </c>
      <c r="M442" t="s">
        <v>206</v>
      </c>
    </row>
    <row r="443" spans="1:13">
      <c r="A443" t="s">
        <v>205</v>
      </c>
      <c r="B443" t="s">
        <v>132</v>
      </c>
      <c r="C443" t="s">
        <v>133</v>
      </c>
      <c r="D443" t="s">
        <v>87</v>
      </c>
      <c r="E443" t="s">
        <v>71</v>
      </c>
      <c r="F443" t="s">
        <v>34</v>
      </c>
      <c r="G443">
        <f>INDEX(Question_Bank!$G$3:$G$14,MATCH(D443,Question_Bank!$A$3:$A$14,0))</f>
        <v>0</v>
      </c>
      <c r="H443">
        <f>IF(F443=G443,1,0)</f>
        <v>0</v>
      </c>
      <c r="I443">
        <f>H443*INDEX(Question_Bank!$M$3:$M$14,MATCH(D443,Question_Bank!$A$3:$A$14,0))</f>
        <v>0</v>
      </c>
      <c r="J443">
        <f>SUMIFS($I$3:$I$566,$A$3:$A$566,A443)</f>
        <v>0</v>
      </c>
      <c r="K443" s="5">
        <f>J443/SUM(Question_Bank!$M$3:$M$14)</f>
        <v>0</v>
      </c>
      <c r="L443" s="5">
        <f>SUMIFS($I$3:$I$566,$A$3:$A$566,A443,$E$3:$E$566,E443)/SUMIFS(Question_Bank!$M$3:$M$14,Question_Bank!$B$3:$B$14,E443)</f>
        <v>0</v>
      </c>
      <c r="M443" t="s">
        <v>206</v>
      </c>
    </row>
    <row r="444" spans="1:13">
      <c r="A444" t="s">
        <v>205</v>
      </c>
      <c r="B444" t="s">
        <v>132</v>
      </c>
      <c r="C444" t="s">
        <v>133</v>
      </c>
      <c r="D444" t="s">
        <v>95</v>
      </c>
      <c r="E444" t="s">
        <v>96</v>
      </c>
      <c r="F444" t="s">
        <v>20</v>
      </c>
      <c r="G444">
        <f>INDEX(Question_Bank!$G$3:$G$14,MATCH(D444,Question_Bank!$A$3:$A$14,0))</f>
        <v>0</v>
      </c>
      <c r="H444">
        <f>IF(F444=G444,1,0)</f>
        <v>0</v>
      </c>
      <c r="I444">
        <f>H444*INDEX(Question_Bank!$M$3:$M$14,MATCH(D444,Question_Bank!$A$3:$A$14,0))</f>
        <v>0</v>
      </c>
      <c r="J444">
        <f>SUMIFS($I$3:$I$566,$A$3:$A$566,A444)</f>
        <v>0</v>
      </c>
      <c r="K444" s="5">
        <f>J444/SUM(Question_Bank!$M$3:$M$14)</f>
        <v>0</v>
      </c>
      <c r="L444" s="5">
        <f>SUMIFS($I$3:$I$566,$A$3:$A$566,A444,$E$3:$E$566,E444)/SUMIFS(Question_Bank!$M$3:$M$14,Question_Bank!$B$3:$B$14,E444)</f>
        <v>0</v>
      </c>
      <c r="M444" t="s">
        <v>206</v>
      </c>
    </row>
    <row r="445" spans="1:13">
      <c r="A445" t="s">
        <v>205</v>
      </c>
      <c r="B445" t="s">
        <v>132</v>
      </c>
      <c r="C445" t="s">
        <v>133</v>
      </c>
      <c r="D445" t="s">
        <v>104</v>
      </c>
      <c r="E445" t="s">
        <v>96</v>
      </c>
      <c r="F445" t="s">
        <v>20</v>
      </c>
      <c r="G445">
        <f>INDEX(Question_Bank!$G$3:$G$14,MATCH(D445,Question_Bank!$A$3:$A$14,0))</f>
        <v>0</v>
      </c>
      <c r="H445">
        <f>IF(F445=G445,1,0)</f>
        <v>0</v>
      </c>
      <c r="I445">
        <f>H445*INDEX(Question_Bank!$M$3:$M$14,MATCH(D445,Question_Bank!$A$3:$A$14,0))</f>
        <v>0</v>
      </c>
      <c r="J445">
        <f>SUMIFS($I$3:$I$566,$A$3:$A$566,A445)</f>
        <v>0</v>
      </c>
      <c r="K445" s="5">
        <f>J445/SUM(Question_Bank!$M$3:$M$14)</f>
        <v>0</v>
      </c>
      <c r="L445" s="5">
        <f>SUMIFS($I$3:$I$566,$A$3:$A$566,A445,$E$3:$E$566,E445)/SUMIFS(Question_Bank!$M$3:$M$14,Question_Bank!$B$3:$B$14,E445)</f>
        <v>0</v>
      </c>
      <c r="M445" t="s">
        <v>206</v>
      </c>
    </row>
    <row r="446" spans="1:13">
      <c r="A446" t="s">
        <v>205</v>
      </c>
      <c r="B446" t="s">
        <v>132</v>
      </c>
      <c r="C446" t="s">
        <v>133</v>
      </c>
      <c r="D446" t="s">
        <v>112</v>
      </c>
      <c r="E446" t="s">
        <v>96</v>
      </c>
      <c r="F446" t="s">
        <v>23</v>
      </c>
      <c r="G446">
        <f>INDEX(Question_Bank!$G$3:$G$14,MATCH(D446,Question_Bank!$A$3:$A$14,0))</f>
        <v>0</v>
      </c>
      <c r="H446">
        <f>IF(F446=G446,1,0)</f>
        <v>0</v>
      </c>
      <c r="I446">
        <f>H446*INDEX(Question_Bank!$M$3:$M$14,MATCH(D446,Question_Bank!$A$3:$A$14,0))</f>
        <v>0</v>
      </c>
      <c r="J446">
        <f>SUMIFS($I$3:$I$566,$A$3:$A$566,A446)</f>
        <v>0</v>
      </c>
      <c r="K446" s="5">
        <f>J446/SUM(Question_Bank!$M$3:$M$14)</f>
        <v>0</v>
      </c>
      <c r="L446" s="5">
        <f>SUMIFS($I$3:$I$566,$A$3:$A$566,A446,$E$3:$E$566,E446)/SUMIFS(Question_Bank!$M$3:$M$14,Question_Bank!$B$3:$B$14,E446)</f>
        <v>0</v>
      </c>
      <c r="M446" t="s">
        <v>206</v>
      </c>
    </row>
    <row r="447" spans="1:13">
      <c r="A447" t="s">
        <v>207</v>
      </c>
      <c r="B447" t="s">
        <v>132</v>
      </c>
      <c r="C447" t="s">
        <v>133</v>
      </c>
      <c r="D447" t="s">
        <v>14</v>
      </c>
      <c r="E447" t="s">
        <v>15</v>
      </c>
      <c r="F447" t="s">
        <v>20</v>
      </c>
      <c r="G447">
        <f>INDEX(Question_Bank!$G$3:$G$14,MATCH(D447,Question_Bank!$A$3:$A$14,0))</f>
        <v>0</v>
      </c>
      <c r="H447">
        <f>IF(F447=G447,1,0)</f>
        <v>0</v>
      </c>
      <c r="I447">
        <f>H447*INDEX(Question_Bank!$M$3:$M$14,MATCH(D447,Question_Bank!$A$3:$A$14,0))</f>
        <v>0</v>
      </c>
      <c r="J447">
        <f>SUMIFS($I$3:$I$566,$A$3:$A$566,A447)</f>
        <v>0</v>
      </c>
      <c r="K447" s="5">
        <f>J447/SUM(Question_Bank!$M$3:$M$14)</f>
        <v>0</v>
      </c>
      <c r="L447" s="5">
        <f>SUMIFS($I$3:$I$566,$A$3:$A$566,A447,$E$3:$E$566,E447)/SUMIFS(Question_Bank!$M$3:$M$14,Question_Bank!$B$3:$B$14,E447)</f>
        <v>0</v>
      </c>
      <c r="M447" t="s">
        <v>208</v>
      </c>
    </row>
    <row r="448" spans="1:13">
      <c r="A448" t="s">
        <v>207</v>
      </c>
      <c r="B448" t="s">
        <v>132</v>
      </c>
      <c r="C448" t="s">
        <v>133</v>
      </c>
      <c r="D448" t="s">
        <v>26</v>
      </c>
      <c r="E448" t="s">
        <v>15</v>
      </c>
      <c r="F448" t="s">
        <v>31</v>
      </c>
      <c r="G448">
        <f>INDEX(Question_Bank!$G$3:$G$14,MATCH(D448,Question_Bank!$A$3:$A$14,0))</f>
        <v>0</v>
      </c>
      <c r="H448">
        <f>IF(F448=G448,1,0)</f>
        <v>0</v>
      </c>
      <c r="I448">
        <f>H448*INDEX(Question_Bank!$M$3:$M$14,MATCH(D448,Question_Bank!$A$3:$A$14,0))</f>
        <v>0</v>
      </c>
      <c r="J448">
        <f>SUMIFS($I$3:$I$566,$A$3:$A$566,A448)</f>
        <v>0</v>
      </c>
      <c r="K448" s="5">
        <f>J448/SUM(Question_Bank!$M$3:$M$14)</f>
        <v>0</v>
      </c>
      <c r="L448" s="5">
        <f>SUMIFS($I$3:$I$566,$A$3:$A$566,A448,$E$3:$E$566,E448)/SUMIFS(Question_Bank!$M$3:$M$14,Question_Bank!$B$3:$B$14,E448)</f>
        <v>0</v>
      </c>
      <c r="M448" t="s">
        <v>208</v>
      </c>
    </row>
    <row r="449" spans="1:13">
      <c r="A449" t="s">
        <v>207</v>
      </c>
      <c r="B449" t="s">
        <v>132</v>
      </c>
      <c r="C449" t="s">
        <v>133</v>
      </c>
      <c r="D449" t="s">
        <v>37</v>
      </c>
      <c r="E449" t="s">
        <v>15</v>
      </c>
      <c r="F449" t="s">
        <v>34</v>
      </c>
      <c r="G449">
        <f>INDEX(Question_Bank!$G$3:$G$14,MATCH(D449,Question_Bank!$A$3:$A$14,0))</f>
        <v>0</v>
      </c>
      <c r="H449">
        <f>IF(F449=G449,1,0)</f>
        <v>0</v>
      </c>
      <c r="I449">
        <f>H449*INDEX(Question_Bank!$M$3:$M$14,MATCH(D449,Question_Bank!$A$3:$A$14,0))</f>
        <v>0</v>
      </c>
      <c r="J449">
        <f>SUMIFS($I$3:$I$566,$A$3:$A$566,A449)</f>
        <v>0</v>
      </c>
      <c r="K449" s="5">
        <f>J449/SUM(Question_Bank!$M$3:$M$14)</f>
        <v>0</v>
      </c>
      <c r="L449" s="5">
        <f>SUMIFS($I$3:$I$566,$A$3:$A$566,A449,$E$3:$E$566,E449)/SUMIFS(Question_Bank!$M$3:$M$14,Question_Bank!$B$3:$B$14,E449)</f>
        <v>0</v>
      </c>
      <c r="M449" t="s">
        <v>208</v>
      </c>
    </row>
    <row r="450" spans="1:13">
      <c r="A450" t="s">
        <v>207</v>
      </c>
      <c r="B450" t="s">
        <v>132</v>
      </c>
      <c r="C450" t="s">
        <v>133</v>
      </c>
      <c r="D450" t="s">
        <v>45</v>
      </c>
      <c r="E450" t="s">
        <v>46</v>
      </c>
      <c r="F450" t="s">
        <v>20</v>
      </c>
      <c r="G450">
        <f>INDEX(Question_Bank!$G$3:$G$14,MATCH(D450,Question_Bank!$A$3:$A$14,0))</f>
        <v>0</v>
      </c>
      <c r="H450">
        <f>IF(F450=G450,1,0)</f>
        <v>0</v>
      </c>
      <c r="I450">
        <f>H450*INDEX(Question_Bank!$M$3:$M$14,MATCH(D450,Question_Bank!$A$3:$A$14,0))</f>
        <v>0</v>
      </c>
      <c r="J450">
        <f>SUMIFS($I$3:$I$566,$A$3:$A$566,A450)</f>
        <v>0</v>
      </c>
      <c r="K450" s="5">
        <f>J450/SUM(Question_Bank!$M$3:$M$14)</f>
        <v>0</v>
      </c>
      <c r="L450" s="5">
        <f>SUMIFS($I$3:$I$566,$A$3:$A$566,A450,$E$3:$E$566,E450)/SUMIFS(Question_Bank!$M$3:$M$14,Question_Bank!$B$3:$B$14,E450)</f>
        <v>0</v>
      </c>
      <c r="M450" t="s">
        <v>208</v>
      </c>
    </row>
    <row r="451" spans="1:13">
      <c r="A451" t="s">
        <v>207</v>
      </c>
      <c r="B451" t="s">
        <v>132</v>
      </c>
      <c r="C451" t="s">
        <v>133</v>
      </c>
      <c r="D451" t="s">
        <v>54</v>
      </c>
      <c r="E451" t="s">
        <v>46</v>
      </c>
      <c r="F451" t="s">
        <v>23</v>
      </c>
      <c r="G451">
        <f>INDEX(Question_Bank!$G$3:$G$14,MATCH(D451,Question_Bank!$A$3:$A$14,0))</f>
        <v>0</v>
      </c>
      <c r="H451">
        <f>IF(F451=G451,1,0)</f>
        <v>0</v>
      </c>
      <c r="I451">
        <f>H451*INDEX(Question_Bank!$M$3:$M$14,MATCH(D451,Question_Bank!$A$3:$A$14,0))</f>
        <v>0</v>
      </c>
      <c r="J451">
        <f>SUMIFS($I$3:$I$566,$A$3:$A$566,A451)</f>
        <v>0</v>
      </c>
      <c r="K451" s="5">
        <f>J451/SUM(Question_Bank!$M$3:$M$14)</f>
        <v>0</v>
      </c>
      <c r="L451" s="5">
        <f>SUMIFS($I$3:$I$566,$A$3:$A$566,A451,$E$3:$E$566,E451)/SUMIFS(Question_Bank!$M$3:$M$14,Question_Bank!$B$3:$B$14,E451)</f>
        <v>0</v>
      </c>
      <c r="M451" t="s">
        <v>208</v>
      </c>
    </row>
    <row r="452" spans="1:13">
      <c r="A452" t="s">
        <v>207</v>
      </c>
      <c r="B452" t="s">
        <v>132</v>
      </c>
      <c r="C452" t="s">
        <v>133</v>
      </c>
      <c r="D452" t="s">
        <v>62</v>
      </c>
      <c r="E452" t="s">
        <v>46</v>
      </c>
      <c r="F452" t="s">
        <v>20</v>
      </c>
      <c r="G452">
        <f>INDEX(Question_Bank!$G$3:$G$14,MATCH(D452,Question_Bank!$A$3:$A$14,0))</f>
        <v>0</v>
      </c>
      <c r="H452">
        <f>IF(F452=G452,1,0)</f>
        <v>0</v>
      </c>
      <c r="I452">
        <f>H452*INDEX(Question_Bank!$M$3:$M$14,MATCH(D452,Question_Bank!$A$3:$A$14,0))</f>
        <v>0</v>
      </c>
      <c r="J452">
        <f>SUMIFS($I$3:$I$566,$A$3:$A$566,A452)</f>
        <v>0</v>
      </c>
      <c r="K452" s="5">
        <f>J452/SUM(Question_Bank!$M$3:$M$14)</f>
        <v>0</v>
      </c>
      <c r="L452" s="5">
        <f>SUMIFS($I$3:$I$566,$A$3:$A$566,A452,$E$3:$E$566,E452)/SUMIFS(Question_Bank!$M$3:$M$14,Question_Bank!$B$3:$B$14,E452)</f>
        <v>0</v>
      </c>
      <c r="M452" t="s">
        <v>208</v>
      </c>
    </row>
    <row r="453" spans="1:13">
      <c r="A453" t="s">
        <v>207</v>
      </c>
      <c r="B453" t="s">
        <v>132</v>
      </c>
      <c r="C453" t="s">
        <v>133</v>
      </c>
      <c r="D453" t="s">
        <v>70</v>
      </c>
      <c r="E453" t="s">
        <v>71</v>
      </c>
      <c r="F453" t="s">
        <v>23</v>
      </c>
      <c r="G453">
        <f>INDEX(Question_Bank!$G$3:$G$14,MATCH(D453,Question_Bank!$A$3:$A$14,0))</f>
        <v>0</v>
      </c>
      <c r="H453">
        <f>IF(F453=G453,1,0)</f>
        <v>0</v>
      </c>
      <c r="I453">
        <f>H453*INDEX(Question_Bank!$M$3:$M$14,MATCH(D453,Question_Bank!$A$3:$A$14,0))</f>
        <v>0</v>
      </c>
      <c r="J453">
        <f>SUMIFS($I$3:$I$566,$A$3:$A$566,A453)</f>
        <v>0</v>
      </c>
      <c r="K453" s="5">
        <f>J453/SUM(Question_Bank!$M$3:$M$14)</f>
        <v>0</v>
      </c>
      <c r="L453" s="5">
        <f>SUMIFS($I$3:$I$566,$A$3:$A$566,A453,$E$3:$E$566,E453)/SUMIFS(Question_Bank!$M$3:$M$14,Question_Bank!$B$3:$B$14,E453)</f>
        <v>0</v>
      </c>
      <c r="M453" t="s">
        <v>208</v>
      </c>
    </row>
    <row r="454" spans="1:13">
      <c r="A454" t="s">
        <v>207</v>
      </c>
      <c r="B454" t="s">
        <v>132</v>
      </c>
      <c r="C454" t="s">
        <v>133</v>
      </c>
      <c r="D454" t="s">
        <v>79</v>
      </c>
      <c r="E454" t="s">
        <v>71</v>
      </c>
      <c r="F454" t="s">
        <v>20</v>
      </c>
      <c r="G454">
        <f>INDEX(Question_Bank!$G$3:$G$14,MATCH(D454,Question_Bank!$A$3:$A$14,0))</f>
        <v>0</v>
      </c>
      <c r="H454">
        <f>IF(F454=G454,1,0)</f>
        <v>0</v>
      </c>
      <c r="I454">
        <f>H454*INDEX(Question_Bank!$M$3:$M$14,MATCH(D454,Question_Bank!$A$3:$A$14,0))</f>
        <v>0</v>
      </c>
      <c r="J454">
        <f>SUMIFS($I$3:$I$566,$A$3:$A$566,A454)</f>
        <v>0</v>
      </c>
      <c r="K454" s="5">
        <f>J454/SUM(Question_Bank!$M$3:$M$14)</f>
        <v>0</v>
      </c>
      <c r="L454" s="5">
        <f>SUMIFS($I$3:$I$566,$A$3:$A$566,A454,$E$3:$E$566,E454)/SUMIFS(Question_Bank!$M$3:$M$14,Question_Bank!$B$3:$B$14,E454)</f>
        <v>0</v>
      </c>
      <c r="M454" t="s">
        <v>208</v>
      </c>
    </row>
    <row r="455" spans="1:13">
      <c r="A455" t="s">
        <v>207</v>
      </c>
      <c r="B455" t="s">
        <v>132</v>
      </c>
      <c r="C455" t="s">
        <v>133</v>
      </c>
      <c r="D455" t="s">
        <v>87</v>
      </c>
      <c r="E455" t="s">
        <v>71</v>
      </c>
      <c r="F455" t="s">
        <v>20</v>
      </c>
      <c r="G455">
        <f>INDEX(Question_Bank!$G$3:$G$14,MATCH(D455,Question_Bank!$A$3:$A$14,0))</f>
        <v>0</v>
      </c>
      <c r="H455">
        <f>IF(F455=G455,1,0)</f>
        <v>0</v>
      </c>
      <c r="I455">
        <f>H455*INDEX(Question_Bank!$M$3:$M$14,MATCH(D455,Question_Bank!$A$3:$A$14,0))</f>
        <v>0</v>
      </c>
      <c r="J455">
        <f>SUMIFS($I$3:$I$566,$A$3:$A$566,A455)</f>
        <v>0</v>
      </c>
      <c r="K455" s="5">
        <f>J455/SUM(Question_Bank!$M$3:$M$14)</f>
        <v>0</v>
      </c>
      <c r="L455" s="5">
        <f>SUMIFS($I$3:$I$566,$A$3:$A$566,A455,$E$3:$E$566,E455)/SUMIFS(Question_Bank!$M$3:$M$14,Question_Bank!$B$3:$B$14,E455)</f>
        <v>0</v>
      </c>
      <c r="M455" t="s">
        <v>208</v>
      </c>
    </row>
    <row r="456" spans="1:13">
      <c r="A456" t="s">
        <v>207</v>
      </c>
      <c r="B456" t="s">
        <v>132</v>
      </c>
      <c r="C456" t="s">
        <v>133</v>
      </c>
      <c r="D456" t="s">
        <v>95</v>
      </c>
      <c r="E456" t="s">
        <v>96</v>
      </c>
      <c r="F456" t="s">
        <v>20</v>
      </c>
      <c r="G456">
        <f>INDEX(Question_Bank!$G$3:$G$14,MATCH(D456,Question_Bank!$A$3:$A$14,0))</f>
        <v>0</v>
      </c>
      <c r="H456">
        <f>IF(F456=G456,1,0)</f>
        <v>0</v>
      </c>
      <c r="I456">
        <f>H456*INDEX(Question_Bank!$M$3:$M$14,MATCH(D456,Question_Bank!$A$3:$A$14,0))</f>
        <v>0</v>
      </c>
      <c r="J456">
        <f>SUMIFS($I$3:$I$566,$A$3:$A$566,A456)</f>
        <v>0</v>
      </c>
      <c r="K456" s="5">
        <f>J456/SUM(Question_Bank!$M$3:$M$14)</f>
        <v>0</v>
      </c>
      <c r="L456" s="5">
        <f>SUMIFS($I$3:$I$566,$A$3:$A$566,A456,$E$3:$E$566,E456)/SUMIFS(Question_Bank!$M$3:$M$14,Question_Bank!$B$3:$B$14,E456)</f>
        <v>0</v>
      </c>
      <c r="M456" t="s">
        <v>208</v>
      </c>
    </row>
    <row r="457" spans="1:13">
      <c r="A457" t="s">
        <v>207</v>
      </c>
      <c r="B457" t="s">
        <v>132</v>
      </c>
      <c r="C457" t="s">
        <v>133</v>
      </c>
      <c r="D457" t="s">
        <v>104</v>
      </c>
      <c r="E457" t="s">
        <v>96</v>
      </c>
      <c r="F457" t="s">
        <v>23</v>
      </c>
      <c r="G457">
        <f>INDEX(Question_Bank!$G$3:$G$14,MATCH(D457,Question_Bank!$A$3:$A$14,0))</f>
        <v>0</v>
      </c>
      <c r="H457">
        <f>IF(F457=G457,1,0)</f>
        <v>0</v>
      </c>
      <c r="I457">
        <f>H457*INDEX(Question_Bank!$M$3:$M$14,MATCH(D457,Question_Bank!$A$3:$A$14,0))</f>
        <v>0</v>
      </c>
      <c r="J457">
        <f>SUMIFS($I$3:$I$566,$A$3:$A$566,A457)</f>
        <v>0</v>
      </c>
      <c r="K457" s="5">
        <f>J457/SUM(Question_Bank!$M$3:$M$14)</f>
        <v>0</v>
      </c>
      <c r="L457" s="5">
        <f>SUMIFS($I$3:$I$566,$A$3:$A$566,A457,$E$3:$E$566,E457)/SUMIFS(Question_Bank!$M$3:$M$14,Question_Bank!$B$3:$B$14,E457)</f>
        <v>0</v>
      </c>
      <c r="M457" t="s">
        <v>208</v>
      </c>
    </row>
    <row r="458" spans="1:13">
      <c r="A458" t="s">
        <v>207</v>
      </c>
      <c r="B458" t="s">
        <v>132</v>
      </c>
      <c r="C458" t="s">
        <v>133</v>
      </c>
      <c r="D458" t="s">
        <v>112</v>
      </c>
      <c r="E458" t="s">
        <v>96</v>
      </c>
      <c r="F458" t="s">
        <v>20</v>
      </c>
      <c r="G458">
        <f>INDEX(Question_Bank!$G$3:$G$14,MATCH(D458,Question_Bank!$A$3:$A$14,0))</f>
        <v>0</v>
      </c>
      <c r="H458">
        <f>IF(F458=G458,1,0)</f>
        <v>0</v>
      </c>
      <c r="I458">
        <f>H458*INDEX(Question_Bank!$M$3:$M$14,MATCH(D458,Question_Bank!$A$3:$A$14,0))</f>
        <v>0</v>
      </c>
      <c r="J458">
        <f>SUMIFS($I$3:$I$566,$A$3:$A$566,A458)</f>
        <v>0</v>
      </c>
      <c r="K458" s="5">
        <f>J458/SUM(Question_Bank!$M$3:$M$14)</f>
        <v>0</v>
      </c>
      <c r="L458" s="5">
        <f>SUMIFS($I$3:$I$566,$A$3:$A$566,A458,$E$3:$E$566,E458)/SUMIFS(Question_Bank!$M$3:$M$14,Question_Bank!$B$3:$B$14,E458)</f>
        <v>0</v>
      </c>
      <c r="M458" t="s">
        <v>208</v>
      </c>
    </row>
    <row r="459" spans="1:13">
      <c r="A459" t="s">
        <v>209</v>
      </c>
      <c r="B459" t="s">
        <v>132</v>
      </c>
      <c r="C459" t="s">
        <v>133</v>
      </c>
      <c r="D459" t="s">
        <v>14</v>
      </c>
      <c r="E459" t="s">
        <v>15</v>
      </c>
      <c r="F459" t="s">
        <v>20</v>
      </c>
      <c r="G459">
        <f>INDEX(Question_Bank!$G$3:$G$14,MATCH(D459,Question_Bank!$A$3:$A$14,0))</f>
        <v>0</v>
      </c>
      <c r="H459">
        <f>IF(F459=G459,1,0)</f>
        <v>0</v>
      </c>
      <c r="I459">
        <f>H459*INDEX(Question_Bank!$M$3:$M$14,MATCH(D459,Question_Bank!$A$3:$A$14,0))</f>
        <v>0</v>
      </c>
      <c r="J459">
        <f>SUMIFS($I$3:$I$566,$A$3:$A$566,A459)</f>
        <v>0</v>
      </c>
      <c r="K459" s="5">
        <f>J459/SUM(Question_Bank!$M$3:$M$14)</f>
        <v>0</v>
      </c>
      <c r="L459" s="5">
        <f>SUMIFS($I$3:$I$566,$A$3:$A$566,A459,$E$3:$E$566,E459)/SUMIFS(Question_Bank!$M$3:$M$14,Question_Bank!$B$3:$B$14,E459)</f>
        <v>0</v>
      </c>
      <c r="M459" t="s">
        <v>210</v>
      </c>
    </row>
    <row r="460" spans="1:13">
      <c r="A460" t="s">
        <v>209</v>
      </c>
      <c r="B460" t="s">
        <v>132</v>
      </c>
      <c r="C460" t="s">
        <v>133</v>
      </c>
      <c r="D460" t="s">
        <v>26</v>
      </c>
      <c r="E460" t="s">
        <v>15</v>
      </c>
      <c r="F460" t="s">
        <v>31</v>
      </c>
      <c r="G460">
        <f>INDEX(Question_Bank!$G$3:$G$14,MATCH(D460,Question_Bank!$A$3:$A$14,0))</f>
        <v>0</v>
      </c>
      <c r="H460">
        <f>IF(F460=G460,1,0)</f>
        <v>0</v>
      </c>
      <c r="I460">
        <f>H460*INDEX(Question_Bank!$M$3:$M$14,MATCH(D460,Question_Bank!$A$3:$A$14,0))</f>
        <v>0</v>
      </c>
      <c r="J460">
        <f>SUMIFS($I$3:$I$566,$A$3:$A$566,A460)</f>
        <v>0</v>
      </c>
      <c r="K460" s="5">
        <f>J460/SUM(Question_Bank!$M$3:$M$14)</f>
        <v>0</v>
      </c>
      <c r="L460" s="5">
        <f>SUMIFS($I$3:$I$566,$A$3:$A$566,A460,$E$3:$E$566,E460)/SUMIFS(Question_Bank!$M$3:$M$14,Question_Bank!$B$3:$B$14,E460)</f>
        <v>0</v>
      </c>
      <c r="M460" t="s">
        <v>210</v>
      </c>
    </row>
    <row r="461" spans="1:13">
      <c r="A461" t="s">
        <v>209</v>
      </c>
      <c r="B461" t="s">
        <v>132</v>
      </c>
      <c r="C461" t="s">
        <v>133</v>
      </c>
      <c r="D461" t="s">
        <v>37</v>
      </c>
      <c r="E461" t="s">
        <v>15</v>
      </c>
      <c r="F461" t="s">
        <v>23</v>
      </c>
      <c r="G461">
        <f>INDEX(Question_Bank!$G$3:$G$14,MATCH(D461,Question_Bank!$A$3:$A$14,0))</f>
        <v>0</v>
      </c>
      <c r="H461">
        <f>IF(F461=G461,1,0)</f>
        <v>0</v>
      </c>
      <c r="I461">
        <f>H461*INDEX(Question_Bank!$M$3:$M$14,MATCH(D461,Question_Bank!$A$3:$A$14,0))</f>
        <v>0</v>
      </c>
      <c r="J461">
        <f>SUMIFS($I$3:$I$566,$A$3:$A$566,A461)</f>
        <v>0</v>
      </c>
      <c r="K461" s="5">
        <f>J461/SUM(Question_Bank!$M$3:$M$14)</f>
        <v>0</v>
      </c>
      <c r="L461" s="5">
        <f>SUMIFS($I$3:$I$566,$A$3:$A$566,A461,$E$3:$E$566,E461)/SUMIFS(Question_Bank!$M$3:$M$14,Question_Bank!$B$3:$B$14,E461)</f>
        <v>0</v>
      </c>
      <c r="M461" t="s">
        <v>210</v>
      </c>
    </row>
    <row r="462" spans="1:13">
      <c r="A462" t="s">
        <v>209</v>
      </c>
      <c r="B462" t="s">
        <v>132</v>
      </c>
      <c r="C462" t="s">
        <v>133</v>
      </c>
      <c r="D462" t="s">
        <v>45</v>
      </c>
      <c r="E462" t="s">
        <v>46</v>
      </c>
      <c r="F462" t="s">
        <v>34</v>
      </c>
      <c r="G462">
        <f>INDEX(Question_Bank!$G$3:$G$14,MATCH(D462,Question_Bank!$A$3:$A$14,0))</f>
        <v>0</v>
      </c>
      <c r="H462">
        <f>IF(F462=G462,1,0)</f>
        <v>0</v>
      </c>
      <c r="I462">
        <f>H462*INDEX(Question_Bank!$M$3:$M$14,MATCH(D462,Question_Bank!$A$3:$A$14,0))</f>
        <v>0</v>
      </c>
      <c r="J462">
        <f>SUMIFS($I$3:$I$566,$A$3:$A$566,A462)</f>
        <v>0</v>
      </c>
      <c r="K462" s="5">
        <f>J462/SUM(Question_Bank!$M$3:$M$14)</f>
        <v>0</v>
      </c>
      <c r="L462" s="5">
        <f>SUMIFS($I$3:$I$566,$A$3:$A$566,A462,$E$3:$E$566,E462)/SUMIFS(Question_Bank!$M$3:$M$14,Question_Bank!$B$3:$B$14,E462)</f>
        <v>0</v>
      </c>
      <c r="M462" t="s">
        <v>210</v>
      </c>
    </row>
    <row r="463" spans="1:13">
      <c r="A463" t="s">
        <v>209</v>
      </c>
      <c r="B463" t="s">
        <v>132</v>
      </c>
      <c r="C463" t="s">
        <v>133</v>
      </c>
      <c r="D463" t="s">
        <v>54</v>
      </c>
      <c r="E463" t="s">
        <v>46</v>
      </c>
      <c r="F463" t="s">
        <v>20</v>
      </c>
      <c r="G463">
        <f>INDEX(Question_Bank!$G$3:$G$14,MATCH(D463,Question_Bank!$A$3:$A$14,0))</f>
        <v>0</v>
      </c>
      <c r="H463">
        <f>IF(F463=G463,1,0)</f>
        <v>0</v>
      </c>
      <c r="I463">
        <f>H463*INDEX(Question_Bank!$M$3:$M$14,MATCH(D463,Question_Bank!$A$3:$A$14,0))</f>
        <v>0</v>
      </c>
      <c r="J463">
        <f>SUMIFS($I$3:$I$566,$A$3:$A$566,A463)</f>
        <v>0</v>
      </c>
      <c r="K463" s="5">
        <f>J463/SUM(Question_Bank!$M$3:$M$14)</f>
        <v>0</v>
      </c>
      <c r="L463" s="5">
        <f>SUMIFS($I$3:$I$566,$A$3:$A$566,A463,$E$3:$E$566,E463)/SUMIFS(Question_Bank!$M$3:$M$14,Question_Bank!$B$3:$B$14,E463)</f>
        <v>0</v>
      </c>
      <c r="M463" t="s">
        <v>210</v>
      </c>
    </row>
    <row r="464" spans="1:13">
      <c r="A464" t="s">
        <v>209</v>
      </c>
      <c r="B464" t="s">
        <v>132</v>
      </c>
      <c r="C464" t="s">
        <v>133</v>
      </c>
      <c r="D464" t="s">
        <v>62</v>
      </c>
      <c r="E464" t="s">
        <v>46</v>
      </c>
      <c r="F464" t="s">
        <v>31</v>
      </c>
      <c r="G464">
        <f>INDEX(Question_Bank!$G$3:$G$14,MATCH(D464,Question_Bank!$A$3:$A$14,0))</f>
        <v>0</v>
      </c>
      <c r="H464">
        <f>IF(F464=G464,1,0)</f>
        <v>0</v>
      </c>
      <c r="I464">
        <f>H464*INDEX(Question_Bank!$M$3:$M$14,MATCH(D464,Question_Bank!$A$3:$A$14,0))</f>
        <v>0</v>
      </c>
      <c r="J464">
        <f>SUMIFS($I$3:$I$566,$A$3:$A$566,A464)</f>
        <v>0</v>
      </c>
      <c r="K464" s="5">
        <f>J464/SUM(Question_Bank!$M$3:$M$14)</f>
        <v>0</v>
      </c>
      <c r="L464" s="5">
        <f>SUMIFS($I$3:$I$566,$A$3:$A$566,A464,$E$3:$E$566,E464)/SUMIFS(Question_Bank!$M$3:$M$14,Question_Bank!$B$3:$B$14,E464)</f>
        <v>0</v>
      </c>
      <c r="M464" t="s">
        <v>210</v>
      </c>
    </row>
    <row r="465" spans="1:13">
      <c r="A465" t="s">
        <v>209</v>
      </c>
      <c r="B465" t="s">
        <v>132</v>
      </c>
      <c r="C465" t="s">
        <v>133</v>
      </c>
      <c r="D465" t="s">
        <v>70</v>
      </c>
      <c r="E465" t="s">
        <v>71</v>
      </c>
      <c r="F465" t="s">
        <v>23</v>
      </c>
      <c r="G465">
        <f>INDEX(Question_Bank!$G$3:$G$14,MATCH(D465,Question_Bank!$A$3:$A$14,0))</f>
        <v>0</v>
      </c>
      <c r="H465">
        <f>IF(F465=G465,1,0)</f>
        <v>0</v>
      </c>
      <c r="I465">
        <f>H465*INDEX(Question_Bank!$M$3:$M$14,MATCH(D465,Question_Bank!$A$3:$A$14,0))</f>
        <v>0</v>
      </c>
      <c r="J465">
        <f>SUMIFS($I$3:$I$566,$A$3:$A$566,A465)</f>
        <v>0</v>
      </c>
      <c r="K465" s="5">
        <f>J465/SUM(Question_Bank!$M$3:$M$14)</f>
        <v>0</v>
      </c>
      <c r="L465" s="5">
        <f>SUMIFS($I$3:$I$566,$A$3:$A$566,A465,$E$3:$E$566,E465)/SUMIFS(Question_Bank!$M$3:$M$14,Question_Bank!$B$3:$B$14,E465)</f>
        <v>0</v>
      </c>
      <c r="M465" t="s">
        <v>210</v>
      </c>
    </row>
    <row r="466" spans="1:13">
      <c r="A466" t="s">
        <v>209</v>
      </c>
      <c r="B466" t="s">
        <v>132</v>
      </c>
      <c r="C466" t="s">
        <v>133</v>
      </c>
      <c r="D466" t="s">
        <v>79</v>
      </c>
      <c r="E466" t="s">
        <v>71</v>
      </c>
      <c r="F466" t="s">
        <v>31</v>
      </c>
      <c r="G466">
        <f>INDEX(Question_Bank!$G$3:$G$14,MATCH(D466,Question_Bank!$A$3:$A$14,0))</f>
        <v>0</v>
      </c>
      <c r="H466">
        <f>IF(F466=G466,1,0)</f>
        <v>0</v>
      </c>
      <c r="I466">
        <f>H466*INDEX(Question_Bank!$M$3:$M$14,MATCH(D466,Question_Bank!$A$3:$A$14,0))</f>
        <v>0</v>
      </c>
      <c r="J466">
        <f>SUMIFS($I$3:$I$566,$A$3:$A$566,A466)</f>
        <v>0</v>
      </c>
      <c r="K466" s="5">
        <f>J466/SUM(Question_Bank!$M$3:$M$14)</f>
        <v>0</v>
      </c>
      <c r="L466" s="5">
        <f>SUMIFS($I$3:$I$566,$A$3:$A$566,A466,$E$3:$E$566,E466)/SUMIFS(Question_Bank!$M$3:$M$14,Question_Bank!$B$3:$B$14,E466)</f>
        <v>0</v>
      </c>
      <c r="M466" t="s">
        <v>210</v>
      </c>
    </row>
    <row r="467" spans="1:13">
      <c r="A467" t="s">
        <v>209</v>
      </c>
      <c r="B467" t="s">
        <v>132</v>
      </c>
      <c r="C467" t="s">
        <v>133</v>
      </c>
      <c r="D467" t="s">
        <v>87</v>
      </c>
      <c r="E467" t="s">
        <v>71</v>
      </c>
      <c r="F467" t="s">
        <v>20</v>
      </c>
      <c r="G467">
        <f>INDEX(Question_Bank!$G$3:$G$14,MATCH(D467,Question_Bank!$A$3:$A$14,0))</f>
        <v>0</v>
      </c>
      <c r="H467">
        <f>IF(F467=G467,1,0)</f>
        <v>0</v>
      </c>
      <c r="I467">
        <f>H467*INDEX(Question_Bank!$M$3:$M$14,MATCH(D467,Question_Bank!$A$3:$A$14,0))</f>
        <v>0</v>
      </c>
      <c r="J467">
        <f>SUMIFS($I$3:$I$566,$A$3:$A$566,A467)</f>
        <v>0</v>
      </c>
      <c r="K467" s="5">
        <f>J467/SUM(Question_Bank!$M$3:$M$14)</f>
        <v>0</v>
      </c>
      <c r="L467" s="5">
        <f>SUMIFS($I$3:$I$566,$A$3:$A$566,A467,$E$3:$E$566,E467)/SUMIFS(Question_Bank!$M$3:$M$14,Question_Bank!$B$3:$B$14,E467)</f>
        <v>0</v>
      </c>
      <c r="M467" t="s">
        <v>210</v>
      </c>
    </row>
    <row r="468" spans="1:13">
      <c r="A468" t="s">
        <v>209</v>
      </c>
      <c r="B468" t="s">
        <v>132</v>
      </c>
      <c r="C468" t="s">
        <v>133</v>
      </c>
      <c r="D468" t="s">
        <v>95</v>
      </c>
      <c r="E468" t="s">
        <v>96</v>
      </c>
      <c r="F468" t="s">
        <v>31</v>
      </c>
      <c r="G468">
        <f>INDEX(Question_Bank!$G$3:$G$14,MATCH(D468,Question_Bank!$A$3:$A$14,0))</f>
        <v>0</v>
      </c>
      <c r="H468">
        <f>IF(F468=G468,1,0)</f>
        <v>0</v>
      </c>
      <c r="I468">
        <f>H468*INDEX(Question_Bank!$M$3:$M$14,MATCH(D468,Question_Bank!$A$3:$A$14,0))</f>
        <v>0</v>
      </c>
      <c r="J468">
        <f>SUMIFS($I$3:$I$566,$A$3:$A$566,A468)</f>
        <v>0</v>
      </c>
      <c r="K468" s="5">
        <f>J468/SUM(Question_Bank!$M$3:$M$14)</f>
        <v>0</v>
      </c>
      <c r="L468" s="5">
        <f>SUMIFS($I$3:$I$566,$A$3:$A$566,A468,$E$3:$E$566,E468)/SUMIFS(Question_Bank!$M$3:$M$14,Question_Bank!$B$3:$B$14,E468)</f>
        <v>0</v>
      </c>
      <c r="M468" t="s">
        <v>210</v>
      </c>
    </row>
    <row r="469" spans="1:13">
      <c r="A469" t="s">
        <v>209</v>
      </c>
      <c r="B469" t="s">
        <v>132</v>
      </c>
      <c r="C469" t="s">
        <v>133</v>
      </c>
      <c r="D469" t="s">
        <v>104</v>
      </c>
      <c r="E469" t="s">
        <v>96</v>
      </c>
      <c r="F469" t="s">
        <v>23</v>
      </c>
      <c r="G469">
        <f>INDEX(Question_Bank!$G$3:$G$14,MATCH(D469,Question_Bank!$A$3:$A$14,0))</f>
        <v>0</v>
      </c>
      <c r="H469">
        <f>IF(F469=G469,1,0)</f>
        <v>0</v>
      </c>
      <c r="I469">
        <f>H469*INDEX(Question_Bank!$M$3:$M$14,MATCH(D469,Question_Bank!$A$3:$A$14,0))</f>
        <v>0</v>
      </c>
      <c r="J469">
        <f>SUMIFS($I$3:$I$566,$A$3:$A$566,A469)</f>
        <v>0</v>
      </c>
      <c r="K469" s="5">
        <f>J469/SUM(Question_Bank!$M$3:$M$14)</f>
        <v>0</v>
      </c>
      <c r="L469" s="5">
        <f>SUMIFS($I$3:$I$566,$A$3:$A$566,A469,$E$3:$E$566,E469)/SUMIFS(Question_Bank!$M$3:$M$14,Question_Bank!$B$3:$B$14,E469)</f>
        <v>0</v>
      </c>
      <c r="M469" t="s">
        <v>210</v>
      </c>
    </row>
    <row r="470" spans="1:13">
      <c r="A470" t="s">
        <v>209</v>
      </c>
      <c r="B470" t="s">
        <v>132</v>
      </c>
      <c r="C470" t="s">
        <v>133</v>
      </c>
      <c r="D470" t="s">
        <v>112</v>
      </c>
      <c r="E470" t="s">
        <v>96</v>
      </c>
      <c r="F470" t="s">
        <v>31</v>
      </c>
      <c r="G470">
        <f>INDEX(Question_Bank!$G$3:$G$14,MATCH(D470,Question_Bank!$A$3:$A$14,0))</f>
        <v>0</v>
      </c>
      <c r="H470">
        <f>IF(F470=G470,1,0)</f>
        <v>0</v>
      </c>
      <c r="I470">
        <f>H470*INDEX(Question_Bank!$M$3:$M$14,MATCH(D470,Question_Bank!$A$3:$A$14,0))</f>
        <v>0</v>
      </c>
      <c r="J470">
        <f>SUMIFS($I$3:$I$566,$A$3:$A$566,A470)</f>
        <v>0</v>
      </c>
      <c r="K470" s="5">
        <f>J470/SUM(Question_Bank!$M$3:$M$14)</f>
        <v>0</v>
      </c>
      <c r="L470" s="5">
        <f>SUMIFS($I$3:$I$566,$A$3:$A$566,A470,$E$3:$E$566,E470)/SUMIFS(Question_Bank!$M$3:$M$14,Question_Bank!$B$3:$B$14,E470)</f>
        <v>0</v>
      </c>
      <c r="M470" t="s">
        <v>210</v>
      </c>
    </row>
    <row r="471" spans="1:13">
      <c r="A471" t="s">
        <v>211</v>
      </c>
      <c r="B471" t="s">
        <v>132</v>
      </c>
      <c r="C471" t="s">
        <v>133</v>
      </c>
      <c r="D471" t="s">
        <v>14</v>
      </c>
      <c r="E471" t="s">
        <v>15</v>
      </c>
      <c r="F471" t="s">
        <v>31</v>
      </c>
      <c r="G471">
        <f>INDEX(Question_Bank!$G$3:$G$14,MATCH(D471,Question_Bank!$A$3:$A$14,0))</f>
        <v>0</v>
      </c>
      <c r="H471">
        <f>IF(F471=G471,1,0)</f>
        <v>0</v>
      </c>
      <c r="I471">
        <f>H471*INDEX(Question_Bank!$M$3:$M$14,MATCH(D471,Question_Bank!$A$3:$A$14,0))</f>
        <v>0</v>
      </c>
      <c r="J471">
        <f>SUMIFS($I$3:$I$566,$A$3:$A$566,A471)</f>
        <v>0</v>
      </c>
      <c r="K471" s="5">
        <f>J471/SUM(Question_Bank!$M$3:$M$14)</f>
        <v>0</v>
      </c>
      <c r="L471" s="5">
        <f>SUMIFS($I$3:$I$566,$A$3:$A$566,A471,$E$3:$E$566,E471)/SUMIFS(Question_Bank!$M$3:$M$14,Question_Bank!$B$3:$B$14,E471)</f>
        <v>0</v>
      </c>
      <c r="M471" t="s">
        <v>212</v>
      </c>
    </row>
    <row r="472" spans="1:13">
      <c r="A472" t="s">
        <v>211</v>
      </c>
      <c r="B472" t="s">
        <v>132</v>
      </c>
      <c r="C472" t="s">
        <v>133</v>
      </c>
      <c r="D472" t="s">
        <v>26</v>
      </c>
      <c r="E472" t="s">
        <v>15</v>
      </c>
      <c r="F472" t="s">
        <v>31</v>
      </c>
      <c r="G472">
        <f>INDEX(Question_Bank!$G$3:$G$14,MATCH(D472,Question_Bank!$A$3:$A$14,0))</f>
        <v>0</v>
      </c>
      <c r="H472">
        <f>IF(F472=G472,1,0)</f>
        <v>0</v>
      </c>
      <c r="I472">
        <f>H472*INDEX(Question_Bank!$M$3:$M$14,MATCH(D472,Question_Bank!$A$3:$A$14,0))</f>
        <v>0</v>
      </c>
      <c r="J472">
        <f>SUMIFS($I$3:$I$566,$A$3:$A$566,A472)</f>
        <v>0</v>
      </c>
      <c r="K472" s="5">
        <f>J472/SUM(Question_Bank!$M$3:$M$14)</f>
        <v>0</v>
      </c>
      <c r="L472" s="5">
        <f>SUMIFS($I$3:$I$566,$A$3:$A$566,A472,$E$3:$E$566,E472)/SUMIFS(Question_Bank!$M$3:$M$14,Question_Bank!$B$3:$B$14,E472)</f>
        <v>0</v>
      </c>
      <c r="M472" t="s">
        <v>212</v>
      </c>
    </row>
    <row r="473" spans="1:13">
      <c r="A473" t="s">
        <v>211</v>
      </c>
      <c r="B473" t="s">
        <v>132</v>
      </c>
      <c r="C473" t="s">
        <v>133</v>
      </c>
      <c r="D473" t="s">
        <v>37</v>
      </c>
      <c r="E473" t="s">
        <v>15</v>
      </c>
      <c r="F473" t="s">
        <v>23</v>
      </c>
      <c r="G473">
        <f>INDEX(Question_Bank!$G$3:$G$14,MATCH(D473,Question_Bank!$A$3:$A$14,0))</f>
        <v>0</v>
      </c>
      <c r="H473">
        <f>IF(F473=G473,1,0)</f>
        <v>0</v>
      </c>
      <c r="I473">
        <f>H473*INDEX(Question_Bank!$M$3:$M$14,MATCH(D473,Question_Bank!$A$3:$A$14,0))</f>
        <v>0</v>
      </c>
      <c r="J473">
        <f>SUMIFS($I$3:$I$566,$A$3:$A$566,A473)</f>
        <v>0</v>
      </c>
      <c r="K473" s="5">
        <f>J473/SUM(Question_Bank!$M$3:$M$14)</f>
        <v>0</v>
      </c>
      <c r="L473" s="5">
        <f>SUMIFS($I$3:$I$566,$A$3:$A$566,A473,$E$3:$E$566,E473)/SUMIFS(Question_Bank!$M$3:$M$14,Question_Bank!$B$3:$B$14,E473)</f>
        <v>0</v>
      </c>
      <c r="M473" t="s">
        <v>212</v>
      </c>
    </row>
    <row r="474" spans="1:13">
      <c r="A474" t="s">
        <v>211</v>
      </c>
      <c r="B474" t="s">
        <v>132</v>
      </c>
      <c r="C474" t="s">
        <v>133</v>
      </c>
      <c r="D474" t="s">
        <v>45</v>
      </c>
      <c r="E474" t="s">
        <v>46</v>
      </c>
      <c r="F474" t="s">
        <v>34</v>
      </c>
      <c r="G474">
        <f>INDEX(Question_Bank!$G$3:$G$14,MATCH(D474,Question_Bank!$A$3:$A$14,0))</f>
        <v>0</v>
      </c>
      <c r="H474">
        <f>IF(F474=G474,1,0)</f>
        <v>0</v>
      </c>
      <c r="I474">
        <f>H474*INDEX(Question_Bank!$M$3:$M$14,MATCH(D474,Question_Bank!$A$3:$A$14,0))</f>
        <v>0</v>
      </c>
      <c r="J474">
        <f>SUMIFS($I$3:$I$566,$A$3:$A$566,A474)</f>
        <v>0</v>
      </c>
      <c r="K474" s="5">
        <f>J474/SUM(Question_Bank!$M$3:$M$14)</f>
        <v>0</v>
      </c>
      <c r="L474" s="5">
        <f>SUMIFS($I$3:$I$566,$A$3:$A$566,A474,$E$3:$E$566,E474)/SUMIFS(Question_Bank!$M$3:$M$14,Question_Bank!$B$3:$B$14,E474)</f>
        <v>0</v>
      </c>
      <c r="M474" t="s">
        <v>212</v>
      </c>
    </row>
    <row r="475" spans="1:13">
      <c r="A475" t="s">
        <v>211</v>
      </c>
      <c r="B475" t="s">
        <v>132</v>
      </c>
      <c r="C475" t="s">
        <v>133</v>
      </c>
      <c r="D475" t="s">
        <v>54</v>
      </c>
      <c r="E475" t="s">
        <v>46</v>
      </c>
      <c r="F475" t="s">
        <v>20</v>
      </c>
      <c r="G475">
        <f>INDEX(Question_Bank!$G$3:$G$14,MATCH(D475,Question_Bank!$A$3:$A$14,0))</f>
        <v>0</v>
      </c>
      <c r="H475">
        <f>IF(F475=G475,1,0)</f>
        <v>0</v>
      </c>
      <c r="I475">
        <f>H475*INDEX(Question_Bank!$M$3:$M$14,MATCH(D475,Question_Bank!$A$3:$A$14,0))</f>
        <v>0</v>
      </c>
      <c r="J475">
        <f>SUMIFS($I$3:$I$566,$A$3:$A$566,A475)</f>
        <v>0</v>
      </c>
      <c r="K475" s="5">
        <f>J475/SUM(Question_Bank!$M$3:$M$14)</f>
        <v>0</v>
      </c>
      <c r="L475" s="5">
        <f>SUMIFS($I$3:$I$566,$A$3:$A$566,A475,$E$3:$E$566,E475)/SUMIFS(Question_Bank!$M$3:$M$14,Question_Bank!$B$3:$B$14,E475)</f>
        <v>0</v>
      </c>
      <c r="M475" t="s">
        <v>212</v>
      </c>
    </row>
    <row r="476" spans="1:13">
      <c r="A476" t="s">
        <v>211</v>
      </c>
      <c r="B476" t="s">
        <v>132</v>
      </c>
      <c r="C476" t="s">
        <v>133</v>
      </c>
      <c r="D476" t="s">
        <v>62</v>
      </c>
      <c r="E476" t="s">
        <v>46</v>
      </c>
      <c r="F476" t="s">
        <v>31</v>
      </c>
      <c r="G476">
        <f>INDEX(Question_Bank!$G$3:$G$14,MATCH(D476,Question_Bank!$A$3:$A$14,0))</f>
        <v>0</v>
      </c>
      <c r="H476">
        <f>IF(F476=G476,1,0)</f>
        <v>0</v>
      </c>
      <c r="I476">
        <f>H476*INDEX(Question_Bank!$M$3:$M$14,MATCH(D476,Question_Bank!$A$3:$A$14,0))</f>
        <v>0</v>
      </c>
      <c r="J476">
        <f>SUMIFS($I$3:$I$566,$A$3:$A$566,A476)</f>
        <v>0</v>
      </c>
      <c r="K476" s="5">
        <f>J476/SUM(Question_Bank!$M$3:$M$14)</f>
        <v>0</v>
      </c>
      <c r="L476" s="5">
        <f>SUMIFS($I$3:$I$566,$A$3:$A$566,A476,$E$3:$E$566,E476)/SUMIFS(Question_Bank!$M$3:$M$14,Question_Bank!$B$3:$B$14,E476)</f>
        <v>0</v>
      </c>
      <c r="M476" t="s">
        <v>212</v>
      </c>
    </row>
    <row r="477" spans="1:13">
      <c r="A477" t="s">
        <v>211</v>
      </c>
      <c r="B477" t="s">
        <v>132</v>
      </c>
      <c r="C477" t="s">
        <v>133</v>
      </c>
      <c r="D477" t="s">
        <v>70</v>
      </c>
      <c r="E477" t="s">
        <v>71</v>
      </c>
      <c r="F477" t="s">
        <v>20</v>
      </c>
      <c r="G477">
        <f>INDEX(Question_Bank!$G$3:$G$14,MATCH(D477,Question_Bank!$A$3:$A$14,0))</f>
        <v>0</v>
      </c>
      <c r="H477">
        <f>IF(F477=G477,1,0)</f>
        <v>0</v>
      </c>
      <c r="I477">
        <f>H477*INDEX(Question_Bank!$M$3:$M$14,MATCH(D477,Question_Bank!$A$3:$A$14,0))</f>
        <v>0</v>
      </c>
      <c r="J477">
        <f>SUMIFS($I$3:$I$566,$A$3:$A$566,A477)</f>
        <v>0</v>
      </c>
      <c r="K477" s="5">
        <f>J477/SUM(Question_Bank!$M$3:$M$14)</f>
        <v>0</v>
      </c>
      <c r="L477" s="5">
        <f>SUMIFS($I$3:$I$566,$A$3:$A$566,A477,$E$3:$E$566,E477)/SUMIFS(Question_Bank!$M$3:$M$14,Question_Bank!$B$3:$B$14,E477)</f>
        <v>0</v>
      </c>
      <c r="M477" t="s">
        <v>212</v>
      </c>
    </row>
    <row r="478" spans="1:13">
      <c r="A478" t="s">
        <v>211</v>
      </c>
      <c r="B478" t="s">
        <v>132</v>
      </c>
      <c r="C478" t="s">
        <v>133</v>
      </c>
      <c r="D478" t="s">
        <v>79</v>
      </c>
      <c r="E478" t="s">
        <v>71</v>
      </c>
      <c r="F478" t="s">
        <v>31</v>
      </c>
      <c r="G478">
        <f>INDEX(Question_Bank!$G$3:$G$14,MATCH(D478,Question_Bank!$A$3:$A$14,0))</f>
        <v>0</v>
      </c>
      <c r="H478">
        <f>IF(F478=G478,1,0)</f>
        <v>0</v>
      </c>
      <c r="I478">
        <f>H478*INDEX(Question_Bank!$M$3:$M$14,MATCH(D478,Question_Bank!$A$3:$A$14,0))</f>
        <v>0</v>
      </c>
      <c r="J478">
        <f>SUMIFS($I$3:$I$566,$A$3:$A$566,A478)</f>
        <v>0</v>
      </c>
      <c r="K478" s="5">
        <f>J478/SUM(Question_Bank!$M$3:$M$14)</f>
        <v>0</v>
      </c>
      <c r="L478" s="5">
        <f>SUMIFS($I$3:$I$566,$A$3:$A$566,A478,$E$3:$E$566,E478)/SUMIFS(Question_Bank!$M$3:$M$14,Question_Bank!$B$3:$B$14,E478)</f>
        <v>0</v>
      </c>
      <c r="M478" t="s">
        <v>212</v>
      </c>
    </row>
    <row r="479" spans="1:13">
      <c r="A479" t="s">
        <v>211</v>
      </c>
      <c r="B479" t="s">
        <v>132</v>
      </c>
      <c r="C479" t="s">
        <v>133</v>
      </c>
      <c r="D479" t="s">
        <v>87</v>
      </c>
      <c r="E479" t="s">
        <v>71</v>
      </c>
      <c r="F479" t="s">
        <v>20</v>
      </c>
      <c r="G479">
        <f>INDEX(Question_Bank!$G$3:$G$14,MATCH(D479,Question_Bank!$A$3:$A$14,0))</f>
        <v>0</v>
      </c>
      <c r="H479">
        <f>IF(F479=G479,1,0)</f>
        <v>0</v>
      </c>
      <c r="I479">
        <f>H479*INDEX(Question_Bank!$M$3:$M$14,MATCH(D479,Question_Bank!$A$3:$A$14,0))</f>
        <v>0</v>
      </c>
      <c r="J479">
        <f>SUMIFS($I$3:$I$566,$A$3:$A$566,A479)</f>
        <v>0</v>
      </c>
      <c r="K479" s="5">
        <f>J479/SUM(Question_Bank!$M$3:$M$14)</f>
        <v>0</v>
      </c>
      <c r="L479" s="5">
        <f>SUMIFS($I$3:$I$566,$A$3:$A$566,A479,$E$3:$E$566,E479)/SUMIFS(Question_Bank!$M$3:$M$14,Question_Bank!$B$3:$B$14,E479)</f>
        <v>0</v>
      </c>
      <c r="M479" t="s">
        <v>212</v>
      </c>
    </row>
    <row r="480" spans="1:13">
      <c r="A480" t="s">
        <v>211</v>
      </c>
      <c r="B480" t="s">
        <v>132</v>
      </c>
      <c r="C480" t="s">
        <v>133</v>
      </c>
      <c r="D480" t="s">
        <v>95</v>
      </c>
      <c r="E480" t="s">
        <v>96</v>
      </c>
      <c r="F480" t="s">
        <v>20</v>
      </c>
      <c r="G480">
        <f>INDEX(Question_Bank!$G$3:$G$14,MATCH(D480,Question_Bank!$A$3:$A$14,0))</f>
        <v>0</v>
      </c>
      <c r="H480">
        <f>IF(F480=G480,1,0)</f>
        <v>0</v>
      </c>
      <c r="I480">
        <f>H480*INDEX(Question_Bank!$M$3:$M$14,MATCH(D480,Question_Bank!$A$3:$A$14,0))</f>
        <v>0</v>
      </c>
      <c r="J480">
        <f>SUMIFS($I$3:$I$566,$A$3:$A$566,A480)</f>
        <v>0</v>
      </c>
      <c r="K480" s="5">
        <f>J480/SUM(Question_Bank!$M$3:$M$14)</f>
        <v>0</v>
      </c>
      <c r="L480" s="5">
        <f>SUMIFS($I$3:$I$566,$A$3:$A$566,A480,$E$3:$E$566,E480)/SUMIFS(Question_Bank!$M$3:$M$14,Question_Bank!$B$3:$B$14,E480)</f>
        <v>0</v>
      </c>
      <c r="M480" t="s">
        <v>212</v>
      </c>
    </row>
    <row r="481" spans="1:13">
      <c r="A481" t="s">
        <v>211</v>
      </c>
      <c r="B481" t="s">
        <v>132</v>
      </c>
      <c r="C481" t="s">
        <v>133</v>
      </c>
      <c r="D481" t="s">
        <v>104</v>
      </c>
      <c r="E481" t="s">
        <v>96</v>
      </c>
      <c r="F481" t="s">
        <v>23</v>
      </c>
      <c r="G481">
        <f>INDEX(Question_Bank!$G$3:$G$14,MATCH(D481,Question_Bank!$A$3:$A$14,0))</f>
        <v>0</v>
      </c>
      <c r="H481">
        <f>IF(F481=G481,1,0)</f>
        <v>0</v>
      </c>
      <c r="I481">
        <f>H481*INDEX(Question_Bank!$M$3:$M$14,MATCH(D481,Question_Bank!$A$3:$A$14,0))</f>
        <v>0</v>
      </c>
      <c r="J481">
        <f>SUMIFS($I$3:$I$566,$A$3:$A$566,A481)</f>
        <v>0</v>
      </c>
      <c r="K481" s="5">
        <f>J481/SUM(Question_Bank!$M$3:$M$14)</f>
        <v>0</v>
      </c>
      <c r="L481" s="5">
        <f>SUMIFS($I$3:$I$566,$A$3:$A$566,A481,$E$3:$E$566,E481)/SUMIFS(Question_Bank!$M$3:$M$14,Question_Bank!$B$3:$B$14,E481)</f>
        <v>0</v>
      </c>
      <c r="M481" t="s">
        <v>212</v>
      </c>
    </row>
    <row r="482" spans="1:13">
      <c r="A482" t="s">
        <v>211</v>
      </c>
      <c r="B482" t="s">
        <v>132</v>
      </c>
      <c r="C482" t="s">
        <v>133</v>
      </c>
      <c r="D482" t="s">
        <v>112</v>
      </c>
      <c r="E482" t="s">
        <v>96</v>
      </c>
      <c r="F482" t="s">
        <v>20</v>
      </c>
      <c r="G482">
        <f>INDEX(Question_Bank!$G$3:$G$14,MATCH(D482,Question_Bank!$A$3:$A$14,0))</f>
        <v>0</v>
      </c>
      <c r="H482">
        <f>IF(F482=G482,1,0)</f>
        <v>0</v>
      </c>
      <c r="I482">
        <f>H482*INDEX(Question_Bank!$M$3:$M$14,MATCH(D482,Question_Bank!$A$3:$A$14,0))</f>
        <v>0</v>
      </c>
      <c r="J482">
        <f>SUMIFS($I$3:$I$566,$A$3:$A$566,A482)</f>
        <v>0</v>
      </c>
      <c r="K482" s="5">
        <f>J482/SUM(Question_Bank!$M$3:$M$14)</f>
        <v>0</v>
      </c>
      <c r="L482" s="5">
        <f>SUMIFS($I$3:$I$566,$A$3:$A$566,A482,$E$3:$E$566,E482)/SUMIFS(Question_Bank!$M$3:$M$14,Question_Bank!$B$3:$B$14,E482)</f>
        <v>0</v>
      </c>
      <c r="M482" t="s">
        <v>212</v>
      </c>
    </row>
    <row r="483" spans="1:13">
      <c r="A483" t="s">
        <v>213</v>
      </c>
      <c r="B483" t="s">
        <v>132</v>
      </c>
      <c r="C483" t="s">
        <v>133</v>
      </c>
      <c r="D483" t="s">
        <v>14</v>
      </c>
      <c r="E483" t="s">
        <v>15</v>
      </c>
      <c r="F483" t="s">
        <v>20</v>
      </c>
      <c r="G483">
        <f>INDEX(Question_Bank!$G$3:$G$14,MATCH(D483,Question_Bank!$A$3:$A$14,0))</f>
        <v>0</v>
      </c>
      <c r="H483">
        <f>IF(F483=G483,1,0)</f>
        <v>0</v>
      </c>
      <c r="I483">
        <f>H483*INDEX(Question_Bank!$M$3:$M$14,MATCH(D483,Question_Bank!$A$3:$A$14,0))</f>
        <v>0</v>
      </c>
      <c r="J483">
        <f>SUMIFS($I$3:$I$566,$A$3:$A$566,A483)</f>
        <v>0</v>
      </c>
      <c r="K483" s="5">
        <f>J483/SUM(Question_Bank!$M$3:$M$14)</f>
        <v>0</v>
      </c>
      <c r="L483" s="5">
        <f>SUMIFS($I$3:$I$566,$A$3:$A$566,A483,$E$3:$E$566,E483)/SUMIFS(Question_Bank!$M$3:$M$14,Question_Bank!$B$3:$B$14,E483)</f>
        <v>0</v>
      </c>
      <c r="M483" t="s">
        <v>214</v>
      </c>
    </row>
    <row r="484" spans="1:13">
      <c r="A484" t="s">
        <v>213</v>
      </c>
      <c r="B484" t="s">
        <v>132</v>
      </c>
      <c r="C484" t="s">
        <v>133</v>
      </c>
      <c r="D484" t="s">
        <v>26</v>
      </c>
      <c r="E484" t="s">
        <v>15</v>
      </c>
      <c r="F484" t="s">
        <v>34</v>
      </c>
      <c r="G484">
        <f>INDEX(Question_Bank!$G$3:$G$14,MATCH(D484,Question_Bank!$A$3:$A$14,0))</f>
        <v>0</v>
      </c>
      <c r="H484">
        <f>IF(F484=G484,1,0)</f>
        <v>0</v>
      </c>
      <c r="I484">
        <f>H484*INDEX(Question_Bank!$M$3:$M$14,MATCH(D484,Question_Bank!$A$3:$A$14,0))</f>
        <v>0</v>
      </c>
      <c r="J484">
        <f>SUMIFS($I$3:$I$566,$A$3:$A$566,A484)</f>
        <v>0</v>
      </c>
      <c r="K484" s="5">
        <f>J484/SUM(Question_Bank!$M$3:$M$14)</f>
        <v>0</v>
      </c>
      <c r="L484" s="5">
        <f>SUMIFS($I$3:$I$566,$A$3:$A$566,A484,$E$3:$E$566,E484)/SUMIFS(Question_Bank!$M$3:$M$14,Question_Bank!$B$3:$B$14,E484)</f>
        <v>0</v>
      </c>
      <c r="M484" t="s">
        <v>214</v>
      </c>
    </row>
    <row r="485" spans="1:13">
      <c r="A485" t="s">
        <v>213</v>
      </c>
      <c r="B485" t="s">
        <v>132</v>
      </c>
      <c r="C485" t="s">
        <v>133</v>
      </c>
      <c r="D485" t="s">
        <v>37</v>
      </c>
      <c r="E485" t="s">
        <v>15</v>
      </c>
      <c r="F485" t="s">
        <v>23</v>
      </c>
      <c r="G485">
        <f>INDEX(Question_Bank!$G$3:$G$14,MATCH(D485,Question_Bank!$A$3:$A$14,0))</f>
        <v>0</v>
      </c>
      <c r="H485">
        <f>IF(F485=G485,1,0)</f>
        <v>0</v>
      </c>
      <c r="I485">
        <f>H485*INDEX(Question_Bank!$M$3:$M$14,MATCH(D485,Question_Bank!$A$3:$A$14,0))</f>
        <v>0</v>
      </c>
      <c r="J485">
        <f>SUMIFS($I$3:$I$566,$A$3:$A$566,A485)</f>
        <v>0</v>
      </c>
      <c r="K485" s="5">
        <f>J485/SUM(Question_Bank!$M$3:$M$14)</f>
        <v>0</v>
      </c>
      <c r="L485" s="5">
        <f>SUMIFS($I$3:$I$566,$A$3:$A$566,A485,$E$3:$E$566,E485)/SUMIFS(Question_Bank!$M$3:$M$14,Question_Bank!$B$3:$B$14,E485)</f>
        <v>0</v>
      </c>
      <c r="M485" t="s">
        <v>214</v>
      </c>
    </row>
    <row r="486" spans="1:13">
      <c r="A486" t="s">
        <v>213</v>
      </c>
      <c r="B486" t="s">
        <v>132</v>
      </c>
      <c r="C486" t="s">
        <v>133</v>
      </c>
      <c r="D486" t="s">
        <v>45</v>
      </c>
      <c r="E486" t="s">
        <v>46</v>
      </c>
      <c r="F486" t="s">
        <v>34</v>
      </c>
      <c r="G486">
        <f>INDEX(Question_Bank!$G$3:$G$14,MATCH(D486,Question_Bank!$A$3:$A$14,0))</f>
        <v>0</v>
      </c>
      <c r="H486">
        <f>IF(F486=G486,1,0)</f>
        <v>0</v>
      </c>
      <c r="I486">
        <f>H486*INDEX(Question_Bank!$M$3:$M$14,MATCH(D486,Question_Bank!$A$3:$A$14,0))</f>
        <v>0</v>
      </c>
      <c r="J486">
        <f>SUMIFS($I$3:$I$566,$A$3:$A$566,A486)</f>
        <v>0</v>
      </c>
      <c r="K486" s="5">
        <f>J486/SUM(Question_Bank!$M$3:$M$14)</f>
        <v>0</v>
      </c>
      <c r="L486" s="5">
        <f>SUMIFS($I$3:$I$566,$A$3:$A$566,A486,$E$3:$E$566,E486)/SUMIFS(Question_Bank!$M$3:$M$14,Question_Bank!$B$3:$B$14,E486)</f>
        <v>0</v>
      </c>
      <c r="M486" t="s">
        <v>214</v>
      </c>
    </row>
    <row r="487" spans="1:13">
      <c r="A487" t="s">
        <v>213</v>
      </c>
      <c r="B487" t="s">
        <v>132</v>
      </c>
      <c r="C487" t="s">
        <v>133</v>
      </c>
      <c r="D487" t="s">
        <v>54</v>
      </c>
      <c r="E487" t="s">
        <v>46</v>
      </c>
      <c r="F487" t="s">
        <v>20</v>
      </c>
      <c r="G487">
        <f>INDEX(Question_Bank!$G$3:$G$14,MATCH(D487,Question_Bank!$A$3:$A$14,0))</f>
        <v>0</v>
      </c>
      <c r="H487">
        <f>IF(F487=G487,1,0)</f>
        <v>0</v>
      </c>
      <c r="I487">
        <f>H487*INDEX(Question_Bank!$M$3:$M$14,MATCH(D487,Question_Bank!$A$3:$A$14,0))</f>
        <v>0</v>
      </c>
      <c r="J487">
        <f>SUMIFS($I$3:$I$566,$A$3:$A$566,A487)</f>
        <v>0</v>
      </c>
      <c r="K487" s="5">
        <f>J487/SUM(Question_Bank!$M$3:$M$14)</f>
        <v>0</v>
      </c>
      <c r="L487" s="5">
        <f>SUMIFS($I$3:$I$566,$A$3:$A$566,A487,$E$3:$E$566,E487)/SUMIFS(Question_Bank!$M$3:$M$14,Question_Bank!$B$3:$B$14,E487)</f>
        <v>0</v>
      </c>
      <c r="M487" t="s">
        <v>214</v>
      </c>
    </row>
    <row r="488" spans="1:13">
      <c r="A488" t="s">
        <v>213</v>
      </c>
      <c r="B488" t="s">
        <v>132</v>
      </c>
      <c r="C488" t="s">
        <v>133</v>
      </c>
      <c r="D488" t="s">
        <v>62</v>
      </c>
      <c r="E488" t="s">
        <v>46</v>
      </c>
      <c r="F488" t="s">
        <v>23</v>
      </c>
      <c r="G488">
        <f>INDEX(Question_Bank!$G$3:$G$14,MATCH(D488,Question_Bank!$A$3:$A$14,0))</f>
        <v>0</v>
      </c>
      <c r="H488">
        <f>IF(F488=G488,1,0)</f>
        <v>0</v>
      </c>
      <c r="I488">
        <f>H488*INDEX(Question_Bank!$M$3:$M$14,MATCH(D488,Question_Bank!$A$3:$A$14,0))</f>
        <v>0</v>
      </c>
      <c r="J488">
        <f>SUMIFS($I$3:$I$566,$A$3:$A$566,A488)</f>
        <v>0</v>
      </c>
      <c r="K488" s="5">
        <f>J488/SUM(Question_Bank!$M$3:$M$14)</f>
        <v>0</v>
      </c>
      <c r="L488" s="5">
        <f>SUMIFS($I$3:$I$566,$A$3:$A$566,A488,$E$3:$E$566,E488)/SUMIFS(Question_Bank!$M$3:$M$14,Question_Bank!$B$3:$B$14,E488)</f>
        <v>0</v>
      </c>
      <c r="M488" t="s">
        <v>214</v>
      </c>
    </row>
    <row r="489" spans="1:13">
      <c r="A489" t="s">
        <v>213</v>
      </c>
      <c r="B489" t="s">
        <v>132</v>
      </c>
      <c r="C489" t="s">
        <v>133</v>
      </c>
      <c r="D489" t="s">
        <v>70</v>
      </c>
      <c r="E489" t="s">
        <v>71</v>
      </c>
      <c r="F489" t="s">
        <v>31</v>
      </c>
      <c r="G489">
        <f>INDEX(Question_Bank!$G$3:$G$14,MATCH(D489,Question_Bank!$A$3:$A$14,0))</f>
        <v>0</v>
      </c>
      <c r="H489">
        <f>IF(F489=G489,1,0)</f>
        <v>0</v>
      </c>
      <c r="I489">
        <f>H489*INDEX(Question_Bank!$M$3:$M$14,MATCH(D489,Question_Bank!$A$3:$A$14,0))</f>
        <v>0</v>
      </c>
      <c r="J489">
        <f>SUMIFS($I$3:$I$566,$A$3:$A$566,A489)</f>
        <v>0</v>
      </c>
      <c r="K489" s="5">
        <f>J489/SUM(Question_Bank!$M$3:$M$14)</f>
        <v>0</v>
      </c>
      <c r="L489" s="5">
        <f>SUMIFS($I$3:$I$566,$A$3:$A$566,A489,$E$3:$E$566,E489)/SUMIFS(Question_Bank!$M$3:$M$14,Question_Bank!$B$3:$B$14,E489)</f>
        <v>0</v>
      </c>
      <c r="M489" t="s">
        <v>214</v>
      </c>
    </row>
    <row r="490" spans="1:13">
      <c r="A490" t="s">
        <v>213</v>
      </c>
      <c r="B490" t="s">
        <v>132</v>
      </c>
      <c r="C490" t="s">
        <v>133</v>
      </c>
      <c r="D490" t="s">
        <v>79</v>
      </c>
      <c r="E490" t="s">
        <v>71</v>
      </c>
      <c r="F490" t="s">
        <v>34</v>
      </c>
      <c r="G490">
        <f>INDEX(Question_Bank!$G$3:$G$14,MATCH(D490,Question_Bank!$A$3:$A$14,0))</f>
        <v>0</v>
      </c>
      <c r="H490">
        <f>IF(F490=G490,1,0)</f>
        <v>0</v>
      </c>
      <c r="I490">
        <f>H490*INDEX(Question_Bank!$M$3:$M$14,MATCH(D490,Question_Bank!$A$3:$A$14,0))</f>
        <v>0</v>
      </c>
      <c r="J490">
        <f>SUMIFS($I$3:$I$566,$A$3:$A$566,A490)</f>
        <v>0</v>
      </c>
      <c r="K490" s="5">
        <f>J490/SUM(Question_Bank!$M$3:$M$14)</f>
        <v>0</v>
      </c>
      <c r="L490" s="5">
        <f>SUMIFS($I$3:$I$566,$A$3:$A$566,A490,$E$3:$E$566,E490)/SUMIFS(Question_Bank!$M$3:$M$14,Question_Bank!$B$3:$B$14,E490)</f>
        <v>0</v>
      </c>
      <c r="M490" t="s">
        <v>214</v>
      </c>
    </row>
    <row r="491" spans="1:13">
      <c r="A491" t="s">
        <v>213</v>
      </c>
      <c r="B491" t="s">
        <v>132</v>
      </c>
      <c r="C491" t="s">
        <v>133</v>
      </c>
      <c r="D491" t="s">
        <v>87</v>
      </c>
      <c r="E491" t="s">
        <v>71</v>
      </c>
      <c r="F491" t="s">
        <v>34</v>
      </c>
      <c r="G491">
        <f>INDEX(Question_Bank!$G$3:$G$14,MATCH(D491,Question_Bank!$A$3:$A$14,0))</f>
        <v>0</v>
      </c>
      <c r="H491">
        <f>IF(F491=G491,1,0)</f>
        <v>0</v>
      </c>
      <c r="I491">
        <f>H491*INDEX(Question_Bank!$M$3:$M$14,MATCH(D491,Question_Bank!$A$3:$A$14,0))</f>
        <v>0</v>
      </c>
      <c r="J491">
        <f>SUMIFS($I$3:$I$566,$A$3:$A$566,A491)</f>
        <v>0</v>
      </c>
      <c r="K491" s="5">
        <f>J491/SUM(Question_Bank!$M$3:$M$14)</f>
        <v>0</v>
      </c>
      <c r="L491" s="5">
        <f>SUMIFS($I$3:$I$566,$A$3:$A$566,A491,$E$3:$E$566,E491)/SUMIFS(Question_Bank!$M$3:$M$14,Question_Bank!$B$3:$B$14,E491)</f>
        <v>0</v>
      </c>
      <c r="M491" t="s">
        <v>214</v>
      </c>
    </row>
    <row r="492" spans="1:13">
      <c r="A492" t="s">
        <v>213</v>
      </c>
      <c r="B492" t="s">
        <v>132</v>
      </c>
      <c r="C492" t="s">
        <v>133</v>
      </c>
      <c r="D492" t="s">
        <v>95</v>
      </c>
      <c r="E492" t="s">
        <v>96</v>
      </c>
      <c r="F492" t="s">
        <v>31</v>
      </c>
      <c r="G492">
        <f>INDEX(Question_Bank!$G$3:$G$14,MATCH(D492,Question_Bank!$A$3:$A$14,0))</f>
        <v>0</v>
      </c>
      <c r="H492">
        <f>IF(F492=G492,1,0)</f>
        <v>0</v>
      </c>
      <c r="I492">
        <f>H492*INDEX(Question_Bank!$M$3:$M$14,MATCH(D492,Question_Bank!$A$3:$A$14,0))</f>
        <v>0</v>
      </c>
      <c r="J492">
        <f>SUMIFS($I$3:$I$566,$A$3:$A$566,A492)</f>
        <v>0</v>
      </c>
      <c r="K492" s="5">
        <f>J492/SUM(Question_Bank!$M$3:$M$14)</f>
        <v>0</v>
      </c>
      <c r="L492" s="5">
        <f>SUMIFS($I$3:$I$566,$A$3:$A$566,A492,$E$3:$E$566,E492)/SUMIFS(Question_Bank!$M$3:$M$14,Question_Bank!$B$3:$B$14,E492)</f>
        <v>0</v>
      </c>
      <c r="M492" t="s">
        <v>214</v>
      </c>
    </row>
    <row r="493" spans="1:13">
      <c r="A493" t="s">
        <v>213</v>
      </c>
      <c r="B493" t="s">
        <v>132</v>
      </c>
      <c r="C493" t="s">
        <v>133</v>
      </c>
      <c r="D493" t="s">
        <v>104</v>
      </c>
      <c r="E493" t="s">
        <v>96</v>
      </c>
      <c r="F493" t="s">
        <v>23</v>
      </c>
      <c r="G493">
        <f>INDEX(Question_Bank!$G$3:$G$14,MATCH(D493,Question_Bank!$A$3:$A$14,0))</f>
        <v>0</v>
      </c>
      <c r="H493">
        <f>IF(F493=G493,1,0)</f>
        <v>0</v>
      </c>
      <c r="I493">
        <f>H493*INDEX(Question_Bank!$M$3:$M$14,MATCH(D493,Question_Bank!$A$3:$A$14,0))</f>
        <v>0</v>
      </c>
      <c r="J493">
        <f>SUMIFS($I$3:$I$566,$A$3:$A$566,A493)</f>
        <v>0</v>
      </c>
      <c r="K493" s="5">
        <f>J493/SUM(Question_Bank!$M$3:$M$14)</f>
        <v>0</v>
      </c>
      <c r="L493" s="5">
        <f>SUMIFS($I$3:$I$566,$A$3:$A$566,A493,$E$3:$E$566,E493)/SUMIFS(Question_Bank!$M$3:$M$14,Question_Bank!$B$3:$B$14,E493)</f>
        <v>0</v>
      </c>
      <c r="M493" t="s">
        <v>214</v>
      </c>
    </row>
    <row r="494" spans="1:13">
      <c r="A494" t="s">
        <v>213</v>
      </c>
      <c r="B494" t="s">
        <v>132</v>
      </c>
      <c r="C494" t="s">
        <v>133</v>
      </c>
      <c r="D494" t="s">
        <v>112</v>
      </c>
      <c r="E494" t="s">
        <v>96</v>
      </c>
      <c r="F494" t="s">
        <v>34</v>
      </c>
      <c r="G494">
        <f>INDEX(Question_Bank!$G$3:$G$14,MATCH(D494,Question_Bank!$A$3:$A$14,0))</f>
        <v>0</v>
      </c>
      <c r="H494">
        <f>IF(F494=G494,1,0)</f>
        <v>0</v>
      </c>
      <c r="I494">
        <f>H494*INDEX(Question_Bank!$M$3:$M$14,MATCH(D494,Question_Bank!$A$3:$A$14,0))</f>
        <v>0</v>
      </c>
      <c r="J494">
        <f>SUMIFS($I$3:$I$566,$A$3:$A$566,A494)</f>
        <v>0</v>
      </c>
      <c r="K494" s="5">
        <f>J494/SUM(Question_Bank!$M$3:$M$14)</f>
        <v>0</v>
      </c>
      <c r="L494" s="5">
        <f>SUMIFS($I$3:$I$566,$A$3:$A$566,A494,$E$3:$E$566,E494)/SUMIFS(Question_Bank!$M$3:$M$14,Question_Bank!$B$3:$B$14,E494)</f>
        <v>0</v>
      </c>
      <c r="M494" t="s">
        <v>214</v>
      </c>
    </row>
    <row r="495" spans="1:13">
      <c r="A495" t="s">
        <v>215</v>
      </c>
      <c r="B495" t="s">
        <v>132</v>
      </c>
      <c r="C495" t="s">
        <v>133</v>
      </c>
      <c r="D495" t="s">
        <v>14</v>
      </c>
      <c r="E495" t="s">
        <v>15</v>
      </c>
      <c r="F495" t="s">
        <v>20</v>
      </c>
      <c r="G495">
        <f>INDEX(Question_Bank!$G$3:$G$14,MATCH(D495,Question_Bank!$A$3:$A$14,0))</f>
        <v>0</v>
      </c>
      <c r="H495">
        <f>IF(F495=G495,1,0)</f>
        <v>0</v>
      </c>
      <c r="I495">
        <f>H495*INDEX(Question_Bank!$M$3:$M$14,MATCH(D495,Question_Bank!$A$3:$A$14,0))</f>
        <v>0</v>
      </c>
      <c r="J495">
        <f>SUMIFS($I$3:$I$566,$A$3:$A$566,A495)</f>
        <v>0</v>
      </c>
      <c r="K495" s="5">
        <f>J495/SUM(Question_Bank!$M$3:$M$14)</f>
        <v>0</v>
      </c>
      <c r="L495" s="5">
        <f>SUMIFS($I$3:$I$566,$A$3:$A$566,A495,$E$3:$E$566,E495)/SUMIFS(Question_Bank!$M$3:$M$14,Question_Bank!$B$3:$B$14,E495)</f>
        <v>0</v>
      </c>
      <c r="M495" t="s">
        <v>216</v>
      </c>
    </row>
    <row r="496" spans="1:13">
      <c r="A496" t="s">
        <v>215</v>
      </c>
      <c r="B496" t="s">
        <v>132</v>
      </c>
      <c r="C496" t="s">
        <v>133</v>
      </c>
      <c r="D496" t="s">
        <v>26</v>
      </c>
      <c r="E496" t="s">
        <v>15</v>
      </c>
      <c r="F496" t="s">
        <v>20</v>
      </c>
      <c r="G496">
        <f>INDEX(Question_Bank!$G$3:$G$14,MATCH(D496,Question_Bank!$A$3:$A$14,0))</f>
        <v>0</v>
      </c>
      <c r="H496">
        <f>IF(F496=G496,1,0)</f>
        <v>0</v>
      </c>
      <c r="I496">
        <f>H496*INDEX(Question_Bank!$M$3:$M$14,MATCH(D496,Question_Bank!$A$3:$A$14,0))</f>
        <v>0</v>
      </c>
      <c r="J496">
        <f>SUMIFS($I$3:$I$566,$A$3:$A$566,A496)</f>
        <v>0</v>
      </c>
      <c r="K496" s="5">
        <f>J496/SUM(Question_Bank!$M$3:$M$14)</f>
        <v>0</v>
      </c>
      <c r="L496" s="5">
        <f>SUMIFS($I$3:$I$566,$A$3:$A$566,A496,$E$3:$E$566,E496)/SUMIFS(Question_Bank!$M$3:$M$14,Question_Bank!$B$3:$B$14,E496)</f>
        <v>0</v>
      </c>
      <c r="M496" t="s">
        <v>216</v>
      </c>
    </row>
    <row r="497" spans="1:13">
      <c r="A497" t="s">
        <v>215</v>
      </c>
      <c r="B497" t="s">
        <v>132</v>
      </c>
      <c r="C497" t="s">
        <v>133</v>
      </c>
      <c r="D497" t="s">
        <v>37</v>
      </c>
      <c r="E497" t="s">
        <v>15</v>
      </c>
      <c r="F497" t="s">
        <v>31</v>
      </c>
      <c r="G497">
        <f>INDEX(Question_Bank!$G$3:$G$14,MATCH(D497,Question_Bank!$A$3:$A$14,0))</f>
        <v>0</v>
      </c>
      <c r="H497">
        <f>IF(F497=G497,1,0)</f>
        <v>0</v>
      </c>
      <c r="I497">
        <f>H497*INDEX(Question_Bank!$M$3:$M$14,MATCH(D497,Question_Bank!$A$3:$A$14,0))</f>
        <v>0</v>
      </c>
      <c r="J497">
        <f>SUMIFS($I$3:$I$566,$A$3:$A$566,A497)</f>
        <v>0</v>
      </c>
      <c r="K497" s="5">
        <f>J497/SUM(Question_Bank!$M$3:$M$14)</f>
        <v>0</v>
      </c>
      <c r="L497" s="5">
        <f>SUMIFS($I$3:$I$566,$A$3:$A$566,A497,$E$3:$E$566,E497)/SUMIFS(Question_Bank!$M$3:$M$14,Question_Bank!$B$3:$B$14,E497)</f>
        <v>0</v>
      </c>
      <c r="M497" t="s">
        <v>216</v>
      </c>
    </row>
    <row r="498" spans="1:13">
      <c r="A498" t="s">
        <v>215</v>
      </c>
      <c r="B498" t="s">
        <v>132</v>
      </c>
      <c r="C498" t="s">
        <v>133</v>
      </c>
      <c r="D498" t="s">
        <v>45</v>
      </c>
      <c r="E498" t="s">
        <v>46</v>
      </c>
      <c r="F498" t="s">
        <v>23</v>
      </c>
      <c r="G498">
        <f>INDEX(Question_Bank!$G$3:$G$14,MATCH(D498,Question_Bank!$A$3:$A$14,0))</f>
        <v>0</v>
      </c>
      <c r="H498">
        <f>IF(F498=G498,1,0)</f>
        <v>0</v>
      </c>
      <c r="I498">
        <f>H498*INDEX(Question_Bank!$M$3:$M$14,MATCH(D498,Question_Bank!$A$3:$A$14,0))</f>
        <v>0</v>
      </c>
      <c r="J498">
        <f>SUMIFS($I$3:$I$566,$A$3:$A$566,A498)</f>
        <v>0</v>
      </c>
      <c r="K498" s="5">
        <f>J498/SUM(Question_Bank!$M$3:$M$14)</f>
        <v>0</v>
      </c>
      <c r="L498" s="5">
        <f>SUMIFS($I$3:$I$566,$A$3:$A$566,A498,$E$3:$E$566,E498)/SUMIFS(Question_Bank!$M$3:$M$14,Question_Bank!$B$3:$B$14,E498)</f>
        <v>0</v>
      </c>
      <c r="M498" t="s">
        <v>216</v>
      </c>
    </row>
    <row r="499" spans="1:13">
      <c r="A499" t="s">
        <v>215</v>
      </c>
      <c r="B499" t="s">
        <v>132</v>
      </c>
      <c r="C499" t="s">
        <v>133</v>
      </c>
      <c r="D499" t="s">
        <v>54</v>
      </c>
      <c r="E499" t="s">
        <v>46</v>
      </c>
      <c r="F499" t="s">
        <v>34</v>
      </c>
      <c r="G499">
        <f>INDEX(Question_Bank!$G$3:$G$14,MATCH(D499,Question_Bank!$A$3:$A$14,0))</f>
        <v>0</v>
      </c>
      <c r="H499">
        <f>IF(F499=G499,1,0)</f>
        <v>0</v>
      </c>
      <c r="I499">
        <f>H499*INDEX(Question_Bank!$M$3:$M$14,MATCH(D499,Question_Bank!$A$3:$A$14,0))</f>
        <v>0</v>
      </c>
      <c r="J499">
        <f>SUMIFS($I$3:$I$566,$A$3:$A$566,A499)</f>
        <v>0</v>
      </c>
      <c r="K499" s="5">
        <f>J499/SUM(Question_Bank!$M$3:$M$14)</f>
        <v>0</v>
      </c>
      <c r="L499" s="5">
        <f>SUMIFS($I$3:$I$566,$A$3:$A$566,A499,$E$3:$E$566,E499)/SUMIFS(Question_Bank!$M$3:$M$14,Question_Bank!$B$3:$B$14,E499)</f>
        <v>0</v>
      </c>
      <c r="M499" t="s">
        <v>216</v>
      </c>
    </row>
    <row r="500" spans="1:13">
      <c r="A500" t="s">
        <v>215</v>
      </c>
      <c r="B500" t="s">
        <v>132</v>
      </c>
      <c r="C500" t="s">
        <v>133</v>
      </c>
      <c r="D500" t="s">
        <v>62</v>
      </c>
      <c r="E500" t="s">
        <v>46</v>
      </c>
      <c r="F500" t="s">
        <v>31</v>
      </c>
      <c r="G500">
        <f>INDEX(Question_Bank!$G$3:$G$14,MATCH(D500,Question_Bank!$A$3:$A$14,0))</f>
        <v>0</v>
      </c>
      <c r="H500">
        <f>IF(F500=G500,1,0)</f>
        <v>0</v>
      </c>
      <c r="I500">
        <f>H500*INDEX(Question_Bank!$M$3:$M$14,MATCH(D500,Question_Bank!$A$3:$A$14,0))</f>
        <v>0</v>
      </c>
      <c r="J500">
        <f>SUMIFS($I$3:$I$566,$A$3:$A$566,A500)</f>
        <v>0</v>
      </c>
      <c r="K500" s="5">
        <f>J500/SUM(Question_Bank!$M$3:$M$14)</f>
        <v>0</v>
      </c>
      <c r="L500" s="5">
        <f>SUMIFS($I$3:$I$566,$A$3:$A$566,A500,$E$3:$E$566,E500)/SUMIFS(Question_Bank!$M$3:$M$14,Question_Bank!$B$3:$B$14,E500)</f>
        <v>0</v>
      </c>
      <c r="M500" t="s">
        <v>216</v>
      </c>
    </row>
    <row r="501" spans="1:13">
      <c r="A501" t="s">
        <v>215</v>
      </c>
      <c r="B501" t="s">
        <v>132</v>
      </c>
      <c r="C501" t="s">
        <v>133</v>
      </c>
      <c r="D501" t="s">
        <v>70</v>
      </c>
      <c r="E501" t="s">
        <v>71</v>
      </c>
      <c r="F501" t="s">
        <v>23</v>
      </c>
      <c r="G501">
        <f>INDEX(Question_Bank!$G$3:$G$14,MATCH(D501,Question_Bank!$A$3:$A$14,0))</f>
        <v>0</v>
      </c>
      <c r="H501">
        <f>IF(F501=G501,1,0)</f>
        <v>0</v>
      </c>
      <c r="I501">
        <f>H501*INDEX(Question_Bank!$M$3:$M$14,MATCH(D501,Question_Bank!$A$3:$A$14,0))</f>
        <v>0</v>
      </c>
      <c r="J501">
        <f>SUMIFS($I$3:$I$566,$A$3:$A$566,A501)</f>
        <v>0</v>
      </c>
      <c r="K501" s="5">
        <f>J501/SUM(Question_Bank!$M$3:$M$14)</f>
        <v>0</v>
      </c>
      <c r="L501" s="5">
        <f>SUMIFS($I$3:$I$566,$A$3:$A$566,A501,$E$3:$E$566,E501)/SUMIFS(Question_Bank!$M$3:$M$14,Question_Bank!$B$3:$B$14,E501)</f>
        <v>0</v>
      </c>
      <c r="M501" t="s">
        <v>216</v>
      </c>
    </row>
    <row r="502" spans="1:13">
      <c r="A502" t="s">
        <v>215</v>
      </c>
      <c r="B502" t="s">
        <v>132</v>
      </c>
      <c r="C502" t="s">
        <v>133</v>
      </c>
      <c r="D502" t="s">
        <v>79</v>
      </c>
      <c r="E502" t="s">
        <v>71</v>
      </c>
      <c r="F502" t="s">
        <v>34</v>
      </c>
      <c r="G502">
        <f>INDEX(Question_Bank!$G$3:$G$14,MATCH(D502,Question_Bank!$A$3:$A$14,0))</f>
        <v>0</v>
      </c>
      <c r="H502">
        <f>IF(F502=G502,1,0)</f>
        <v>0</v>
      </c>
      <c r="I502">
        <f>H502*INDEX(Question_Bank!$M$3:$M$14,MATCH(D502,Question_Bank!$A$3:$A$14,0))</f>
        <v>0</v>
      </c>
      <c r="J502">
        <f>SUMIFS($I$3:$I$566,$A$3:$A$566,A502)</f>
        <v>0</v>
      </c>
      <c r="K502" s="5">
        <f>J502/SUM(Question_Bank!$M$3:$M$14)</f>
        <v>0</v>
      </c>
      <c r="L502" s="5">
        <f>SUMIFS($I$3:$I$566,$A$3:$A$566,A502,$E$3:$E$566,E502)/SUMIFS(Question_Bank!$M$3:$M$14,Question_Bank!$B$3:$B$14,E502)</f>
        <v>0</v>
      </c>
      <c r="M502" t="s">
        <v>216</v>
      </c>
    </row>
    <row r="503" spans="1:13">
      <c r="A503" t="s">
        <v>215</v>
      </c>
      <c r="B503" t="s">
        <v>132</v>
      </c>
      <c r="C503" t="s">
        <v>133</v>
      </c>
      <c r="D503" t="s">
        <v>87</v>
      </c>
      <c r="E503" t="s">
        <v>71</v>
      </c>
      <c r="F503" t="s">
        <v>20</v>
      </c>
      <c r="G503">
        <f>INDEX(Question_Bank!$G$3:$G$14,MATCH(D503,Question_Bank!$A$3:$A$14,0))</f>
        <v>0</v>
      </c>
      <c r="H503">
        <f>IF(F503=G503,1,0)</f>
        <v>0</v>
      </c>
      <c r="I503">
        <f>H503*INDEX(Question_Bank!$M$3:$M$14,MATCH(D503,Question_Bank!$A$3:$A$14,0))</f>
        <v>0</v>
      </c>
      <c r="J503">
        <f>SUMIFS($I$3:$I$566,$A$3:$A$566,A503)</f>
        <v>0</v>
      </c>
      <c r="K503" s="5">
        <f>J503/SUM(Question_Bank!$M$3:$M$14)</f>
        <v>0</v>
      </c>
      <c r="L503" s="5">
        <f>SUMIFS($I$3:$I$566,$A$3:$A$566,A503,$E$3:$E$566,E503)/SUMIFS(Question_Bank!$M$3:$M$14,Question_Bank!$B$3:$B$14,E503)</f>
        <v>0</v>
      </c>
      <c r="M503" t="s">
        <v>216</v>
      </c>
    </row>
    <row r="504" spans="1:13">
      <c r="A504" t="s">
        <v>215</v>
      </c>
      <c r="B504" t="s">
        <v>132</v>
      </c>
      <c r="C504" t="s">
        <v>133</v>
      </c>
      <c r="D504" t="s">
        <v>95</v>
      </c>
      <c r="E504" t="s">
        <v>96</v>
      </c>
      <c r="F504" t="s">
        <v>31</v>
      </c>
      <c r="G504">
        <f>INDEX(Question_Bank!$G$3:$G$14,MATCH(D504,Question_Bank!$A$3:$A$14,0))</f>
        <v>0</v>
      </c>
      <c r="H504">
        <f>IF(F504=G504,1,0)</f>
        <v>0</v>
      </c>
      <c r="I504">
        <f>H504*INDEX(Question_Bank!$M$3:$M$14,MATCH(D504,Question_Bank!$A$3:$A$14,0))</f>
        <v>0</v>
      </c>
      <c r="J504">
        <f>SUMIFS($I$3:$I$566,$A$3:$A$566,A504)</f>
        <v>0</v>
      </c>
      <c r="K504" s="5">
        <f>J504/SUM(Question_Bank!$M$3:$M$14)</f>
        <v>0</v>
      </c>
      <c r="L504" s="5">
        <f>SUMIFS($I$3:$I$566,$A$3:$A$566,A504,$E$3:$E$566,E504)/SUMIFS(Question_Bank!$M$3:$M$14,Question_Bank!$B$3:$B$14,E504)</f>
        <v>0</v>
      </c>
      <c r="M504" t="s">
        <v>216</v>
      </c>
    </row>
    <row r="505" spans="1:13">
      <c r="A505" t="s">
        <v>215</v>
      </c>
      <c r="B505" t="s">
        <v>132</v>
      </c>
      <c r="C505" t="s">
        <v>133</v>
      </c>
      <c r="D505" t="s">
        <v>104</v>
      </c>
      <c r="E505" t="s">
        <v>96</v>
      </c>
      <c r="F505" t="s">
        <v>23</v>
      </c>
      <c r="G505">
        <f>INDEX(Question_Bank!$G$3:$G$14,MATCH(D505,Question_Bank!$A$3:$A$14,0))</f>
        <v>0</v>
      </c>
      <c r="H505">
        <f>IF(F505=G505,1,0)</f>
        <v>0</v>
      </c>
      <c r="I505">
        <f>H505*INDEX(Question_Bank!$M$3:$M$14,MATCH(D505,Question_Bank!$A$3:$A$14,0))</f>
        <v>0</v>
      </c>
      <c r="J505">
        <f>SUMIFS($I$3:$I$566,$A$3:$A$566,A505)</f>
        <v>0</v>
      </c>
      <c r="K505" s="5">
        <f>J505/SUM(Question_Bank!$M$3:$M$14)</f>
        <v>0</v>
      </c>
      <c r="L505" s="5">
        <f>SUMIFS($I$3:$I$566,$A$3:$A$566,A505,$E$3:$E$566,E505)/SUMIFS(Question_Bank!$M$3:$M$14,Question_Bank!$B$3:$B$14,E505)</f>
        <v>0</v>
      </c>
      <c r="M505" t="s">
        <v>216</v>
      </c>
    </row>
    <row r="506" spans="1:13">
      <c r="A506" t="s">
        <v>215</v>
      </c>
      <c r="B506" t="s">
        <v>132</v>
      </c>
      <c r="C506" t="s">
        <v>133</v>
      </c>
      <c r="D506" t="s">
        <v>112</v>
      </c>
      <c r="E506" t="s">
        <v>96</v>
      </c>
      <c r="F506" t="s">
        <v>34</v>
      </c>
      <c r="G506">
        <f>INDEX(Question_Bank!$G$3:$G$14,MATCH(D506,Question_Bank!$A$3:$A$14,0))</f>
        <v>0</v>
      </c>
      <c r="H506">
        <f>IF(F506=G506,1,0)</f>
        <v>0</v>
      </c>
      <c r="I506">
        <f>H506*INDEX(Question_Bank!$M$3:$M$14,MATCH(D506,Question_Bank!$A$3:$A$14,0))</f>
        <v>0</v>
      </c>
      <c r="J506">
        <f>SUMIFS($I$3:$I$566,$A$3:$A$566,A506)</f>
        <v>0</v>
      </c>
      <c r="K506" s="5">
        <f>J506/SUM(Question_Bank!$M$3:$M$14)</f>
        <v>0</v>
      </c>
      <c r="L506" s="5">
        <f>SUMIFS($I$3:$I$566,$A$3:$A$566,A506,$E$3:$E$566,E506)/SUMIFS(Question_Bank!$M$3:$M$14,Question_Bank!$B$3:$B$14,E506)</f>
        <v>0</v>
      </c>
      <c r="M506" t="s">
        <v>216</v>
      </c>
    </row>
    <row r="507" spans="1:13">
      <c r="A507" t="s">
        <v>217</v>
      </c>
      <c r="B507" t="s">
        <v>132</v>
      </c>
      <c r="C507" t="s">
        <v>133</v>
      </c>
      <c r="D507" t="s">
        <v>14</v>
      </c>
      <c r="E507" t="s">
        <v>15</v>
      </c>
      <c r="F507" t="s">
        <v>34</v>
      </c>
      <c r="G507">
        <f>INDEX(Question_Bank!$G$3:$G$14,MATCH(D507,Question_Bank!$A$3:$A$14,0))</f>
        <v>0</v>
      </c>
      <c r="H507">
        <f>IF(F507=G507,1,0)</f>
        <v>0</v>
      </c>
      <c r="I507">
        <f>H507*INDEX(Question_Bank!$M$3:$M$14,MATCH(D507,Question_Bank!$A$3:$A$14,0))</f>
        <v>0</v>
      </c>
      <c r="J507">
        <f>SUMIFS($I$3:$I$566,$A$3:$A$566,A507)</f>
        <v>0</v>
      </c>
      <c r="K507" s="5">
        <f>J507/SUM(Question_Bank!$M$3:$M$14)</f>
        <v>0</v>
      </c>
      <c r="L507" s="5">
        <f>SUMIFS($I$3:$I$566,$A$3:$A$566,A507,$E$3:$E$566,E507)/SUMIFS(Question_Bank!$M$3:$M$14,Question_Bank!$B$3:$B$14,E507)</f>
        <v>0</v>
      </c>
      <c r="M507" t="s">
        <v>218</v>
      </c>
    </row>
    <row r="508" spans="1:13">
      <c r="A508" t="s">
        <v>217</v>
      </c>
      <c r="B508" t="s">
        <v>132</v>
      </c>
      <c r="C508" t="s">
        <v>133</v>
      </c>
      <c r="D508" t="s">
        <v>26</v>
      </c>
      <c r="E508" t="s">
        <v>15</v>
      </c>
      <c r="F508" t="s">
        <v>31</v>
      </c>
      <c r="G508">
        <f>INDEX(Question_Bank!$G$3:$G$14,MATCH(D508,Question_Bank!$A$3:$A$14,0))</f>
        <v>0</v>
      </c>
      <c r="H508">
        <f>IF(F508=G508,1,0)</f>
        <v>0</v>
      </c>
      <c r="I508">
        <f>H508*INDEX(Question_Bank!$M$3:$M$14,MATCH(D508,Question_Bank!$A$3:$A$14,0))</f>
        <v>0</v>
      </c>
      <c r="J508">
        <f>SUMIFS($I$3:$I$566,$A$3:$A$566,A508)</f>
        <v>0</v>
      </c>
      <c r="K508" s="5">
        <f>J508/SUM(Question_Bank!$M$3:$M$14)</f>
        <v>0</v>
      </c>
      <c r="L508" s="5">
        <f>SUMIFS($I$3:$I$566,$A$3:$A$566,A508,$E$3:$E$566,E508)/SUMIFS(Question_Bank!$M$3:$M$14,Question_Bank!$B$3:$B$14,E508)</f>
        <v>0</v>
      </c>
      <c r="M508" t="s">
        <v>218</v>
      </c>
    </row>
    <row r="509" spans="1:13">
      <c r="A509" t="s">
        <v>217</v>
      </c>
      <c r="B509" t="s">
        <v>132</v>
      </c>
      <c r="C509" t="s">
        <v>133</v>
      </c>
      <c r="D509" t="s">
        <v>37</v>
      </c>
      <c r="E509" t="s">
        <v>15</v>
      </c>
      <c r="F509" t="s">
        <v>34</v>
      </c>
      <c r="G509">
        <f>INDEX(Question_Bank!$G$3:$G$14,MATCH(D509,Question_Bank!$A$3:$A$14,0))</f>
        <v>0</v>
      </c>
      <c r="H509">
        <f>IF(F509=G509,1,0)</f>
        <v>0</v>
      </c>
      <c r="I509">
        <f>H509*INDEX(Question_Bank!$M$3:$M$14,MATCH(D509,Question_Bank!$A$3:$A$14,0))</f>
        <v>0</v>
      </c>
      <c r="J509">
        <f>SUMIFS($I$3:$I$566,$A$3:$A$566,A509)</f>
        <v>0</v>
      </c>
      <c r="K509" s="5">
        <f>J509/SUM(Question_Bank!$M$3:$M$14)</f>
        <v>0</v>
      </c>
      <c r="L509" s="5">
        <f>SUMIFS($I$3:$I$566,$A$3:$A$566,A509,$E$3:$E$566,E509)/SUMIFS(Question_Bank!$M$3:$M$14,Question_Bank!$B$3:$B$14,E509)</f>
        <v>0</v>
      </c>
      <c r="M509" t="s">
        <v>218</v>
      </c>
    </row>
    <row r="510" spans="1:13">
      <c r="A510" t="s">
        <v>217</v>
      </c>
      <c r="B510" t="s">
        <v>132</v>
      </c>
      <c r="C510" t="s">
        <v>133</v>
      </c>
      <c r="D510" t="s">
        <v>45</v>
      </c>
      <c r="E510" t="s">
        <v>46</v>
      </c>
      <c r="F510" t="s">
        <v>34</v>
      </c>
      <c r="G510">
        <f>INDEX(Question_Bank!$G$3:$G$14,MATCH(D510,Question_Bank!$A$3:$A$14,0))</f>
        <v>0</v>
      </c>
      <c r="H510">
        <f>IF(F510=G510,1,0)</f>
        <v>0</v>
      </c>
      <c r="I510">
        <f>H510*INDEX(Question_Bank!$M$3:$M$14,MATCH(D510,Question_Bank!$A$3:$A$14,0))</f>
        <v>0</v>
      </c>
      <c r="J510">
        <f>SUMIFS($I$3:$I$566,$A$3:$A$566,A510)</f>
        <v>0</v>
      </c>
      <c r="K510" s="5">
        <f>J510/SUM(Question_Bank!$M$3:$M$14)</f>
        <v>0</v>
      </c>
      <c r="L510" s="5">
        <f>SUMIFS($I$3:$I$566,$A$3:$A$566,A510,$E$3:$E$566,E510)/SUMIFS(Question_Bank!$M$3:$M$14,Question_Bank!$B$3:$B$14,E510)</f>
        <v>0</v>
      </c>
      <c r="M510" t="s">
        <v>218</v>
      </c>
    </row>
    <row r="511" spans="1:13">
      <c r="A511" t="s">
        <v>217</v>
      </c>
      <c r="B511" t="s">
        <v>132</v>
      </c>
      <c r="C511" t="s">
        <v>133</v>
      </c>
      <c r="D511" t="s">
        <v>54</v>
      </c>
      <c r="E511" t="s">
        <v>46</v>
      </c>
      <c r="F511" t="s">
        <v>34</v>
      </c>
      <c r="G511">
        <f>INDEX(Question_Bank!$G$3:$G$14,MATCH(D511,Question_Bank!$A$3:$A$14,0))</f>
        <v>0</v>
      </c>
      <c r="H511">
        <f>IF(F511=G511,1,0)</f>
        <v>0</v>
      </c>
      <c r="I511">
        <f>H511*INDEX(Question_Bank!$M$3:$M$14,MATCH(D511,Question_Bank!$A$3:$A$14,0))</f>
        <v>0</v>
      </c>
      <c r="J511">
        <f>SUMIFS($I$3:$I$566,$A$3:$A$566,A511)</f>
        <v>0</v>
      </c>
      <c r="K511" s="5">
        <f>J511/SUM(Question_Bank!$M$3:$M$14)</f>
        <v>0</v>
      </c>
      <c r="L511" s="5">
        <f>SUMIFS($I$3:$I$566,$A$3:$A$566,A511,$E$3:$E$566,E511)/SUMIFS(Question_Bank!$M$3:$M$14,Question_Bank!$B$3:$B$14,E511)</f>
        <v>0</v>
      </c>
      <c r="M511" t="s">
        <v>218</v>
      </c>
    </row>
    <row r="512" spans="1:13">
      <c r="A512" t="s">
        <v>217</v>
      </c>
      <c r="B512" t="s">
        <v>132</v>
      </c>
      <c r="C512" t="s">
        <v>133</v>
      </c>
      <c r="D512" t="s">
        <v>62</v>
      </c>
      <c r="E512" t="s">
        <v>46</v>
      </c>
      <c r="F512" t="s">
        <v>23</v>
      </c>
      <c r="G512">
        <f>INDEX(Question_Bank!$G$3:$G$14,MATCH(D512,Question_Bank!$A$3:$A$14,0))</f>
        <v>0</v>
      </c>
      <c r="H512">
        <f>IF(F512=G512,1,0)</f>
        <v>0</v>
      </c>
      <c r="I512">
        <f>H512*INDEX(Question_Bank!$M$3:$M$14,MATCH(D512,Question_Bank!$A$3:$A$14,0))</f>
        <v>0</v>
      </c>
      <c r="J512">
        <f>SUMIFS($I$3:$I$566,$A$3:$A$566,A512)</f>
        <v>0</v>
      </c>
      <c r="K512" s="5">
        <f>J512/SUM(Question_Bank!$M$3:$M$14)</f>
        <v>0</v>
      </c>
      <c r="L512" s="5">
        <f>SUMIFS($I$3:$I$566,$A$3:$A$566,A512,$E$3:$E$566,E512)/SUMIFS(Question_Bank!$M$3:$M$14,Question_Bank!$B$3:$B$14,E512)</f>
        <v>0</v>
      </c>
      <c r="M512" t="s">
        <v>218</v>
      </c>
    </row>
    <row r="513" spans="1:13">
      <c r="A513" t="s">
        <v>217</v>
      </c>
      <c r="B513" t="s">
        <v>132</v>
      </c>
      <c r="C513" t="s">
        <v>133</v>
      </c>
      <c r="D513" t="s">
        <v>70</v>
      </c>
      <c r="E513" t="s">
        <v>71</v>
      </c>
      <c r="F513" t="s">
        <v>31</v>
      </c>
      <c r="G513">
        <f>INDEX(Question_Bank!$G$3:$G$14,MATCH(D513,Question_Bank!$A$3:$A$14,0))</f>
        <v>0</v>
      </c>
      <c r="H513">
        <f>IF(F513=G513,1,0)</f>
        <v>0</v>
      </c>
      <c r="I513">
        <f>H513*INDEX(Question_Bank!$M$3:$M$14,MATCH(D513,Question_Bank!$A$3:$A$14,0))</f>
        <v>0</v>
      </c>
      <c r="J513">
        <f>SUMIFS($I$3:$I$566,$A$3:$A$566,A513)</f>
        <v>0</v>
      </c>
      <c r="K513" s="5">
        <f>J513/SUM(Question_Bank!$M$3:$M$14)</f>
        <v>0</v>
      </c>
      <c r="L513" s="5">
        <f>SUMIFS($I$3:$I$566,$A$3:$A$566,A513,$E$3:$E$566,E513)/SUMIFS(Question_Bank!$M$3:$M$14,Question_Bank!$B$3:$B$14,E513)</f>
        <v>0</v>
      </c>
      <c r="M513" t="s">
        <v>218</v>
      </c>
    </row>
    <row r="514" spans="1:13">
      <c r="A514" t="s">
        <v>217</v>
      </c>
      <c r="B514" t="s">
        <v>132</v>
      </c>
      <c r="C514" t="s">
        <v>133</v>
      </c>
      <c r="D514" t="s">
        <v>79</v>
      </c>
      <c r="E514" t="s">
        <v>71</v>
      </c>
      <c r="F514" t="s">
        <v>20</v>
      </c>
      <c r="G514">
        <f>INDEX(Question_Bank!$G$3:$G$14,MATCH(D514,Question_Bank!$A$3:$A$14,0))</f>
        <v>0</v>
      </c>
      <c r="H514">
        <f>IF(F514=G514,1,0)</f>
        <v>0</v>
      </c>
      <c r="I514">
        <f>H514*INDEX(Question_Bank!$M$3:$M$14,MATCH(D514,Question_Bank!$A$3:$A$14,0))</f>
        <v>0</v>
      </c>
      <c r="J514">
        <f>SUMIFS($I$3:$I$566,$A$3:$A$566,A514)</f>
        <v>0</v>
      </c>
      <c r="K514" s="5">
        <f>J514/SUM(Question_Bank!$M$3:$M$14)</f>
        <v>0</v>
      </c>
      <c r="L514" s="5">
        <f>SUMIFS($I$3:$I$566,$A$3:$A$566,A514,$E$3:$E$566,E514)/SUMIFS(Question_Bank!$M$3:$M$14,Question_Bank!$B$3:$B$14,E514)</f>
        <v>0</v>
      </c>
      <c r="M514" t="s">
        <v>218</v>
      </c>
    </row>
    <row r="515" spans="1:13">
      <c r="A515" t="s">
        <v>217</v>
      </c>
      <c r="B515" t="s">
        <v>132</v>
      </c>
      <c r="C515" t="s">
        <v>133</v>
      </c>
      <c r="D515" t="s">
        <v>87</v>
      </c>
      <c r="E515" t="s">
        <v>71</v>
      </c>
      <c r="F515" t="s">
        <v>20</v>
      </c>
      <c r="G515">
        <f>INDEX(Question_Bank!$G$3:$G$14,MATCH(D515,Question_Bank!$A$3:$A$14,0))</f>
        <v>0</v>
      </c>
      <c r="H515">
        <f>IF(F515=G515,1,0)</f>
        <v>0</v>
      </c>
      <c r="I515">
        <f>H515*INDEX(Question_Bank!$M$3:$M$14,MATCH(D515,Question_Bank!$A$3:$A$14,0))</f>
        <v>0</v>
      </c>
      <c r="J515">
        <f>SUMIFS($I$3:$I$566,$A$3:$A$566,A515)</f>
        <v>0</v>
      </c>
      <c r="K515" s="5">
        <f>J515/SUM(Question_Bank!$M$3:$M$14)</f>
        <v>0</v>
      </c>
      <c r="L515" s="5">
        <f>SUMIFS($I$3:$I$566,$A$3:$A$566,A515,$E$3:$E$566,E515)/SUMIFS(Question_Bank!$M$3:$M$14,Question_Bank!$B$3:$B$14,E515)</f>
        <v>0</v>
      </c>
      <c r="M515" t="s">
        <v>218</v>
      </c>
    </row>
    <row r="516" spans="1:13">
      <c r="A516" t="s">
        <v>217</v>
      </c>
      <c r="B516" t="s">
        <v>132</v>
      </c>
      <c r="C516" t="s">
        <v>133</v>
      </c>
      <c r="D516" t="s">
        <v>95</v>
      </c>
      <c r="E516" t="s">
        <v>96</v>
      </c>
      <c r="F516" t="s">
        <v>23</v>
      </c>
      <c r="G516">
        <f>INDEX(Question_Bank!$G$3:$G$14,MATCH(D516,Question_Bank!$A$3:$A$14,0))</f>
        <v>0</v>
      </c>
      <c r="H516">
        <f>IF(F516=G516,1,0)</f>
        <v>0</v>
      </c>
      <c r="I516">
        <f>H516*INDEX(Question_Bank!$M$3:$M$14,MATCH(D516,Question_Bank!$A$3:$A$14,0))</f>
        <v>0</v>
      </c>
      <c r="J516">
        <f>SUMIFS($I$3:$I$566,$A$3:$A$566,A516)</f>
        <v>0</v>
      </c>
      <c r="K516" s="5">
        <f>J516/SUM(Question_Bank!$M$3:$M$14)</f>
        <v>0</v>
      </c>
      <c r="L516" s="5">
        <f>SUMIFS($I$3:$I$566,$A$3:$A$566,A516,$E$3:$E$566,E516)/SUMIFS(Question_Bank!$M$3:$M$14,Question_Bank!$B$3:$B$14,E516)</f>
        <v>0</v>
      </c>
      <c r="M516" t="s">
        <v>218</v>
      </c>
    </row>
    <row r="517" spans="1:13">
      <c r="A517" t="s">
        <v>217</v>
      </c>
      <c r="B517" t="s">
        <v>132</v>
      </c>
      <c r="C517" t="s">
        <v>133</v>
      </c>
      <c r="D517" t="s">
        <v>104</v>
      </c>
      <c r="E517" t="s">
        <v>96</v>
      </c>
      <c r="F517" t="s">
        <v>31</v>
      </c>
      <c r="G517">
        <f>INDEX(Question_Bank!$G$3:$G$14,MATCH(D517,Question_Bank!$A$3:$A$14,0))</f>
        <v>0</v>
      </c>
      <c r="H517">
        <f>IF(F517=G517,1,0)</f>
        <v>0</v>
      </c>
      <c r="I517">
        <f>H517*INDEX(Question_Bank!$M$3:$M$14,MATCH(D517,Question_Bank!$A$3:$A$14,0))</f>
        <v>0</v>
      </c>
      <c r="J517">
        <f>SUMIFS($I$3:$I$566,$A$3:$A$566,A517)</f>
        <v>0</v>
      </c>
      <c r="K517" s="5">
        <f>J517/SUM(Question_Bank!$M$3:$M$14)</f>
        <v>0</v>
      </c>
      <c r="L517" s="5">
        <f>SUMIFS($I$3:$I$566,$A$3:$A$566,A517,$E$3:$E$566,E517)/SUMIFS(Question_Bank!$M$3:$M$14,Question_Bank!$B$3:$B$14,E517)</f>
        <v>0</v>
      </c>
      <c r="M517" t="s">
        <v>218</v>
      </c>
    </row>
    <row r="518" spans="1:13">
      <c r="A518" t="s">
        <v>217</v>
      </c>
      <c r="B518" t="s">
        <v>132</v>
      </c>
      <c r="C518" t="s">
        <v>133</v>
      </c>
      <c r="D518" t="s">
        <v>112</v>
      </c>
      <c r="E518" t="s">
        <v>96</v>
      </c>
      <c r="F518" t="s">
        <v>34</v>
      </c>
      <c r="G518">
        <f>INDEX(Question_Bank!$G$3:$G$14,MATCH(D518,Question_Bank!$A$3:$A$14,0))</f>
        <v>0</v>
      </c>
      <c r="H518">
        <f>IF(F518=G518,1,0)</f>
        <v>0</v>
      </c>
      <c r="I518">
        <f>H518*INDEX(Question_Bank!$M$3:$M$14,MATCH(D518,Question_Bank!$A$3:$A$14,0))</f>
        <v>0</v>
      </c>
      <c r="J518">
        <f>SUMIFS($I$3:$I$566,$A$3:$A$566,A518)</f>
        <v>0</v>
      </c>
      <c r="K518" s="5">
        <f>J518/SUM(Question_Bank!$M$3:$M$14)</f>
        <v>0</v>
      </c>
      <c r="L518" s="5">
        <f>SUMIFS($I$3:$I$566,$A$3:$A$566,A518,$E$3:$E$566,E518)/SUMIFS(Question_Bank!$M$3:$M$14,Question_Bank!$B$3:$B$14,E518)</f>
        <v>0</v>
      </c>
      <c r="M518" t="s">
        <v>218</v>
      </c>
    </row>
    <row r="519" spans="1:13">
      <c r="A519" t="s">
        <v>219</v>
      </c>
      <c r="B519" t="s">
        <v>132</v>
      </c>
      <c r="C519" t="s">
        <v>133</v>
      </c>
      <c r="D519" t="s">
        <v>14</v>
      </c>
      <c r="E519" t="s">
        <v>15</v>
      </c>
      <c r="F519" t="s">
        <v>20</v>
      </c>
      <c r="G519">
        <f>INDEX(Question_Bank!$G$3:$G$14,MATCH(D519,Question_Bank!$A$3:$A$14,0))</f>
        <v>0</v>
      </c>
      <c r="H519">
        <f>IF(F519=G519,1,0)</f>
        <v>0</v>
      </c>
      <c r="I519">
        <f>H519*INDEX(Question_Bank!$M$3:$M$14,MATCH(D519,Question_Bank!$A$3:$A$14,0))</f>
        <v>0</v>
      </c>
      <c r="J519">
        <f>SUMIFS($I$3:$I$566,$A$3:$A$566,A519)</f>
        <v>0</v>
      </c>
      <c r="K519" s="5">
        <f>J519/SUM(Question_Bank!$M$3:$M$14)</f>
        <v>0</v>
      </c>
      <c r="L519" s="5">
        <f>SUMIFS($I$3:$I$566,$A$3:$A$566,A519,$E$3:$E$566,E519)/SUMIFS(Question_Bank!$M$3:$M$14,Question_Bank!$B$3:$B$14,E519)</f>
        <v>0</v>
      </c>
      <c r="M519" t="s">
        <v>220</v>
      </c>
    </row>
    <row r="520" spans="1:13">
      <c r="A520" t="s">
        <v>219</v>
      </c>
      <c r="B520" t="s">
        <v>132</v>
      </c>
      <c r="C520" t="s">
        <v>133</v>
      </c>
      <c r="D520" t="s">
        <v>26</v>
      </c>
      <c r="E520" t="s">
        <v>15</v>
      </c>
      <c r="F520" t="s">
        <v>31</v>
      </c>
      <c r="G520">
        <f>INDEX(Question_Bank!$G$3:$G$14,MATCH(D520,Question_Bank!$A$3:$A$14,0))</f>
        <v>0</v>
      </c>
      <c r="H520">
        <f>IF(F520=G520,1,0)</f>
        <v>0</v>
      </c>
      <c r="I520">
        <f>H520*INDEX(Question_Bank!$M$3:$M$14,MATCH(D520,Question_Bank!$A$3:$A$14,0))</f>
        <v>0</v>
      </c>
      <c r="J520">
        <f>SUMIFS($I$3:$I$566,$A$3:$A$566,A520)</f>
        <v>0</v>
      </c>
      <c r="K520" s="5">
        <f>J520/SUM(Question_Bank!$M$3:$M$14)</f>
        <v>0</v>
      </c>
      <c r="L520" s="5">
        <f>SUMIFS($I$3:$I$566,$A$3:$A$566,A520,$E$3:$E$566,E520)/SUMIFS(Question_Bank!$M$3:$M$14,Question_Bank!$B$3:$B$14,E520)</f>
        <v>0</v>
      </c>
      <c r="M520" t="s">
        <v>220</v>
      </c>
    </row>
    <row r="521" spans="1:13">
      <c r="A521" t="s">
        <v>219</v>
      </c>
      <c r="B521" t="s">
        <v>132</v>
      </c>
      <c r="C521" t="s">
        <v>133</v>
      </c>
      <c r="D521" t="s">
        <v>37</v>
      </c>
      <c r="E521" t="s">
        <v>15</v>
      </c>
      <c r="F521" t="s">
        <v>31</v>
      </c>
      <c r="G521">
        <f>INDEX(Question_Bank!$G$3:$G$14,MATCH(D521,Question_Bank!$A$3:$A$14,0))</f>
        <v>0</v>
      </c>
      <c r="H521">
        <f>IF(F521=G521,1,0)</f>
        <v>0</v>
      </c>
      <c r="I521">
        <f>H521*INDEX(Question_Bank!$M$3:$M$14,MATCH(D521,Question_Bank!$A$3:$A$14,0))</f>
        <v>0</v>
      </c>
      <c r="J521">
        <f>SUMIFS($I$3:$I$566,$A$3:$A$566,A521)</f>
        <v>0</v>
      </c>
      <c r="K521" s="5">
        <f>J521/SUM(Question_Bank!$M$3:$M$14)</f>
        <v>0</v>
      </c>
      <c r="L521" s="5">
        <f>SUMIFS($I$3:$I$566,$A$3:$A$566,A521,$E$3:$E$566,E521)/SUMIFS(Question_Bank!$M$3:$M$14,Question_Bank!$B$3:$B$14,E521)</f>
        <v>0</v>
      </c>
      <c r="M521" t="s">
        <v>220</v>
      </c>
    </row>
    <row r="522" spans="1:13">
      <c r="A522" t="s">
        <v>219</v>
      </c>
      <c r="B522" t="s">
        <v>132</v>
      </c>
      <c r="C522" t="s">
        <v>133</v>
      </c>
      <c r="D522" t="s">
        <v>45</v>
      </c>
      <c r="E522" t="s">
        <v>46</v>
      </c>
      <c r="F522" t="s">
        <v>31</v>
      </c>
      <c r="G522">
        <f>INDEX(Question_Bank!$G$3:$G$14,MATCH(D522,Question_Bank!$A$3:$A$14,0))</f>
        <v>0</v>
      </c>
      <c r="H522">
        <f>IF(F522=G522,1,0)</f>
        <v>0</v>
      </c>
      <c r="I522">
        <f>H522*INDEX(Question_Bank!$M$3:$M$14,MATCH(D522,Question_Bank!$A$3:$A$14,0))</f>
        <v>0</v>
      </c>
      <c r="J522">
        <f>SUMIFS($I$3:$I$566,$A$3:$A$566,A522)</f>
        <v>0</v>
      </c>
      <c r="K522" s="5">
        <f>J522/SUM(Question_Bank!$M$3:$M$14)</f>
        <v>0</v>
      </c>
      <c r="L522" s="5">
        <f>SUMIFS($I$3:$I$566,$A$3:$A$566,A522,$E$3:$E$566,E522)/SUMIFS(Question_Bank!$M$3:$M$14,Question_Bank!$B$3:$B$14,E522)</f>
        <v>0</v>
      </c>
      <c r="M522" t="s">
        <v>220</v>
      </c>
    </row>
    <row r="523" spans="1:13">
      <c r="A523" t="s">
        <v>219</v>
      </c>
      <c r="B523" t="s">
        <v>132</v>
      </c>
      <c r="C523" t="s">
        <v>133</v>
      </c>
      <c r="D523" t="s">
        <v>54</v>
      </c>
      <c r="E523" t="s">
        <v>46</v>
      </c>
      <c r="F523" t="s">
        <v>34</v>
      </c>
      <c r="G523">
        <f>INDEX(Question_Bank!$G$3:$G$14,MATCH(D523,Question_Bank!$A$3:$A$14,0))</f>
        <v>0</v>
      </c>
      <c r="H523">
        <f>IF(F523=G523,1,0)</f>
        <v>0</v>
      </c>
      <c r="I523">
        <f>H523*INDEX(Question_Bank!$M$3:$M$14,MATCH(D523,Question_Bank!$A$3:$A$14,0))</f>
        <v>0</v>
      </c>
      <c r="J523">
        <f>SUMIFS($I$3:$I$566,$A$3:$A$566,A523)</f>
        <v>0</v>
      </c>
      <c r="K523" s="5">
        <f>J523/SUM(Question_Bank!$M$3:$M$14)</f>
        <v>0</v>
      </c>
      <c r="L523" s="5">
        <f>SUMIFS($I$3:$I$566,$A$3:$A$566,A523,$E$3:$E$566,E523)/SUMIFS(Question_Bank!$M$3:$M$14,Question_Bank!$B$3:$B$14,E523)</f>
        <v>0</v>
      </c>
      <c r="M523" t="s">
        <v>220</v>
      </c>
    </row>
    <row r="524" spans="1:13">
      <c r="A524" t="s">
        <v>219</v>
      </c>
      <c r="B524" t="s">
        <v>132</v>
      </c>
      <c r="C524" t="s">
        <v>133</v>
      </c>
      <c r="D524" t="s">
        <v>62</v>
      </c>
      <c r="E524" t="s">
        <v>46</v>
      </c>
      <c r="F524" t="s">
        <v>31</v>
      </c>
      <c r="G524">
        <f>INDEX(Question_Bank!$G$3:$G$14,MATCH(D524,Question_Bank!$A$3:$A$14,0))</f>
        <v>0</v>
      </c>
      <c r="H524">
        <f>IF(F524=G524,1,0)</f>
        <v>0</v>
      </c>
      <c r="I524">
        <f>H524*INDEX(Question_Bank!$M$3:$M$14,MATCH(D524,Question_Bank!$A$3:$A$14,0))</f>
        <v>0</v>
      </c>
      <c r="J524">
        <f>SUMIFS($I$3:$I$566,$A$3:$A$566,A524)</f>
        <v>0</v>
      </c>
      <c r="K524" s="5">
        <f>J524/SUM(Question_Bank!$M$3:$M$14)</f>
        <v>0</v>
      </c>
      <c r="L524" s="5">
        <f>SUMIFS($I$3:$I$566,$A$3:$A$566,A524,$E$3:$E$566,E524)/SUMIFS(Question_Bank!$M$3:$M$14,Question_Bank!$B$3:$B$14,E524)</f>
        <v>0</v>
      </c>
      <c r="M524" t="s">
        <v>220</v>
      </c>
    </row>
    <row r="525" spans="1:13">
      <c r="A525" t="s">
        <v>219</v>
      </c>
      <c r="B525" t="s">
        <v>132</v>
      </c>
      <c r="C525" t="s">
        <v>133</v>
      </c>
      <c r="D525" t="s">
        <v>70</v>
      </c>
      <c r="E525" t="s">
        <v>71</v>
      </c>
      <c r="F525" t="s">
        <v>23</v>
      </c>
      <c r="G525">
        <f>INDEX(Question_Bank!$G$3:$G$14,MATCH(D525,Question_Bank!$A$3:$A$14,0))</f>
        <v>0</v>
      </c>
      <c r="H525">
        <f>IF(F525=G525,1,0)</f>
        <v>0</v>
      </c>
      <c r="I525">
        <f>H525*INDEX(Question_Bank!$M$3:$M$14,MATCH(D525,Question_Bank!$A$3:$A$14,0))</f>
        <v>0</v>
      </c>
      <c r="J525">
        <f>SUMIFS($I$3:$I$566,$A$3:$A$566,A525)</f>
        <v>0</v>
      </c>
      <c r="K525" s="5">
        <f>J525/SUM(Question_Bank!$M$3:$M$14)</f>
        <v>0</v>
      </c>
      <c r="L525" s="5">
        <f>SUMIFS($I$3:$I$566,$A$3:$A$566,A525,$E$3:$E$566,E525)/SUMIFS(Question_Bank!$M$3:$M$14,Question_Bank!$B$3:$B$14,E525)</f>
        <v>0</v>
      </c>
      <c r="M525" t="s">
        <v>220</v>
      </c>
    </row>
    <row r="526" spans="1:13">
      <c r="A526" t="s">
        <v>219</v>
      </c>
      <c r="B526" t="s">
        <v>132</v>
      </c>
      <c r="C526" t="s">
        <v>133</v>
      </c>
      <c r="D526" t="s">
        <v>79</v>
      </c>
      <c r="E526" t="s">
        <v>71</v>
      </c>
      <c r="F526" t="s">
        <v>34</v>
      </c>
      <c r="G526">
        <f>INDEX(Question_Bank!$G$3:$G$14,MATCH(D526,Question_Bank!$A$3:$A$14,0))</f>
        <v>0</v>
      </c>
      <c r="H526">
        <f>IF(F526=G526,1,0)</f>
        <v>0</v>
      </c>
      <c r="I526">
        <f>H526*INDEX(Question_Bank!$M$3:$M$14,MATCH(D526,Question_Bank!$A$3:$A$14,0))</f>
        <v>0</v>
      </c>
      <c r="J526">
        <f>SUMIFS($I$3:$I$566,$A$3:$A$566,A526)</f>
        <v>0</v>
      </c>
      <c r="K526" s="5">
        <f>J526/SUM(Question_Bank!$M$3:$M$14)</f>
        <v>0</v>
      </c>
      <c r="L526" s="5">
        <f>SUMIFS($I$3:$I$566,$A$3:$A$566,A526,$E$3:$E$566,E526)/SUMIFS(Question_Bank!$M$3:$M$14,Question_Bank!$B$3:$B$14,E526)</f>
        <v>0</v>
      </c>
      <c r="M526" t="s">
        <v>220</v>
      </c>
    </row>
    <row r="527" spans="1:13">
      <c r="A527" t="s">
        <v>219</v>
      </c>
      <c r="B527" t="s">
        <v>132</v>
      </c>
      <c r="C527" t="s">
        <v>133</v>
      </c>
      <c r="D527" t="s">
        <v>87</v>
      </c>
      <c r="E527" t="s">
        <v>71</v>
      </c>
      <c r="F527" t="s">
        <v>20</v>
      </c>
      <c r="G527">
        <f>INDEX(Question_Bank!$G$3:$G$14,MATCH(D527,Question_Bank!$A$3:$A$14,0))</f>
        <v>0</v>
      </c>
      <c r="H527">
        <f>IF(F527=G527,1,0)</f>
        <v>0</v>
      </c>
      <c r="I527">
        <f>H527*INDEX(Question_Bank!$M$3:$M$14,MATCH(D527,Question_Bank!$A$3:$A$14,0))</f>
        <v>0</v>
      </c>
      <c r="J527">
        <f>SUMIFS($I$3:$I$566,$A$3:$A$566,A527)</f>
        <v>0</v>
      </c>
      <c r="K527" s="5">
        <f>J527/SUM(Question_Bank!$M$3:$M$14)</f>
        <v>0</v>
      </c>
      <c r="L527" s="5">
        <f>SUMIFS($I$3:$I$566,$A$3:$A$566,A527,$E$3:$E$566,E527)/SUMIFS(Question_Bank!$M$3:$M$14,Question_Bank!$B$3:$B$14,E527)</f>
        <v>0</v>
      </c>
      <c r="M527" t="s">
        <v>220</v>
      </c>
    </row>
    <row r="528" spans="1:13">
      <c r="A528" t="s">
        <v>219</v>
      </c>
      <c r="B528" t="s">
        <v>132</v>
      </c>
      <c r="C528" t="s">
        <v>133</v>
      </c>
      <c r="D528" t="s">
        <v>95</v>
      </c>
      <c r="E528" t="s">
        <v>96</v>
      </c>
      <c r="F528" t="s">
        <v>31</v>
      </c>
      <c r="G528">
        <f>INDEX(Question_Bank!$G$3:$G$14,MATCH(D528,Question_Bank!$A$3:$A$14,0))</f>
        <v>0</v>
      </c>
      <c r="H528">
        <f>IF(F528=G528,1,0)</f>
        <v>0</v>
      </c>
      <c r="I528">
        <f>H528*INDEX(Question_Bank!$M$3:$M$14,MATCH(D528,Question_Bank!$A$3:$A$14,0))</f>
        <v>0</v>
      </c>
      <c r="J528">
        <f>SUMIFS($I$3:$I$566,$A$3:$A$566,A528)</f>
        <v>0</v>
      </c>
      <c r="K528" s="5">
        <f>J528/SUM(Question_Bank!$M$3:$M$14)</f>
        <v>0</v>
      </c>
      <c r="L528" s="5">
        <f>SUMIFS($I$3:$I$566,$A$3:$A$566,A528,$E$3:$E$566,E528)/SUMIFS(Question_Bank!$M$3:$M$14,Question_Bank!$B$3:$B$14,E528)</f>
        <v>0</v>
      </c>
      <c r="M528" t="s">
        <v>220</v>
      </c>
    </row>
    <row r="529" spans="1:13">
      <c r="A529" t="s">
        <v>219</v>
      </c>
      <c r="B529" t="s">
        <v>132</v>
      </c>
      <c r="C529" t="s">
        <v>133</v>
      </c>
      <c r="D529" t="s">
        <v>104</v>
      </c>
      <c r="E529" t="s">
        <v>96</v>
      </c>
      <c r="F529" t="s">
        <v>23</v>
      </c>
      <c r="G529">
        <f>INDEX(Question_Bank!$G$3:$G$14,MATCH(D529,Question_Bank!$A$3:$A$14,0))</f>
        <v>0</v>
      </c>
      <c r="H529">
        <f>IF(F529=G529,1,0)</f>
        <v>0</v>
      </c>
      <c r="I529">
        <f>H529*INDEX(Question_Bank!$M$3:$M$14,MATCH(D529,Question_Bank!$A$3:$A$14,0))</f>
        <v>0</v>
      </c>
      <c r="J529">
        <f>SUMIFS($I$3:$I$566,$A$3:$A$566,A529)</f>
        <v>0</v>
      </c>
      <c r="K529" s="5">
        <f>J529/SUM(Question_Bank!$M$3:$M$14)</f>
        <v>0</v>
      </c>
      <c r="L529" s="5">
        <f>SUMIFS($I$3:$I$566,$A$3:$A$566,A529,$E$3:$E$566,E529)/SUMIFS(Question_Bank!$M$3:$M$14,Question_Bank!$B$3:$B$14,E529)</f>
        <v>0</v>
      </c>
      <c r="M529" t="s">
        <v>220</v>
      </c>
    </row>
    <row r="530" spans="1:13">
      <c r="A530" t="s">
        <v>219</v>
      </c>
      <c r="B530" t="s">
        <v>132</v>
      </c>
      <c r="C530" t="s">
        <v>133</v>
      </c>
      <c r="D530" t="s">
        <v>112</v>
      </c>
      <c r="E530" t="s">
        <v>96</v>
      </c>
      <c r="F530" t="s">
        <v>31</v>
      </c>
      <c r="G530">
        <f>INDEX(Question_Bank!$G$3:$G$14,MATCH(D530,Question_Bank!$A$3:$A$14,0))</f>
        <v>0</v>
      </c>
      <c r="H530">
        <f>IF(F530=G530,1,0)</f>
        <v>0</v>
      </c>
      <c r="I530">
        <f>H530*INDEX(Question_Bank!$M$3:$M$14,MATCH(D530,Question_Bank!$A$3:$A$14,0))</f>
        <v>0</v>
      </c>
      <c r="J530">
        <f>SUMIFS($I$3:$I$566,$A$3:$A$566,A530)</f>
        <v>0</v>
      </c>
      <c r="K530" s="5">
        <f>J530/SUM(Question_Bank!$M$3:$M$14)</f>
        <v>0</v>
      </c>
      <c r="L530" s="5">
        <f>SUMIFS($I$3:$I$566,$A$3:$A$566,A530,$E$3:$E$566,E530)/SUMIFS(Question_Bank!$M$3:$M$14,Question_Bank!$B$3:$B$14,E530)</f>
        <v>0</v>
      </c>
      <c r="M530" t="s">
        <v>220</v>
      </c>
    </row>
    <row r="531" spans="1:13">
      <c r="A531" t="s">
        <v>221</v>
      </c>
      <c r="B531" t="s">
        <v>132</v>
      </c>
      <c r="C531" t="s">
        <v>133</v>
      </c>
      <c r="D531" t="s">
        <v>14</v>
      </c>
      <c r="E531" t="s">
        <v>15</v>
      </c>
      <c r="F531" t="s">
        <v>20</v>
      </c>
      <c r="G531">
        <f>INDEX(Question_Bank!$G$3:$G$14,MATCH(D531,Question_Bank!$A$3:$A$14,0))</f>
        <v>0</v>
      </c>
      <c r="H531">
        <f>IF(F531=G531,1,0)</f>
        <v>0</v>
      </c>
      <c r="I531">
        <f>H531*INDEX(Question_Bank!$M$3:$M$14,MATCH(D531,Question_Bank!$A$3:$A$14,0))</f>
        <v>0</v>
      </c>
      <c r="J531">
        <f>SUMIFS($I$3:$I$566,$A$3:$A$566,A531)</f>
        <v>0</v>
      </c>
      <c r="K531" s="5">
        <f>J531/SUM(Question_Bank!$M$3:$M$14)</f>
        <v>0</v>
      </c>
      <c r="L531" s="5">
        <f>SUMIFS($I$3:$I$566,$A$3:$A$566,A531,$E$3:$E$566,E531)/SUMIFS(Question_Bank!$M$3:$M$14,Question_Bank!$B$3:$B$14,E531)</f>
        <v>0</v>
      </c>
      <c r="M531" t="s">
        <v>222</v>
      </c>
    </row>
    <row r="532" spans="1:13">
      <c r="A532" t="s">
        <v>221</v>
      </c>
      <c r="B532" t="s">
        <v>132</v>
      </c>
      <c r="C532" t="s">
        <v>133</v>
      </c>
      <c r="D532" t="s">
        <v>26</v>
      </c>
      <c r="E532" t="s">
        <v>15</v>
      </c>
      <c r="F532" t="s">
        <v>31</v>
      </c>
      <c r="G532">
        <f>INDEX(Question_Bank!$G$3:$G$14,MATCH(D532,Question_Bank!$A$3:$A$14,0))</f>
        <v>0</v>
      </c>
      <c r="H532">
        <f>IF(F532=G532,1,0)</f>
        <v>0</v>
      </c>
      <c r="I532">
        <f>H532*INDEX(Question_Bank!$M$3:$M$14,MATCH(D532,Question_Bank!$A$3:$A$14,0))</f>
        <v>0</v>
      </c>
      <c r="J532">
        <f>SUMIFS($I$3:$I$566,$A$3:$A$566,A532)</f>
        <v>0</v>
      </c>
      <c r="K532" s="5">
        <f>J532/SUM(Question_Bank!$M$3:$M$14)</f>
        <v>0</v>
      </c>
      <c r="L532" s="5">
        <f>SUMIFS($I$3:$I$566,$A$3:$A$566,A532,$E$3:$E$566,E532)/SUMIFS(Question_Bank!$M$3:$M$14,Question_Bank!$B$3:$B$14,E532)</f>
        <v>0</v>
      </c>
      <c r="M532" t="s">
        <v>222</v>
      </c>
    </row>
    <row r="533" spans="1:13">
      <c r="A533" t="s">
        <v>221</v>
      </c>
      <c r="B533" t="s">
        <v>132</v>
      </c>
      <c r="C533" t="s">
        <v>133</v>
      </c>
      <c r="D533" t="s">
        <v>37</v>
      </c>
      <c r="E533" t="s">
        <v>15</v>
      </c>
      <c r="F533" t="s">
        <v>23</v>
      </c>
      <c r="G533">
        <f>INDEX(Question_Bank!$G$3:$G$14,MATCH(D533,Question_Bank!$A$3:$A$14,0))</f>
        <v>0</v>
      </c>
      <c r="H533">
        <f>IF(F533=G533,1,0)</f>
        <v>0</v>
      </c>
      <c r="I533">
        <f>H533*INDEX(Question_Bank!$M$3:$M$14,MATCH(D533,Question_Bank!$A$3:$A$14,0))</f>
        <v>0</v>
      </c>
      <c r="J533">
        <f>SUMIFS($I$3:$I$566,$A$3:$A$566,A533)</f>
        <v>0</v>
      </c>
      <c r="K533" s="5">
        <f>J533/SUM(Question_Bank!$M$3:$M$14)</f>
        <v>0</v>
      </c>
      <c r="L533" s="5">
        <f>SUMIFS($I$3:$I$566,$A$3:$A$566,A533,$E$3:$E$566,E533)/SUMIFS(Question_Bank!$M$3:$M$14,Question_Bank!$B$3:$B$14,E533)</f>
        <v>0</v>
      </c>
      <c r="M533" t="s">
        <v>222</v>
      </c>
    </row>
    <row r="534" spans="1:13">
      <c r="A534" t="s">
        <v>221</v>
      </c>
      <c r="B534" t="s">
        <v>132</v>
      </c>
      <c r="C534" t="s">
        <v>133</v>
      </c>
      <c r="D534" t="s">
        <v>45</v>
      </c>
      <c r="E534" t="s">
        <v>46</v>
      </c>
      <c r="F534" t="s">
        <v>34</v>
      </c>
      <c r="G534">
        <f>INDEX(Question_Bank!$G$3:$G$14,MATCH(D534,Question_Bank!$A$3:$A$14,0))</f>
        <v>0</v>
      </c>
      <c r="H534">
        <f>IF(F534=G534,1,0)</f>
        <v>0</v>
      </c>
      <c r="I534">
        <f>H534*INDEX(Question_Bank!$M$3:$M$14,MATCH(D534,Question_Bank!$A$3:$A$14,0))</f>
        <v>0</v>
      </c>
      <c r="J534">
        <f>SUMIFS($I$3:$I$566,$A$3:$A$566,A534)</f>
        <v>0</v>
      </c>
      <c r="K534" s="5">
        <f>J534/SUM(Question_Bank!$M$3:$M$14)</f>
        <v>0</v>
      </c>
      <c r="L534" s="5">
        <f>SUMIFS($I$3:$I$566,$A$3:$A$566,A534,$E$3:$E$566,E534)/SUMIFS(Question_Bank!$M$3:$M$14,Question_Bank!$B$3:$B$14,E534)</f>
        <v>0</v>
      </c>
      <c r="M534" t="s">
        <v>222</v>
      </c>
    </row>
    <row r="535" spans="1:13">
      <c r="A535" t="s">
        <v>221</v>
      </c>
      <c r="B535" t="s">
        <v>132</v>
      </c>
      <c r="C535" t="s">
        <v>133</v>
      </c>
      <c r="D535" t="s">
        <v>54</v>
      </c>
      <c r="E535" t="s">
        <v>46</v>
      </c>
      <c r="F535" t="s">
        <v>20</v>
      </c>
      <c r="G535">
        <f>INDEX(Question_Bank!$G$3:$G$14,MATCH(D535,Question_Bank!$A$3:$A$14,0))</f>
        <v>0</v>
      </c>
      <c r="H535">
        <f>IF(F535=G535,1,0)</f>
        <v>0</v>
      </c>
      <c r="I535">
        <f>H535*INDEX(Question_Bank!$M$3:$M$14,MATCH(D535,Question_Bank!$A$3:$A$14,0))</f>
        <v>0</v>
      </c>
      <c r="J535">
        <f>SUMIFS($I$3:$I$566,$A$3:$A$566,A535)</f>
        <v>0</v>
      </c>
      <c r="K535" s="5">
        <f>J535/SUM(Question_Bank!$M$3:$M$14)</f>
        <v>0</v>
      </c>
      <c r="L535" s="5">
        <f>SUMIFS($I$3:$I$566,$A$3:$A$566,A535,$E$3:$E$566,E535)/SUMIFS(Question_Bank!$M$3:$M$14,Question_Bank!$B$3:$B$14,E535)</f>
        <v>0</v>
      </c>
      <c r="M535" t="s">
        <v>222</v>
      </c>
    </row>
    <row r="536" spans="1:13">
      <c r="A536" t="s">
        <v>221</v>
      </c>
      <c r="B536" t="s">
        <v>132</v>
      </c>
      <c r="C536" t="s">
        <v>133</v>
      </c>
      <c r="D536" t="s">
        <v>62</v>
      </c>
      <c r="E536" t="s">
        <v>46</v>
      </c>
      <c r="F536" t="s">
        <v>31</v>
      </c>
      <c r="G536">
        <f>INDEX(Question_Bank!$G$3:$G$14,MATCH(D536,Question_Bank!$A$3:$A$14,0))</f>
        <v>0</v>
      </c>
      <c r="H536">
        <f>IF(F536=G536,1,0)</f>
        <v>0</v>
      </c>
      <c r="I536">
        <f>H536*INDEX(Question_Bank!$M$3:$M$14,MATCH(D536,Question_Bank!$A$3:$A$14,0))</f>
        <v>0</v>
      </c>
      <c r="J536">
        <f>SUMIFS($I$3:$I$566,$A$3:$A$566,A536)</f>
        <v>0</v>
      </c>
      <c r="K536" s="5">
        <f>J536/SUM(Question_Bank!$M$3:$M$14)</f>
        <v>0</v>
      </c>
      <c r="L536" s="5">
        <f>SUMIFS($I$3:$I$566,$A$3:$A$566,A536,$E$3:$E$566,E536)/SUMIFS(Question_Bank!$M$3:$M$14,Question_Bank!$B$3:$B$14,E536)</f>
        <v>0</v>
      </c>
      <c r="M536" t="s">
        <v>222</v>
      </c>
    </row>
    <row r="537" spans="1:13">
      <c r="A537" t="s">
        <v>221</v>
      </c>
      <c r="B537" t="s">
        <v>132</v>
      </c>
      <c r="C537" t="s">
        <v>133</v>
      </c>
      <c r="D537" t="s">
        <v>70</v>
      </c>
      <c r="E537" t="s">
        <v>71</v>
      </c>
      <c r="F537" t="s">
        <v>31</v>
      </c>
      <c r="G537">
        <f>INDEX(Question_Bank!$G$3:$G$14,MATCH(D537,Question_Bank!$A$3:$A$14,0))</f>
        <v>0</v>
      </c>
      <c r="H537">
        <f>IF(F537=G537,1,0)</f>
        <v>0</v>
      </c>
      <c r="I537">
        <f>H537*INDEX(Question_Bank!$M$3:$M$14,MATCH(D537,Question_Bank!$A$3:$A$14,0))</f>
        <v>0</v>
      </c>
      <c r="J537">
        <f>SUMIFS($I$3:$I$566,$A$3:$A$566,A537)</f>
        <v>0</v>
      </c>
      <c r="K537" s="5">
        <f>J537/SUM(Question_Bank!$M$3:$M$14)</f>
        <v>0</v>
      </c>
      <c r="L537" s="5">
        <f>SUMIFS($I$3:$I$566,$A$3:$A$566,A537,$E$3:$E$566,E537)/SUMIFS(Question_Bank!$M$3:$M$14,Question_Bank!$B$3:$B$14,E537)</f>
        <v>0</v>
      </c>
      <c r="M537" t="s">
        <v>222</v>
      </c>
    </row>
    <row r="538" spans="1:13">
      <c r="A538" t="s">
        <v>221</v>
      </c>
      <c r="B538" t="s">
        <v>132</v>
      </c>
      <c r="C538" t="s">
        <v>133</v>
      </c>
      <c r="D538" t="s">
        <v>79</v>
      </c>
      <c r="E538" t="s">
        <v>71</v>
      </c>
      <c r="F538" t="s">
        <v>31</v>
      </c>
      <c r="G538">
        <f>INDEX(Question_Bank!$G$3:$G$14,MATCH(D538,Question_Bank!$A$3:$A$14,0))</f>
        <v>0</v>
      </c>
      <c r="H538">
        <f>IF(F538=G538,1,0)</f>
        <v>0</v>
      </c>
      <c r="I538">
        <f>H538*INDEX(Question_Bank!$M$3:$M$14,MATCH(D538,Question_Bank!$A$3:$A$14,0))</f>
        <v>0</v>
      </c>
      <c r="J538">
        <f>SUMIFS($I$3:$I$566,$A$3:$A$566,A538)</f>
        <v>0</v>
      </c>
      <c r="K538" s="5">
        <f>J538/SUM(Question_Bank!$M$3:$M$14)</f>
        <v>0</v>
      </c>
      <c r="L538" s="5">
        <f>SUMIFS($I$3:$I$566,$A$3:$A$566,A538,$E$3:$E$566,E538)/SUMIFS(Question_Bank!$M$3:$M$14,Question_Bank!$B$3:$B$14,E538)</f>
        <v>0</v>
      </c>
      <c r="M538" t="s">
        <v>222</v>
      </c>
    </row>
    <row r="539" spans="1:13">
      <c r="A539" t="s">
        <v>221</v>
      </c>
      <c r="B539" t="s">
        <v>132</v>
      </c>
      <c r="C539" t="s">
        <v>133</v>
      </c>
      <c r="D539" t="s">
        <v>87</v>
      </c>
      <c r="E539" t="s">
        <v>71</v>
      </c>
      <c r="F539" t="s">
        <v>23</v>
      </c>
      <c r="G539">
        <f>INDEX(Question_Bank!$G$3:$G$14,MATCH(D539,Question_Bank!$A$3:$A$14,0))</f>
        <v>0</v>
      </c>
      <c r="H539">
        <f>IF(F539=G539,1,0)</f>
        <v>0</v>
      </c>
      <c r="I539">
        <f>H539*INDEX(Question_Bank!$M$3:$M$14,MATCH(D539,Question_Bank!$A$3:$A$14,0))</f>
        <v>0</v>
      </c>
      <c r="J539">
        <f>SUMIFS($I$3:$I$566,$A$3:$A$566,A539)</f>
        <v>0</v>
      </c>
      <c r="K539" s="5">
        <f>J539/SUM(Question_Bank!$M$3:$M$14)</f>
        <v>0</v>
      </c>
      <c r="L539" s="5">
        <f>SUMIFS($I$3:$I$566,$A$3:$A$566,A539,$E$3:$E$566,E539)/SUMIFS(Question_Bank!$M$3:$M$14,Question_Bank!$B$3:$B$14,E539)</f>
        <v>0</v>
      </c>
      <c r="M539" t="s">
        <v>222</v>
      </c>
    </row>
    <row r="540" spans="1:13">
      <c r="A540" t="s">
        <v>221</v>
      </c>
      <c r="B540" t="s">
        <v>132</v>
      </c>
      <c r="C540" t="s">
        <v>133</v>
      </c>
      <c r="D540" t="s">
        <v>95</v>
      </c>
      <c r="E540" t="s">
        <v>96</v>
      </c>
      <c r="F540" t="s">
        <v>31</v>
      </c>
      <c r="G540">
        <f>INDEX(Question_Bank!$G$3:$G$14,MATCH(D540,Question_Bank!$A$3:$A$14,0))</f>
        <v>0</v>
      </c>
      <c r="H540">
        <f>IF(F540=G540,1,0)</f>
        <v>0</v>
      </c>
      <c r="I540">
        <f>H540*INDEX(Question_Bank!$M$3:$M$14,MATCH(D540,Question_Bank!$A$3:$A$14,0))</f>
        <v>0</v>
      </c>
      <c r="J540">
        <f>SUMIFS($I$3:$I$566,$A$3:$A$566,A540)</f>
        <v>0</v>
      </c>
      <c r="K540" s="5">
        <f>J540/SUM(Question_Bank!$M$3:$M$14)</f>
        <v>0</v>
      </c>
      <c r="L540" s="5">
        <f>SUMIFS($I$3:$I$566,$A$3:$A$566,A540,$E$3:$E$566,E540)/SUMIFS(Question_Bank!$M$3:$M$14,Question_Bank!$B$3:$B$14,E540)</f>
        <v>0</v>
      </c>
      <c r="M540" t="s">
        <v>222</v>
      </c>
    </row>
    <row r="541" spans="1:13">
      <c r="A541" t="s">
        <v>221</v>
      </c>
      <c r="B541" t="s">
        <v>132</v>
      </c>
      <c r="C541" t="s">
        <v>133</v>
      </c>
      <c r="D541" t="s">
        <v>104</v>
      </c>
      <c r="E541" t="s">
        <v>96</v>
      </c>
      <c r="F541" t="s">
        <v>23</v>
      </c>
      <c r="G541">
        <f>INDEX(Question_Bank!$G$3:$G$14,MATCH(D541,Question_Bank!$A$3:$A$14,0))</f>
        <v>0</v>
      </c>
      <c r="H541">
        <f>IF(F541=G541,1,0)</f>
        <v>0</v>
      </c>
      <c r="I541">
        <f>H541*INDEX(Question_Bank!$M$3:$M$14,MATCH(D541,Question_Bank!$A$3:$A$14,0))</f>
        <v>0</v>
      </c>
      <c r="J541">
        <f>SUMIFS($I$3:$I$566,$A$3:$A$566,A541)</f>
        <v>0</v>
      </c>
      <c r="K541" s="5">
        <f>J541/SUM(Question_Bank!$M$3:$M$14)</f>
        <v>0</v>
      </c>
      <c r="L541" s="5">
        <f>SUMIFS($I$3:$I$566,$A$3:$A$566,A541,$E$3:$E$566,E541)/SUMIFS(Question_Bank!$M$3:$M$14,Question_Bank!$B$3:$B$14,E541)</f>
        <v>0</v>
      </c>
      <c r="M541" t="s">
        <v>222</v>
      </c>
    </row>
    <row r="542" spans="1:13">
      <c r="A542" t="s">
        <v>221</v>
      </c>
      <c r="B542" t="s">
        <v>132</v>
      </c>
      <c r="C542" t="s">
        <v>133</v>
      </c>
      <c r="D542" t="s">
        <v>112</v>
      </c>
      <c r="E542" t="s">
        <v>96</v>
      </c>
      <c r="F542" t="s">
        <v>23</v>
      </c>
      <c r="G542">
        <f>INDEX(Question_Bank!$G$3:$G$14,MATCH(D542,Question_Bank!$A$3:$A$14,0))</f>
        <v>0</v>
      </c>
      <c r="H542">
        <f>IF(F542=G542,1,0)</f>
        <v>0</v>
      </c>
      <c r="I542">
        <f>H542*INDEX(Question_Bank!$M$3:$M$14,MATCH(D542,Question_Bank!$A$3:$A$14,0))</f>
        <v>0</v>
      </c>
      <c r="J542">
        <f>SUMIFS($I$3:$I$566,$A$3:$A$566,A542)</f>
        <v>0</v>
      </c>
      <c r="K542" s="5">
        <f>J542/SUM(Question_Bank!$M$3:$M$14)</f>
        <v>0</v>
      </c>
      <c r="L542" s="5">
        <f>SUMIFS($I$3:$I$566,$A$3:$A$566,A542,$E$3:$E$566,E542)/SUMIFS(Question_Bank!$M$3:$M$14,Question_Bank!$B$3:$B$14,E542)</f>
        <v>0</v>
      </c>
      <c r="M542" t="s">
        <v>222</v>
      </c>
    </row>
    <row r="543" spans="1:13">
      <c r="A543" t="s">
        <v>223</v>
      </c>
      <c r="B543" t="s">
        <v>132</v>
      </c>
      <c r="C543" t="s">
        <v>133</v>
      </c>
      <c r="D543" t="s">
        <v>14</v>
      </c>
      <c r="E543" t="s">
        <v>15</v>
      </c>
      <c r="F543" t="s">
        <v>20</v>
      </c>
      <c r="G543">
        <f>INDEX(Question_Bank!$G$3:$G$14,MATCH(D543,Question_Bank!$A$3:$A$14,0))</f>
        <v>0</v>
      </c>
      <c r="H543">
        <f>IF(F543=G543,1,0)</f>
        <v>0</v>
      </c>
      <c r="I543">
        <f>H543*INDEX(Question_Bank!$M$3:$M$14,MATCH(D543,Question_Bank!$A$3:$A$14,0))</f>
        <v>0</v>
      </c>
      <c r="J543">
        <f>SUMIFS($I$3:$I$566,$A$3:$A$566,A543)</f>
        <v>0</v>
      </c>
      <c r="K543" s="5">
        <f>J543/SUM(Question_Bank!$M$3:$M$14)</f>
        <v>0</v>
      </c>
      <c r="L543" s="5">
        <f>SUMIFS($I$3:$I$566,$A$3:$A$566,A543,$E$3:$E$566,E543)/SUMIFS(Question_Bank!$M$3:$M$14,Question_Bank!$B$3:$B$14,E543)</f>
        <v>0</v>
      </c>
      <c r="M543" t="s">
        <v>224</v>
      </c>
    </row>
    <row r="544" spans="1:13">
      <c r="A544" t="s">
        <v>223</v>
      </c>
      <c r="B544" t="s">
        <v>132</v>
      </c>
      <c r="C544" t="s">
        <v>133</v>
      </c>
      <c r="D544" t="s">
        <v>26</v>
      </c>
      <c r="E544" t="s">
        <v>15</v>
      </c>
      <c r="F544" t="s">
        <v>31</v>
      </c>
      <c r="G544">
        <f>INDEX(Question_Bank!$G$3:$G$14,MATCH(D544,Question_Bank!$A$3:$A$14,0))</f>
        <v>0</v>
      </c>
      <c r="H544">
        <f>IF(F544=G544,1,0)</f>
        <v>0</v>
      </c>
      <c r="I544">
        <f>H544*INDEX(Question_Bank!$M$3:$M$14,MATCH(D544,Question_Bank!$A$3:$A$14,0))</f>
        <v>0</v>
      </c>
      <c r="J544">
        <f>SUMIFS($I$3:$I$566,$A$3:$A$566,A544)</f>
        <v>0</v>
      </c>
      <c r="K544" s="5">
        <f>J544/SUM(Question_Bank!$M$3:$M$14)</f>
        <v>0</v>
      </c>
      <c r="L544" s="5">
        <f>SUMIFS($I$3:$I$566,$A$3:$A$566,A544,$E$3:$E$566,E544)/SUMIFS(Question_Bank!$M$3:$M$14,Question_Bank!$B$3:$B$14,E544)</f>
        <v>0</v>
      </c>
      <c r="M544" t="s">
        <v>224</v>
      </c>
    </row>
    <row r="545" spans="1:13">
      <c r="A545" t="s">
        <v>223</v>
      </c>
      <c r="B545" t="s">
        <v>132</v>
      </c>
      <c r="C545" t="s">
        <v>133</v>
      </c>
      <c r="D545" t="s">
        <v>37</v>
      </c>
      <c r="E545" t="s">
        <v>15</v>
      </c>
      <c r="F545" t="s">
        <v>23</v>
      </c>
      <c r="G545">
        <f>INDEX(Question_Bank!$G$3:$G$14,MATCH(D545,Question_Bank!$A$3:$A$14,0))</f>
        <v>0</v>
      </c>
      <c r="H545">
        <f>IF(F545=G545,1,0)</f>
        <v>0</v>
      </c>
      <c r="I545">
        <f>H545*INDEX(Question_Bank!$M$3:$M$14,MATCH(D545,Question_Bank!$A$3:$A$14,0))</f>
        <v>0</v>
      </c>
      <c r="J545">
        <f>SUMIFS($I$3:$I$566,$A$3:$A$566,A545)</f>
        <v>0</v>
      </c>
      <c r="K545" s="5">
        <f>J545/SUM(Question_Bank!$M$3:$M$14)</f>
        <v>0</v>
      </c>
      <c r="L545" s="5">
        <f>SUMIFS($I$3:$I$566,$A$3:$A$566,A545,$E$3:$E$566,E545)/SUMIFS(Question_Bank!$M$3:$M$14,Question_Bank!$B$3:$B$14,E545)</f>
        <v>0</v>
      </c>
      <c r="M545" t="s">
        <v>224</v>
      </c>
    </row>
    <row r="546" spans="1:13">
      <c r="A546" t="s">
        <v>223</v>
      </c>
      <c r="B546" t="s">
        <v>132</v>
      </c>
      <c r="C546" t="s">
        <v>133</v>
      </c>
      <c r="D546" t="s">
        <v>45</v>
      </c>
      <c r="E546" t="s">
        <v>46</v>
      </c>
      <c r="F546" t="s">
        <v>20</v>
      </c>
      <c r="G546">
        <f>INDEX(Question_Bank!$G$3:$G$14,MATCH(D546,Question_Bank!$A$3:$A$14,0))</f>
        <v>0</v>
      </c>
      <c r="H546">
        <f>IF(F546=G546,1,0)</f>
        <v>0</v>
      </c>
      <c r="I546">
        <f>H546*INDEX(Question_Bank!$M$3:$M$14,MATCH(D546,Question_Bank!$A$3:$A$14,0))</f>
        <v>0</v>
      </c>
      <c r="J546">
        <f>SUMIFS($I$3:$I$566,$A$3:$A$566,A546)</f>
        <v>0</v>
      </c>
      <c r="K546" s="5">
        <f>J546/SUM(Question_Bank!$M$3:$M$14)</f>
        <v>0</v>
      </c>
      <c r="L546" s="5">
        <f>SUMIFS($I$3:$I$566,$A$3:$A$566,A546,$E$3:$E$566,E546)/SUMIFS(Question_Bank!$M$3:$M$14,Question_Bank!$B$3:$B$14,E546)</f>
        <v>0</v>
      </c>
      <c r="M546" t="s">
        <v>224</v>
      </c>
    </row>
    <row r="547" spans="1:13">
      <c r="A547" t="s">
        <v>223</v>
      </c>
      <c r="B547" t="s">
        <v>132</v>
      </c>
      <c r="C547" t="s">
        <v>133</v>
      </c>
      <c r="D547" t="s">
        <v>54</v>
      </c>
      <c r="E547" t="s">
        <v>46</v>
      </c>
      <c r="F547" t="s">
        <v>34</v>
      </c>
      <c r="G547">
        <f>INDEX(Question_Bank!$G$3:$G$14,MATCH(D547,Question_Bank!$A$3:$A$14,0))</f>
        <v>0</v>
      </c>
      <c r="H547">
        <f>IF(F547=G547,1,0)</f>
        <v>0</v>
      </c>
      <c r="I547">
        <f>H547*INDEX(Question_Bank!$M$3:$M$14,MATCH(D547,Question_Bank!$A$3:$A$14,0))</f>
        <v>0</v>
      </c>
      <c r="J547">
        <f>SUMIFS($I$3:$I$566,$A$3:$A$566,A547)</f>
        <v>0</v>
      </c>
      <c r="K547" s="5">
        <f>J547/SUM(Question_Bank!$M$3:$M$14)</f>
        <v>0</v>
      </c>
      <c r="L547" s="5">
        <f>SUMIFS($I$3:$I$566,$A$3:$A$566,A547,$E$3:$E$566,E547)/SUMIFS(Question_Bank!$M$3:$M$14,Question_Bank!$B$3:$B$14,E547)</f>
        <v>0</v>
      </c>
      <c r="M547" t="s">
        <v>224</v>
      </c>
    </row>
    <row r="548" spans="1:13">
      <c r="A548" t="s">
        <v>223</v>
      </c>
      <c r="B548" t="s">
        <v>132</v>
      </c>
      <c r="C548" t="s">
        <v>133</v>
      </c>
      <c r="D548" t="s">
        <v>62</v>
      </c>
      <c r="E548" t="s">
        <v>46</v>
      </c>
      <c r="F548" t="s">
        <v>23</v>
      </c>
      <c r="G548">
        <f>INDEX(Question_Bank!$G$3:$G$14,MATCH(D548,Question_Bank!$A$3:$A$14,0))</f>
        <v>0</v>
      </c>
      <c r="H548">
        <f>IF(F548=G548,1,0)</f>
        <v>0</v>
      </c>
      <c r="I548">
        <f>H548*INDEX(Question_Bank!$M$3:$M$14,MATCH(D548,Question_Bank!$A$3:$A$14,0))</f>
        <v>0</v>
      </c>
      <c r="J548">
        <f>SUMIFS($I$3:$I$566,$A$3:$A$566,A548)</f>
        <v>0</v>
      </c>
      <c r="K548" s="5">
        <f>J548/SUM(Question_Bank!$M$3:$M$14)</f>
        <v>0</v>
      </c>
      <c r="L548" s="5">
        <f>SUMIFS($I$3:$I$566,$A$3:$A$566,A548,$E$3:$E$566,E548)/SUMIFS(Question_Bank!$M$3:$M$14,Question_Bank!$B$3:$B$14,E548)</f>
        <v>0</v>
      </c>
      <c r="M548" t="s">
        <v>224</v>
      </c>
    </row>
    <row r="549" spans="1:13">
      <c r="A549" t="s">
        <v>223</v>
      </c>
      <c r="B549" t="s">
        <v>132</v>
      </c>
      <c r="C549" t="s">
        <v>133</v>
      </c>
      <c r="D549" t="s">
        <v>70</v>
      </c>
      <c r="E549" t="s">
        <v>71</v>
      </c>
      <c r="F549" t="s">
        <v>23</v>
      </c>
      <c r="G549">
        <f>INDEX(Question_Bank!$G$3:$G$14,MATCH(D549,Question_Bank!$A$3:$A$14,0))</f>
        <v>0</v>
      </c>
      <c r="H549">
        <f>IF(F549=G549,1,0)</f>
        <v>0</v>
      </c>
      <c r="I549">
        <f>H549*INDEX(Question_Bank!$M$3:$M$14,MATCH(D549,Question_Bank!$A$3:$A$14,0))</f>
        <v>0</v>
      </c>
      <c r="J549">
        <f>SUMIFS($I$3:$I$566,$A$3:$A$566,A549)</f>
        <v>0</v>
      </c>
      <c r="K549" s="5">
        <f>J549/SUM(Question_Bank!$M$3:$M$14)</f>
        <v>0</v>
      </c>
      <c r="L549" s="5">
        <f>SUMIFS($I$3:$I$566,$A$3:$A$566,A549,$E$3:$E$566,E549)/SUMIFS(Question_Bank!$M$3:$M$14,Question_Bank!$B$3:$B$14,E549)</f>
        <v>0</v>
      </c>
      <c r="M549" t="s">
        <v>224</v>
      </c>
    </row>
    <row r="550" spans="1:13">
      <c r="A550" t="s">
        <v>223</v>
      </c>
      <c r="B550" t="s">
        <v>132</v>
      </c>
      <c r="C550" t="s">
        <v>133</v>
      </c>
      <c r="D550" t="s">
        <v>79</v>
      </c>
      <c r="E550" t="s">
        <v>71</v>
      </c>
      <c r="F550" t="s">
        <v>34</v>
      </c>
      <c r="G550">
        <f>INDEX(Question_Bank!$G$3:$G$14,MATCH(D550,Question_Bank!$A$3:$A$14,0))</f>
        <v>0</v>
      </c>
      <c r="H550">
        <f>IF(F550=G550,1,0)</f>
        <v>0</v>
      </c>
      <c r="I550">
        <f>H550*INDEX(Question_Bank!$M$3:$M$14,MATCH(D550,Question_Bank!$A$3:$A$14,0))</f>
        <v>0</v>
      </c>
      <c r="J550">
        <f>SUMIFS($I$3:$I$566,$A$3:$A$566,A550)</f>
        <v>0</v>
      </c>
      <c r="K550" s="5">
        <f>J550/SUM(Question_Bank!$M$3:$M$14)</f>
        <v>0</v>
      </c>
      <c r="L550" s="5">
        <f>SUMIFS($I$3:$I$566,$A$3:$A$566,A550,$E$3:$E$566,E550)/SUMIFS(Question_Bank!$M$3:$M$14,Question_Bank!$B$3:$B$14,E550)</f>
        <v>0</v>
      </c>
      <c r="M550" t="s">
        <v>224</v>
      </c>
    </row>
    <row r="551" spans="1:13">
      <c r="A551" t="s">
        <v>223</v>
      </c>
      <c r="B551" t="s">
        <v>132</v>
      </c>
      <c r="C551" t="s">
        <v>133</v>
      </c>
      <c r="D551" t="s">
        <v>87</v>
      </c>
      <c r="E551" t="s">
        <v>71</v>
      </c>
      <c r="F551" t="s">
        <v>23</v>
      </c>
      <c r="G551">
        <f>INDEX(Question_Bank!$G$3:$G$14,MATCH(D551,Question_Bank!$A$3:$A$14,0))</f>
        <v>0</v>
      </c>
      <c r="H551">
        <f>IF(F551=G551,1,0)</f>
        <v>0</v>
      </c>
      <c r="I551">
        <f>H551*INDEX(Question_Bank!$M$3:$M$14,MATCH(D551,Question_Bank!$A$3:$A$14,0))</f>
        <v>0</v>
      </c>
      <c r="J551">
        <f>SUMIFS($I$3:$I$566,$A$3:$A$566,A551)</f>
        <v>0</v>
      </c>
      <c r="K551" s="5">
        <f>J551/SUM(Question_Bank!$M$3:$M$14)</f>
        <v>0</v>
      </c>
      <c r="L551" s="5">
        <f>SUMIFS($I$3:$I$566,$A$3:$A$566,A551,$E$3:$E$566,E551)/SUMIFS(Question_Bank!$M$3:$M$14,Question_Bank!$B$3:$B$14,E551)</f>
        <v>0</v>
      </c>
      <c r="M551" t="s">
        <v>224</v>
      </c>
    </row>
    <row r="552" spans="1:13">
      <c r="A552" t="s">
        <v>223</v>
      </c>
      <c r="B552" t="s">
        <v>132</v>
      </c>
      <c r="C552" t="s">
        <v>133</v>
      </c>
      <c r="D552" t="s">
        <v>95</v>
      </c>
      <c r="E552" t="s">
        <v>96</v>
      </c>
      <c r="F552" t="s">
        <v>31</v>
      </c>
      <c r="G552">
        <f>INDEX(Question_Bank!$G$3:$G$14,MATCH(D552,Question_Bank!$A$3:$A$14,0))</f>
        <v>0</v>
      </c>
      <c r="H552">
        <f>IF(F552=G552,1,0)</f>
        <v>0</v>
      </c>
      <c r="I552">
        <f>H552*INDEX(Question_Bank!$M$3:$M$14,MATCH(D552,Question_Bank!$A$3:$A$14,0))</f>
        <v>0</v>
      </c>
      <c r="J552">
        <f>SUMIFS($I$3:$I$566,$A$3:$A$566,A552)</f>
        <v>0</v>
      </c>
      <c r="K552" s="5">
        <f>J552/SUM(Question_Bank!$M$3:$M$14)</f>
        <v>0</v>
      </c>
      <c r="L552" s="5">
        <f>SUMIFS($I$3:$I$566,$A$3:$A$566,A552,$E$3:$E$566,E552)/SUMIFS(Question_Bank!$M$3:$M$14,Question_Bank!$B$3:$B$14,E552)</f>
        <v>0</v>
      </c>
      <c r="M552" t="s">
        <v>224</v>
      </c>
    </row>
    <row r="553" spans="1:13">
      <c r="A553" t="s">
        <v>223</v>
      </c>
      <c r="B553" t="s">
        <v>132</v>
      </c>
      <c r="C553" t="s">
        <v>133</v>
      </c>
      <c r="D553" t="s">
        <v>104</v>
      </c>
      <c r="E553" t="s">
        <v>96</v>
      </c>
      <c r="F553" t="s">
        <v>23</v>
      </c>
      <c r="G553">
        <f>INDEX(Question_Bank!$G$3:$G$14,MATCH(D553,Question_Bank!$A$3:$A$14,0))</f>
        <v>0</v>
      </c>
      <c r="H553">
        <f>IF(F553=G553,1,0)</f>
        <v>0</v>
      </c>
      <c r="I553">
        <f>H553*INDEX(Question_Bank!$M$3:$M$14,MATCH(D553,Question_Bank!$A$3:$A$14,0))</f>
        <v>0</v>
      </c>
      <c r="J553">
        <f>SUMIFS($I$3:$I$566,$A$3:$A$566,A553)</f>
        <v>0</v>
      </c>
      <c r="K553" s="5">
        <f>J553/SUM(Question_Bank!$M$3:$M$14)</f>
        <v>0</v>
      </c>
      <c r="L553" s="5">
        <f>SUMIFS($I$3:$I$566,$A$3:$A$566,A553,$E$3:$E$566,E553)/SUMIFS(Question_Bank!$M$3:$M$14,Question_Bank!$B$3:$B$14,E553)</f>
        <v>0</v>
      </c>
      <c r="M553" t="s">
        <v>224</v>
      </c>
    </row>
    <row r="554" spans="1:13">
      <c r="A554" t="s">
        <v>223</v>
      </c>
      <c r="B554" t="s">
        <v>132</v>
      </c>
      <c r="C554" t="s">
        <v>133</v>
      </c>
      <c r="D554" t="s">
        <v>112</v>
      </c>
      <c r="E554" t="s">
        <v>96</v>
      </c>
      <c r="F554" t="s">
        <v>34</v>
      </c>
      <c r="G554">
        <f>INDEX(Question_Bank!$G$3:$G$14,MATCH(D554,Question_Bank!$A$3:$A$14,0))</f>
        <v>0</v>
      </c>
      <c r="H554">
        <f>IF(F554=G554,1,0)</f>
        <v>0</v>
      </c>
      <c r="I554">
        <f>H554*INDEX(Question_Bank!$M$3:$M$14,MATCH(D554,Question_Bank!$A$3:$A$14,0))</f>
        <v>0</v>
      </c>
      <c r="J554">
        <f>SUMIFS($I$3:$I$566,$A$3:$A$566,A554)</f>
        <v>0</v>
      </c>
      <c r="K554" s="5">
        <f>J554/SUM(Question_Bank!$M$3:$M$14)</f>
        <v>0</v>
      </c>
      <c r="L554" s="5">
        <f>SUMIFS($I$3:$I$566,$A$3:$A$566,A554,$E$3:$E$566,E554)/SUMIFS(Question_Bank!$M$3:$M$14,Question_Bank!$B$3:$B$14,E554)</f>
        <v>0</v>
      </c>
      <c r="M554" t="s">
        <v>224</v>
      </c>
    </row>
    <row r="555" spans="1:13">
      <c r="A555" t="s">
        <v>225</v>
      </c>
      <c r="B555" t="s">
        <v>132</v>
      </c>
      <c r="C555" t="s">
        <v>133</v>
      </c>
      <c r="D555" t="s">
        <v>14</v>
      </c>
      <c r="E555" t="s">
        <v>15</v>
      </c>
      <c r="F555" t="s">
        <v>23</v>
      </c>
      <c r="G555">
        <f>INDEX(Question_Bank!$G$3:$G$14,MATCH(D555,Question_Bank!$A$3:$A$14,0))</f>
        <v>0</v>
      </c>
      <c r="H555">
        <f>IF(F555=G555,1,0)</f>
        <v>0</v>
      </c>
      <c r="I555">
        <f>H555*INDEX(Question_Bank!$M$3:$M$14,MATCH(D555,Question_Bank!$A$3:$A$14,0))</f>
        <v>0</v>
      </c>
      <c r="J555">
        <f>SUMIFS($I$3:$I$566,$A$3:$A$566,A555)</f>
        <v>0</v>
      </c>
      <c r="K555" s="5">
        <f>J555/SUM(Question_Bank!$M$3:$M$14)</f>
        <v>0</v>
      </c>
      <c r="L555" s="5">
        <f>SUMIFS($I$3:$I$566,$A$3:$A$566,A555,$E$3:$E$566,E555)/SUMIFS(Question_Bank!$M$3:$M$14,Question_Bank!$B$3:$B$14,E555)</f>
        <v>0</v>
      </c>
      <c r="M555" t="s">
        <v>226</v>
      </c>
    </row>
    <row r="556" spans="1:13">
      <c r="A556" t="s">
        <v>225</v>
      </c>
      <c r="B556" t="s">
        <v>132</v>
      </c>
      <c r="C556" t="s">
        <v>133</v>
      </c>
      <c r="D556" t="s">
        <v>26</v>
      </c>
      <c r="E556" t="s">
        <v>15</v>
      </c>
      <c r="F556" t="s">
        <v>34</v>
      </c>
      <c r="G556">
        <f>INDEX(Question_Bank!$G$3:$G$14,MATCH(D556,Question_Bank!$A$3:$A$14,0))</f>
        <v>0</v>
      </c>
      <c r="H556">
        <f>IF(F556=G556,1,0)</f>
        <v>0</v>
      </c>
      <c r="I556">
        <f>H556*INDEX(Question_Bank!$M$3:$M$14,MATCH(D556,Question_Bank!$A$3:$A$14,0))</f>
        <v>0</v>
      </c>
      <c r="J556">
        <f>SUMIFS($I$3:$I$566,$A$3:$A$566,A556)</f>
        <v>0</v>
      </c>
      <c r="K556" s="5">
        <f>J556/SUM(Question_Bank!$M$3:$M$14)</f>
        <v>0</v>
      </c>
      <c r="L556" s="5">
        <f>SUMIFS($I$3:$I$566,$A$3:$A$566,A556,$E$3:$E$566,E556)/SUMIFS(Question_Bank!$M$3:$M$14,Question_Bank!$B$3:$B$14,E556)</f>
        <v>0</v>
      </c>
      <c r="M556" t="s">
        <v>226</v>
      </c>
    </row>
    <row r="557" spans="1:13">
      <c r="A557" t="s">
        <v>225</v>
      </c>
      <c r="B557" t="s">
        <v>132</v>
      </c>
      <c r="C557" t="s">
        <v>133</v>
      </c>
      <c r="D557" t="s">
        <v>37</v>
      </c>
      <c r="E557" t="s">
        <v>15</v>
      </c>
      <c r="F557" t="s">
        <v>23</v>
      </c>
      <c r="G557">
        <f>INDEX(Question_Bank!$G$3:$G$14,MATCH(D557,Question_Bank!$A$3:$A$14,0))</f>
        <v>0</v>
      </c>
      <c r="H557">
        <f>IF(F557=G557,1,0)</f>
        <v>0</v>
      </c>
      <c r="I557">
        <f>H557*INDEX(Question_Bank!$M$3:$M$14,MATCH(D557,Question_Bank!$A$3:$A$14,0))</f>
        <v>0</v>
      </c>
      <c r="J557">
        <f>SUMIFS($I$3:$I$566,$A$3:$A$566,A557)</f>
        <v>0</v>
      </c>
      <c r="K557" s="5">
        <f>J557/SUM(Question_Bank!$M$3:$M$14)</f>
        <v>0</v>
      </c>
      <c r="L557" s="5">
        <f>SUMIFS($I$3:$I$566,$A$3:$A$566,A557,$E$3:$E$566,E557)/SUMIFS(Question_Bank!$M$3:$M$14,Question_Bank!$B$3:$B$14,E557)</f>
        <v>0</v>
      </c>
      <c r="M557" t="s">
        <v>226</v>
      </c>
    </row>
    <row r="558" spans="1:13">
      <c r="A558" t="s">
        <v>225</v>
      </c>
      <c r="B558" t="s">
        <v>132</v>
      </c>
      <c r="C558" t="s">
        <v>133</v>
      </c>
      <c r="D558" t="s">
        <v>45</v>
      </c>
      <c r="E558" t="s">
        <v>46</v>
      </c>
      <c r="F558" t="s">
        <v>23</v>
      </c>
      <c r="G558">
        <f>INDEX(Question_Bank!$G$3:$G$14,MATCH(D558,Question_Bank!$A$3:$A$14,0))</f>
        <v>0</v>
      </c>
      <c r="H558">
        <f>IF(F558=G558,1,0)</f>
        <v>0</v>
      </c>
      <c r="I558">
        <f>H558*INDEX(Question_Bank!$M$3:$M$14,MATCH(D558,Question_Bank!$A$3:$A$14,0))</f>
        <v>0</v>
      </c>
      <c r="J558">
        <f>SUMIFS($I$3:$I$566,$A$3:$A$566,A558)</f>
        <v>0</v>
      </c>
      <c r="K558" s="5">
        <f>J558/SUM(Question_Bank!$M$3:$M$14)</f>
        <v>0</v>
      </c>
      <c r="L558" s="5">
        <f>SUMIFS($I$3:$I$566,$A$3:$A$566,A558,$E$3:$E$566,E558)/SUMIFS(Question_Bank!$M$3:$M$14,Question_Bank!$B$3:$B$14,E558)</f>
        <v>0</v>
      </c>
      <c r="M558" t="s">
        <v>226</v>
      </c>
    </row>
    <row r="559" spans="1:13">
      <c r="A559" t="s">
        <v>225</v>
      </c>
      <c r="B559" t="s">
        <v>132</v>
      </c>
      <c r="C559" t="s">
        <v>133</v>
      </c>
      <c r="D559" t="s">
        <v>54</v>
      </c>
      <c r="E559" t="s">
        <v>46</v>
      </c>
      <c r="F559" t="s">
        <v>31</v>
      </c>
      <c r="G559">
        <f>INDEX(Question_Bank!$G$3:$G$14,MATCH(D559,Question_Bank!$A$3:$A$14,0))</f>
        <v>0</v>
      </c>
      <c r="H559">
        <f>IF(F559=G559,1,0)</f>
        <v>0</v>
      </c>
      <c r="I559">
        <f>H559*INDEX(Question_Bank!$M$3:$M$14,MATCH(D559,Question_Bank!$A$3:$A$14,0))</f>
        <v>0</v>
      </c>
      <c r="J559">
        <f>SUMIFS($I$3:$I$566,$A$3:$A$566,A559)</f>
        <v>0</v>
      </c>
      <c r="K559" s="5">
        <f>J559/SUM(Question_Bank!$M$3:$M$14)</f>
        <v>0</v>
      </c>
      <c r="L559" s="5">
        <f>SUMIFS($I$3:$I$566,$A$3:$A$566,A559,$E$3:$E$566,E559)/SUMIFS(Question_Bank!$M$3:$M$14,Question_Bank!$B$3:$B$14,E559)</f>
        <v>0</v>
      </c>
      <c r="M559" t="s">
        <v>226</v>
      </c>
    </row>
    <row r="560" spans="1:13">
      <c r="A560" t="s">
        <v>225</v>
      </c>
      <c r="B560" t="s">
        <v>132</v>
      </c>
      <c r="C560" t="s">
        <v>133</v>
      </c>
      <c r="D560" t="s">
        <v>62</v>
      </c>
      <c r="E560" t="s">
        <v>46</v>
      </c>
      <c r="F560" t="s">
        <v>23</v>
      </c>
      <c r="G560">
        <f>INDEX(Question_Bank!$G$3:$G$14,MATCH(D560,Question_Bank!$A$3:$A$14,0))</f>
        <v>0</v>
      </c>
      <c r="H560">
        <f>IF(F560=G560,1,0)</f>
        <v>0</v>
      </c>
      <c r="I560">
        <f>H560*INDEX(Question_Bank!$M$3:$M$14,MATCH(D560,Question_Bank!$A$3:$A$14,0))</f>
        <v>0</v>
      </c>
      <c r="J560">
        <f>SUMIFS($I$3:$I$566,$A$3:$A$566,A560)</f>
        <v>0</v>
      </c>
      <c r="K560" s="5">
        <f>J560/SUM(Question_Bank!$M$3:$M$14)</f>
        <v>0</v>
      </c>
      <c r="L560" s="5">
        <f>SUMIFS($I$3:$I$566,$A$3:$A$566,A560,$E$3:$E$566,E560)/SUMIFS(Question_Bank!$M$3:$M$14,Question_Bank!$B$3:$B$14,E560)</f>
        <v>0</v>
      </c>
      <c r="M560" t="s">
        <v>226</v>
      </c>
    </row>
    <row r="561" spans="1:13">
      <c r="A561" t="s">
        <v>225</v>
      </c>
      <c r="B561" t="s">
        <v>132</v>
      </c>
      <c r="C561" t="s">
        <v>133</v>
      </c>
      <c r="D561" t="s">
        <v>70</v>
      </c>
      <c r="E561" t="s">
        <v>71</v>
      </c>
      <c r="F561" t="s">
        <v>31</v>
      </c>
      <c r="G561">
        <f>INDEX(Question_Bank!$G$3:$G$14,MATCH(D561,Question_Bank!$A$3:$A$14,0))</f>
        <v>0</v>
      </c>
      <c r="H561">
        <f>IF(F561=G561,1,0)</f>
        <v>0</v>
      </c>
      <c r="I561">
        <f>H561*INDEX(Question_Bank!$M$3:$M$14,MATCH(D561,Question_Bank!$A$3:$A$14,0))</f>
        <v>0</v>
      </c>
      <c r="J561">
        <f>SUMIFS($I$3:$I$566,$A$3:$A$566,A561)</f>
        <v>0</v>
      </c>
      <c r="K561" s="5">
        <f>J561/SUM(Question_Bank!$M$3:$M$14)</f>
        <v>0</v>
      </c>
      <c r="L561" s="5">
        <f>SUMIFS($I$3:$I$566,$A$3:$A$566,A561,$E$3:$E$566,E561)/SUMIFS(Question_Bank!$M$3:$M$14,Question_Bank!$B$3:$B$14,E561)</f>
        <v>0</v>
      </c>
      <c r="M561" t="s">
        <v>226</v>
      </c>
    </row>
    <row r="562" spans="1:13">
      <c r="A562" t="s">
        <v>225</v>
      </c>
      <c r="B562" t="s">
        <v>132</v>
      </c>
      <c r="C562" t="s">
        <v>133</v>
      </c>
      <c r="D562" t="s">
        <v>79</v>
      </c>
      <c r="E562" t="s">
        <v>71</v>
      </c>
      <c r="F562" t="s">
        <v>23</v>
      </c>
      <c r="G562">
        <f>INDEX(Question_Bank!$G$3:$G$14,MATCH(D562,Question_Bank!$A$3:$A$14,0))</f>
        <v>0</v>
      </c>
      <c r="H562">
        <f>IF(F562=G562,1,0)</f>
        <v>0</v>
      </c>
      <c r="I562">
        <f>H562*INDEX(Question_Bank!$M$3:$M$14,MATCH(D562,Question_Bank!$A$3:$A$14,0))</f>
        <v>0</v>
      </c>
      <c r="J562">
        <f>SUMIFS($I$3:$I$566,$A$3:$A$566,A562)</f>
        <v>0</v>
      </c>
      <c r="K562" s="5">
        <f>J562/SUM(Question_Bank!$M$3:$M$14)</f>
        <v>0</v>
      </c>
      <c r="L562" s="5">
        <f>SUMIFS($I$3:$I$566,$A$3:$A$566,A562,$E$3:$E$566,E562)/SUMIFS(Question_Bank!$M$3:$M$14,Question_Bank!$B$3:$B$14,E562)</f>
        <v>0</v>
      </c>
      <c r="M562" t="s">
        <v>226</v>
      </c>
    </row>
    <row r="563" spans="1:13">
      <c r="A563" t="s">
        <v>225</v>
      </c>
      <c r="B563" t="s">
        <v>132</v>
      </c>
      <c r="C563" t="s">
        <v>133</v>
      </c>
      <c r="D563" t="s">
        <v>87</v>
      </c>
      <c r="E563" t="s">
        <v>71</v>
      </c>
      <c r="F563" t="s">
        <v>23</v>
      </c>
      <c r="G563">
        <f>INDEX(Question_Bank!$G$3:$G$14,MATCH(D563,Question_Bank!$A$3:$A$14,0))</f>
        <v>0</v>
      </c>
      <c r="H563">
        <f>IF(F563=G563,1,0)</f>
        <v>0</v>
      </c>
      <c r="I563">
        <f>H563*INDEX(Question_Bank!$M$3:$M$14,MATCH(D563,Question_Bank!$A$3:$A$14,0))</f>
        <v>0</v>
      </c>
      <c r="J563">
        <f>SUMIFS($I$3:$I$566,$A$3:$A$566,A563)</f>
        <v>0</v>
      </c>
      <c r="K563" s="5">
        <f>J563/SUM(Question_Bank!$M$3:$M$14)</f>
        <v>0</v>
      </c>
      <c r="L563" s="5">
        <f>SUMIFS($I$3:$I$566,$A$3:$A$566,A563,$E$3:$E$566,E563)/SUMIFS(Question_Bank!$M$3:$M$14,Question_Bank!$B$3:$B$14,E563)</f>
        <v>0</v>
      </c>
      <c r="M563" t="s">
        <v>226</v>
      </c>
    </row>
    <row r="564" spans="1:13">
      <c r="A564" t="s">
        <v>225</v>
      </c>
      <c r="B564" t="s">
        <v>132</v>
      </c>
      <c r="C564" t="s">
        <v>133</v>
      </c>
      <c r="D564" t="s">
        <v>95</v>
      </c>
      <c r="E564" t="s">
        <v>96</v>
      </c>
      <c r="F564" t="s">
        <v>23</v>
      </c>
      <c r="G564">
        <f>INDEX(Question_Bank!$G$3:$G$14,MATCH(D564,Question_Bank!$A$3:$A$14,0))</f>
        <v>0</v>
      </c>
      <c r="H564">
        <f>IF(F564=G564,1,0)</f>
        <v>0</v>
      </c>
      <c r="I564">
        <f>H564*INDEX(Question_Bank!$M$3:$M$14,MATCH(D564,Question_Bank!$A$3:$A$14,0))</f>
        <v>0</v>
      </c>
      <c r="J564">
        <f>SUMIFS($I$3:$I$566,$A$3:$A$566,A564)</f>
        <v>0</v>
      </c>
      <c r="K564" s="5">
        <f>J564/SUM(Question_Bank!$M$3:$M$14)</f>
        <v>0</v>
      </c>
      <c r="L564" s="5">
        <f>SUMIFS($I$3:$I$566,$A$3:$A$566,A564,$E$3:$E$566,E564)/SUMIFS(Question_Bank!$M$3:$M$14,Question_Bank!$B$3:$B$14,E564)</f>
        <v>0</v>
      </c>
      <c r="M564" t="s">
        <v>226</v>
      </c>
    </row>
    <row r="565" spans="1:13">
      <c r="A565" t="s">
        <v>225</v>
      </c>
      <c r="B565" t="s">
        <v>132</v>
      </c>
      <c r="C565" t="s">
        <v>133</v>
      </c>
      <c r="D565" t="s">
        <v>104</v>
      </c>
      <c r="E565" t="s">
        <v>96</v>
      </c>
      <c r="F565" t="s">
        <v>34</v>
      </c>
      <c r="G565">
        <f>INDEX(Question_Bank!$G$3:$G$14,MATCH(D565,Question_Bank!$A$3:$A$14,0))</f>
        <v>0</v>
      </c>
      <c r="H565">
        <f>IF(F565=G565,1,0)</f>
        <v>0</v>
      </c>
      <c r="I565">
        <f>H565*INDEX(Question_Bank!$M$3:$M$14,MATCH(D565,Question_Bank!$A$3:$A$14,0))</f>
        <v>0</v>
      </c>
      <c r="J565">
        <f>SUMIFS($I$3:$I$566,$A$3:$A$566,A565)</f>
        <v>0</v>
      </c>
      <c r="K565" s="5">
        <f>J565/SUM(Question_Bank!$M$3:$M$14)</f>
        <v>0</v>
      </c>
      <c r="L565" s="5">
        <f>SUMIFS($I$3:$I$566,$A$3:$A$566,A565,$E$3:$E$566,E565)/SUMIFS(Question_Bank!$M$3:$M$14,Question_Bank!$B$3:$B$14,E565)</f>
        <v>0</v>
      </c>
      <c r="M565" t="s">
        <v>226</v>
      </c>
    </row>
    <row r="566" spans="1:13">
      <c r="A566" t="s">
        <v>225</v>
      </c>
      <c r="B566" t="s">
        <v>132</v>
      </c>
      <c r="C566" t="s">
        <v>133</v>
      </c>
      <c r="D566" t="s">
        <v>112</v>
      </c>
      <c r="E566" t="s">
        <v>96</v>
      </c>
      <c r="F566" t="s">
        <v>31</v>
      </c>
      <c r="G566">
        <f>INDEX(Question_Bank!$G$3:$G$14,MATCH(D566,Question_Bank!$A$3:$A$14,0))</f>
        <v>0</v>
      </c>
      <c r="H566">
        <f>IF(F566=G566,1,0)</f>
        <v>0</v>
      </c>
      <c r="I566">
        <f>H566*INDEX(Question_Bank!$M$3:$M$14,MATCH(D566,Question_Bank!$A$3:$A$14,0))</f>
        <v>0</v>
      </c>
      <c r="J566">
        <f>SUMIFS($I$3:$I$566,$A$3:$A$566,A566)</f>
        <v>0</v>
      </c>
      <c r="K566" s="5">
        <f>J566/SUM(Question_Bank!$M$3:$M$14)</f>
        <v>0</v>
      </c>
      <c r="L566" s="5">
        <f>SUMIFS($I$3:$I$566,$A$3:$A$566,A566,$E$3:$E$566,E566)/SUMIFS(Question_Bank!$M$3:$M$14,Question_Bank!$B$3:$B$14,E566)</f>
        <v>0</v>
      </c>
      <c r="M566" t="s">
        <v>226</v>
      </c>
    </row>
  </sheetData>
  <autoFilter ref="A2:M566"/>
  <mergeCells count="1">
    <mergeCell ref="A1:M1"/>
  </mergeCells>
  <conditionalFormatting sqref="H3:H566">
    <cfRule type="cellIs" dxfId="0" priority="1" operator="equal">
      <formula>0</formula>
    </cfRule>
    <cfRule type="cellIs" dxfId="1" priority="2"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66"/>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5.7109375" customWidth="1"/>
    <col min="2" max="2" width="22.7109375" customWidth="1"/>
    <col min="3" max="3" width="16.7109375" customWidth="1"/>
    <col min="4" max="4" width="12.7109375" customWidth="1"/>
    <col min="5" max="5" width="24.7109375" customWidth="1"/>
    <col min="6" max="12" width="15.7109375" customWidth="1"/>
    <col min="13" max="13" width="22.7109375" customWidth="1"/>
  </cols>
  <sheetData>
    <row r="1" spans="1:13">
      <c r="A1" s="1" t="s">
        <v>0</v>
      </c>
      <c r="B1" s="1"/>
      <c r="C1" s="1"/>
      <c r="D1" s="1"/>
      <c r="E1" s="1"/>
      <c r="F1" s="1"/>
      <c r="G1" s="1"/>
      <c r="H1" s="1"/>
      <c r="I1" s="1"/>
      <c r="J1" s="1"/>
      <c r="K1" s="1"/>
      <c r="L1" s="1"/>
      <c r="M1" s="1"/>
    </row>
    <row r="2" spans="1:13">
      <c r="A2" s="4" t="s">
        <v>120</v>
      </c>
      <c r="B2" s="4" t="s">
        <v>121</v>
      </c>
      <c r="C2" s="4" t="s">
        <v>122</v>
      </c>
      <c r="D2" s="4" t="s">
        <v>1</v>
      </c>
      <c r="E2" s="4" t="s">
        <v>2</v>
      </c>
      <c r="F2" s="4" t="s">
        <v>123</v>
      </c>
      <c r="G2" s="4" t="s">
        <v>124</v>
      </c>
      <c r="H2" s="4" t="s">
        <v>125</v>
      </c>
      <c r="I2" s="4" t="s">
        <v>126</v>
      </c>
      <c r="J2" s="4" t="s">
        <v>127</v>
      </c>
      <c r="K2" s="4" t="s">
        <v>128</v>
      </c>
      <c r="L2" s="4" t="s">
        <v>129</v>
      </c>
      <c r="M2" s="4" t="s">
        <v>130</v>
      </c>
    </row>
    <row r="3" spans="1:13">
      <c r="A3" t="s">
        <v>131</v>
      </c>
      <c r="B3" t="s">
        <v>132</v>
      </c>
      <c r="C3" t="s">
        <v>227</v>
      </c>
      <c r="D3" t="s">
        <v>14</v>
      </c>
      <c r="E3" t="s">
        <v>15</v>
      </c>
      <c r="F3" t="s">
        <v>23</v>
      </c>
      <c r="G3">
        <f>INDEX(Question_Bank!$J$3:$J$14,MATCH(D3,Question_Bank!$A$3:$A$14,0))</f>
        <v>0</v>
      </c>
      <c r="H3">
        <f>IF(F3=G3,1,0)</f>
        <v>0</v>
      </c>
      <c r="I3">
        <f>H3*INDEX(Question_Bank!$M$3:$M$14,MATCH(D3,Question_Bank!$A$3:$A$14,0))</f>
        <v>0</v>
      </c>
      <c r="J3">
        <f>SUMIFS($I$3:$I$566,$A$3:$A$566,A3)</f>
        <v>0</v>
      </c>
      <c r="K3" s="5">
        <f>J3/SUM(Question_Bank!$M$3:$M$14)</f>
        <v>0</v>
      </c>
      <c r="L3" s="5">
        <f>SUMIFS($I$3:$I$566,$A$3:$A$566,A3,$E$3:$E$566,E3)/SUMIFS(Question_Bank!$M$3:$M$14,Question_Bank!$B$3:$B$14,E3)</f>
        <v>0</v>
      </c>
      <c r="M3" t="s">
        <v>134</v>
      </c>
    </row>
    <row r="4" spans="1:13">
      <c r="A4" t="s">
        <v>131</v>
      </c>
      <c r="B4" t="s">
        <v>132</v>
      </c>
      <c r="C4" t="s">
        <v>227</v>
      </c>
      <c r="D4" t="s">
        <v>26</v>
      </c>
      <c r="E4" t="s">
        <v>15</v>
      </c>
      <c r="F4" t="s">
        <v>34</v>
      </c>
      <c r="G4">
        <f>INDEX(Question_Bank!$J$3:$J$14,MATCH(D4,Question_Bank!$A$3:$A$14,0))</f>
        <v>0</v>
      </c>
      <c r="H4">
        <f>IF(F4=G4,1,0)</f>
        <v>0</v>
      </c>
      <c r="I4">
        <f>H4*INDEX(Question_Bank!$M$3:$M$14,MATCH(D4,Question_Bank!$A$3:$A$14,0))</f>
        <v>0</v>
      </c>
      <c r="J4">
        <f>SUMIFS($I$3:$I$566,$A$3:$A$566,A4)</f>
        <v>0</v>
      </c>
      <c r="K4" s="5">
        <f>J4/SUM(Question_Bank!$M$3:$M$14)</f>
        <v>0</v>
      </c>
      <c r="L4" s="5">
        <f>SUMIFS($I$3:$I$566,$A$3:$A$566,A4,$E$3:$E$566,E4)/SUMIFS(Question_Bank!$M$3:$M$14,Question_Bank!$B$3:$B$14,E4)</f>
        <v>0</v>
      </c>
      <c r="M4" t="s">
        <v>134</v>
      </c>
    </row>
    <row r="5" spans="1:13">
      <c r="A5" t="s">
        <v>131</v>
      </c>
      <c r="B5" t="s">
        <v>132</v>
      </c>
      <c r="C5" t="s">
        <v>227</v>
      </c>
      <c r="D5" t="s">
        <v>37</v>
      </c>
      <c r="E5" t="s">
        <v>15</v>
      </c>
      <c r="F5" t="s">
        <v>20</v>
      </c>
      <c r="G5">
        <f>INDEX(Question_Bank!$J$3:$J$14,MATCH(D5,Question_Bank!$A$3:$A$14,0))</f>
        <v>0</v>
      </c>
      <c r="H5">
        <f>IF(F5=G5,1,0)</f>
        <v>0</v>
      </c>
      <c r="I5">
        <f>H5*INDEX(Question_Bank!$M$3:$M$14,MATCH(D5,Question_Bank!$A$3:$A$14,0))</f>
        <v>0</v>
      </c>
      <c r="J5">
        <f>SUMIFS($I$3:$I$566,$A$3:$A$566,A5)</f>
        <v>0</v>
      </c>
      <c r="K5" s="5">
        <f>J5/SUM(Question_Bank!$M$3:$M$14)</f>
        <v>0</v>
      </c>
      <c r="L5" s="5">
        <f>SUMIFS($I$3:$I$566,$A$3:$A$566,A5,$E$3:$E$566,E5)/SUMIFS(Question_Bank!$M$3:$M$14,Question_Bank!$B$3:$B$14,E5)</f>
        <v>0</v>
      </c>
      <c r="M5" t="s">
        <v>134</v>
      </c>
    </row>
    <row r="6" spans="1:13">
      <c r="A6" t="s">
        <v>131</v>
      </c>
      <c r="B6" t="s">
        <v>132</v>
      </c>
      <c r="C6" t="s">
        <v>227</v>
      </c>
      <c r="D6" t="s">
        <v>45</v>
      </c>
      <c r="E6" t="s">
        <v>46</v>
      </c>
      <c r="F6" t="s">
        <v>31</v>
      </c>
      <c r="G6">
        <f>INDEX(Question_Bank!$J$3:$J$14,MATCH(D6,Question_Bank!$A$3:$A$14,0))</f>
        <v>0</v>
      </c>
      <c r="H6">
        <f>IF(F6=G6,1,0)</f>
        <v>0</v>
      </c>
      <c r="I6">
        <f>H6*INDEX(Question_Bank!$M$3:$M$14,MATCH(D6,Question_Bank!$A$3:$A$14,0))</f>
        <v>0</v>
      </c>
      <c r="J6">
        <f>SUMIFS($I$3:$I$566,$A$3:$A$566,A6)</f>
        <v>0</v>
      </c>
      <c r="K6" s="5">
        <f>J6/SUM(Question_Bank!$M$3:$M$14)</f>
        <v>0</v>
      </c>
      <c r="L6" s="5">
        <f>SUMIFS($I$3:$I$566,$A$3:$A$566,A6,$E$3:$E$566,E6)/SUMIFS(Question_Bank!$M$3:$M$14,Question_Bank!$B$3:$B$14,E6)</f>
        <v>0</v>
      </c>
      <c r="M6" t="s">
        <v>134</v>
      </c>
    </row>
    <row r="7" spans="1:13">
      <c r="A7" t="s">
        <v>131</v>
      </c>
      <c r="B7" t="s">
        <v>132</v>
      </c>
      <c r="C7" t="s">
        <v>227</v>
      </c>
      <c r="D7" t="s">
        <v>54</v>
      </c>
      <c r="E7" t="s">
        <v>46</v>
      </c>
      <c r="F7" t="s">
        <v>31</v>
      </c>
      <c r="G7">
        <f>INDEX(Question_Bank!$J$3:$J$14,MATCH(D7,Question_Bank!$A$3:$A$14,0))</f>
        <v>0</v>
      </c>
      <c r="H7">
        <f>IF(F7=G7,1,0)</f>
        <v>0</v>
      </c>
      <c r="I7">
        <f>H7*INDEX(Question_Bank!$M$3:$M$14,MATCH(D7,Question_Bank!$A$3:$A$14,0))</f>
        <v>0</v>
      </c>
      <c r="J7">
        <f>SUMIFS($I$3:$I$566,$A$3:$A$566,A7)</f>
        <v>0</v>
      </c>
      <c r="K7" s="5">
        <f>J7/SUM(Question_Bank!$M$3:$M$14)</f>
        <v>0</v>
      </c>
      <c r="L7" s="5">
        <f>SUMIFS($I$3:$I$566,$A$3:$A$566,A7,$E$3:$E$566,E7)/SUMIFS(Question_Bank!$M$3:$M$14,Question_Bank!$B$3:$B$14,E7)</f>
        <v>0</v>
      </c>
      <c r="M7" t="s">
        <v>134</v>
      </c>
    </row>
    <row r="8" spans="1:13">
      <c r="A8" t="s">
        <v>131</v>
      </c>
      <c r="B8" t="s">
        <v>132</v>
      </c>
      <c r="C8" t="s">
        <v>227</v>
      </c>
      <c r="D8" t="s">
        <v>62</v>
      </c>
      <c r="E8" t="s">
        <v>46</v>
      </c>
      <c r="F8" t="s">
        <v>34</v>
      </c>
      <c r="G8">
        <f>INDEX(Question_Bank!$J$3:$J$14,MATCH(D8,Question_Bank!$A$3:$A$14,0))</f>
        <v>0</v>
      </c>
      <c r="H8">
        <f>IF(F8=G8,1,0)</f>
        <v>0</v>
      </c>
      <c r="I8">
        <f>H8*INDEX(Question_Bank!$M$3:$M$14,MATCH(D8,Question_Bank!$A$3:$A$14,0))</f>
        <v>0</v>
      </c>
      <c r="J8">
        <f>SUMIFS($I$3:$I$566,$A$3:$A$566,A8)</f>
        <v>0</v>
      </c>
      <c r="K8" s="5">
        <f>J8/SUM(Question_Bank!$M$3:$M$14)</f>
        <v>0</v>
      </c>
      <c r="L8" s="5">
        <f>SUMIFS($I$3:$I$566,$A$3:$A$566,A8,$E$3:$E$566,E8)/SUMIFS(Question_Bank!$M$3:$M$14,Question_Bank!$B$3:$B$14,E8)</f>
        <v>0</v>
      </c>
      <c r="M8" t="s">
        <v>134</v>
      </c>
    </row>
    <row r="9" spans="1:13">
      <c r="A9" t="s">
        <v>131</v>
      </c>
      <c r="B9" t="s">
        <v>132</v>
      </c>
      <c r="C9" t="s">
        <v>227</v>
      </c>
      <c r="D9" t="s">
        <v>70</v>
      </c>
      <c r="E9" t="s">
        <v>71</v>
      </c>
      <c r="F9" t="s">
        <v>20</v>
      </c>
      <c r="G9">
        <f>INDEX(Question_Bank!$J$3:$J$14,MATCH(D9,Question_Bank!$A$3:$A$14,0))</f>
        <v>0</v>
      </c>
      <c r="H9">
        <f>IF(F9=G9,1,0)</f>
        <v>0</v>
      </c>
      <c r="I9">
        <f>H9*INDEX(Question_Bank!$M$3:$M$14,MATCH(D9,Question_Bank!$A$3:$A$14,0))</f>
        <v>0</v>
      </c>
      <c r="J9">
        <f>SUMIFS($I$3:$I$566,$A$3:$A$566,A9)</f>
        <v>0</v>
      </c>
      <c r="K9" s="5">
        <f>J9/SUM(Question_Bank!$M$3:$M$14)</f>
        <v>0</v>
      </c>
      <c r="L9" s="5">
        <f>SUMIFS($I$3:$I$566,$A$3:$A$566,A9,$E$3:$E$566,E9)/SUMIFS(Question_Bank!$M$3:$M$14,Question_Bank!$B$3:$B$14,E9)</f>
        <v>0</v>
      </c>
      <c r="M9" t="s">
        <v>134</v>
      </c>
    </row>
    <row r="10" spans="1:13">
      <c r="A10" t="s">
        <v>131</v>
      </c>
      <c r="B10" t="s">
        <v>132</v>
      </c>
      <c r="C10" t="s">
        <v>227</v>
      </c>
      <c r="D10" t="s">
        <v>79</v>
      </c>
      <c r="E10" t="s">
        <v>71</v>
      </c>
      <c r="F10" t="s">
        <v>34</v>
      </c>
      <c r="G10">
        <f>INDEX(Question_Bank!$J$3:$J$14,MATCH(D10,Question_Bank!$A$3:$A$14,0))</f>
        <v>0</v>
      </c>
      <c r="H10">
        <f>IF(F10=G10,1,0)</f>
        <v>0</v>
      </c>
      <c r="I10">
        <f>H10*INDEX(Question_Bank!$M$3:$M$14,MATCH(D10,Question_Bank!$A$3:$A$14,0))</f>
        <v>0</v>
      </c>
      <c r="J10">
        <f>SUMIFS($I$3:$I$566,$A$3:$A$566,A10)</f>
        <v>0</v>
      </c>
      <c r="K10" s="5">
        <f>J10/SUM(Question_Bank!$M$3:$M$14)</f>
        <v>0</v>
      </c>
      <c r="L10" s="5">
        <f>SUMIFS($I$3:$I$566,$A$3:$A$566,A10,$E$3:$E$566,E10)/SUMIFS(Question_Bank!$M$3:$M$14,Question_Bank!$B$3:$B$14,E10)</f>
        <v>0</v>
      </c>
      <c r="M10" t="s">
        <v>134</v>
      </c>
    </row>
    <row r="11" spans="1:13">
      <c r="A11" t="s">
        <v>131</v>
      </c>
      <c r="B11" t="s">
        <v>132</v>
      </c>
      <c r="C11" t="s">
        <v>227</v>
      </c>
      <c r="D11" t="s">
        <v>87</v>
      </c>
      <c r="E11" t="s">
        <v>71</v>
      </c>
      <c r="F11" t="s">
        <v>23</v>
      </c>
      <c r="G11">
        <f>INDEX(Question_Bank!$J$3:$J$14,MATCH(D11,Question_Bank!$A$3:$A$14,0))</f>
        <v>0</v>
      </c>
      <c r="H11">
        <f>IF(F11=G11,1,0)</f>
        <v>0</v>
      </c>
      <c r="I11">
        <f>H11*INDEX(Question_Bank!$M$3:$M$14,MATCH(D11,Question_Bank!$A$3:$A$14,0))</f>
        <v>0</v>
      </c>
      <c r="J11">
        <f>SUMIFS($I$3:$I$566,$A$3:$A$566,A11)</f>
        <v>0</v>
      </c>
      <c r="K11" s="5">
        <f>J11/SUM(Question_Bank!$M$3:$M$14)</f>
        <v>0</v>
      </c>
      <c r="L11" s="5">
        <f>SUMIFS($I$3:$I$566,$A$3:$A$566,A11,$E$3:$E$566,E11)/SUMIFS(Question_Bank!$M$3:$M$14,Question_Bank!$B$3:$B$14,E11)</f>
        <v>0</v>
      </c>
      <c r="M11" t="s">
        <v>134</v>
      </c>
    </row>
    <row r="12" spans="1:13">
      <c r="A12" t="s">
        <v>131</v>
      </c>
      <c r="B12" t="s">
        <v>132</v>
      </c>
      <c r="C12" t="s">
        <v>227</v>
      </c>
      <c r="D12" t="s">
        <v>95</v>
      </c>
      <c r="E12" t="s">
        <v>96</v>
      </c>
      <c r="F12" t="s">
        <v>34</v>
      </c>
      <c r="G12">
        <f>INDEX(Question_Bank!$J$3:$J$14,MATCH(D12,Question_Bank!$A$3:$A$14,0))</f>
        <v>0</v>
      </c>
      <c r="H12">
        <f>IF(F12=G12,1,0)</f>
        <v>0</v>
      </c>
      <c r="I12">
        <f>H12*INDEX(Question_Bank!$M$3:$M$14,MATCH(D12,Question_Bank!$A$3:$A$14,0))</f>
        <v>0</v>
      </c>
      <c r="J12">
        <f>SUMIFS($I$3:$I$566,$A$3:$A$566,A12)</f>
        <v>0</v>
      </c>
      <c r="K12" s="5">
        <f>J12/SUM(Question_Bank!$M$3:$M$14)</f>
        <v>0</v>
      </c>
      <c r="L12" s="5">
        <f>SUMIFS($I$3:$I$566,$A$3:$A$566,A12,$E$3:$E$566,E12)/SUMIFS(Question_Bank!$M$3:$M$14,Question_Bank!$B$3:$B$14,E12)</f>
        <v>0</v>
      </c>
      <c r="M12" t="s">
        <v>134</v>
      </c>
    </row>
    <row r="13" spans="1:13">
      <c r="A13" t="s">
        <v>131</v>
      </c>
      <c r="B13" t="s">
        <v>132</v>
      </c>
      <c r="C13" t="s">
        <v>227</v>
      </c>
      <c r="D13" t="s">
        <v>104</v>
      </c>
      <c r="E13" t="s">
        <v>96</v>
      </c>
      <c r="F13" t="s">
        <v>34</v>
      </c>
      <c r="G13">
        <f>INDEX(Question_Bank!$J$3:$J$14,MATCH(D13,Question_Bank!$A$3:$A$14,0))</f>
        <v>0</v>
      </c>
      <c r="H13">
        <f>IF(F13=G13,1,0)</f>
        <v>0</v>
      </c>
      <c r="I13">
        <f>H13*INDEX(Question_Bank!$M$3:$M$14,MATCH(D13,Question_Bank!$A$3:$A$14,0))</f>
        <v>0</v>
      </c>
      <c r="J13">
        <f>SUMIFS($I$3:$I$566,$A$3:$A$566,A13)</f>
        <v>0</v>
      </c>
      <c r="K13" s="5">
        <f>J13/SUM(Question_Bank!$M$3:$M$14)</f>
        <v>0</v>
      </c>
      <c r="L13" s="5">
        <f>SUMIFS($I$3:$I$566,$A$3:$A$566,A13,$E$3:$E$566,E13)/SUMIFS(Question_Bank!$M$3:$M$14,Question_Bank!$B$3:$B$14,E13)</f>
        <v>0</v>
      </c>
      <c r="M13" t="s">
        <v>134</v>
      </c>
    </row>
    <row r="14" spans="1:13">
      <c r="A14" t="s">
        <v>131</v>
      </c>
      <c r="B14" t="s">
        <v>132</v>
      </c>
      <c r="C14" t="s">
        <v>227</v>
      </c>
      <c r="D14" t="s">
        <v>112</v>
      </c>
      <c r="E14" t="s">
        <v>96</v>
      </c>
      <c r="F14" t="s">
        <v>31</v>
      </c>
      <c r="G14">
        <f>INDEX(Question_Bank!$J$3:$J$14,MATCH(D14,Question_Bank!$A$3:$A$14,0))</f>
        <v>0</v>
      </c>
      <c r="H14">
        <f>IF(F14=G14,1,0)</f>
        <v>0</v>
      </c>
      <c r="I14">
        <f>H14*INDEX(Question_Bank!$M$3:$M$14,MATCH(D14,Question_Bank!$A$3:$A$14,0))</f>
        <v>0</v>
      </c>
      <c r="J14">
        <f>SUMIFS($I$3:$I$566,$A$3:$A$566,A14)</f>
        <v>0</v>
      </c>
      <c r="K14" s="5">
        <f>J14/SUM(Question_Bank!$M$3:$M$14)</f>
        <v>0</v>
      </c>
      <c r="L14" s="5">
        <f>SUMIFS($I$3:$I$566,$A$3:$A$566,A14,$E$3:$E$566,E14)/SUMIFS(Question_Bank!$M$3:$M$14,Question_Bank!$B$3:$B$14,E14)</f>
        <v>0</v>
      </c>
      <c r="M14" t="s">
        <v>134</v>
      </c>
    </row>
    <row r="15" spans="1:13">
      <c r="A15" t="s">
        <v>135</v>
      </c>
      <c r="B15" t="s">
        <v>132</v>
      </c>
      <c r="C15" t="s">
        <v>227</v>
      </c>
      <c r="D15" t="s">
        <v>14</v>
      </c>
      <c r="E15" t="s">
        <v>15</v>
      </c>
      <c r="F15" t="s">
        <v>23</v>
      </c>
      <c r="G15">
        <f>INDEX(Question_Bank!$J$3:$J$14,MATCH(D15,Question_Bank!$A$3:$A$14,0))</f>
        <v>0</v>
      </c>
      <c r="H15">
        <f>IF(F15=G15,1,0)</f>
        <v>0</v>
      </c>
      <c r="I15">
        <f>H15*INDEX(Question_Bank!$M$3:$M$14,MATCH(D15,Question_Bank!$A$3:$A$14,0))</f>
        <v>0</v>
      </c>
      <c r="J15">
        <f>SUMIFS($I$3:$I$566,$A$3:$A$566,A15)</f>
        <v>0</v>
      </c>
      <c r="K15" s="5">
        <f>J15/SUM(Question_Bank!$M$3:$M$14)</f>
        <v>0</v>
      </c>
      <c r="L15" s="5">
        <f>SUMIFS($I$3:$I$566,$A$3:$A$566,A15,$E$3:$E$566,E15)/SUMIFS(Question_Bank!$M$3:$M$14,Question_Bank!$B$3:$B$14,E15)</f>
        <v>0</v>
      </c>
      <c r="M15" t="s">
        <v>136</v>
      </c>
    </row>
    <row r="16" spans="1:13">
      <c r="A16" t="s">
        <v>135</v>
      </c>
      <c r="B16" t="s">
        <v>132</v>
      </c>
      <c r="C16" t="s">
        <v>227</v>
      </c>
      <c r="D16" t="s">
        <v>26</v>
      </c>
      <c r="E16" t="s">
        <v>15</v>
      </c>
      <c r="F16" t="s">
        <v>34</v>
      </c>
      <c r="G16">
        <f>INDEX(Question_Bank!$J$3:$J$14,MATCH(D16,Question_Bank!$A$3:$A$14,0))</f>
        <v>0</v>
      </c>
      <c r="H16">
        <f>IF(F16=G16,1,0)</f>
        <v>0</v>
      </c>
      <c r="I16">
        <f>H16*INDEX(Question_Bank!$M$3:$M$14,MATCH(D16,Question_Bank!$A$3:$A$14,0))</f>
        <v>0</v>
      </c>
      <c r="J16">
        <f>SUMIFS($I$3:$I$566,$A$3:$A$566,A16)</f>
        <v>0</v>
      </c>
      <c r="K16" s="5">
        <f>J16/SUM(Question_Bank!$M$3:$M$14)</f>
        <v>0</v>
      </c>
      <c r="L16" s="5">
        <f>SUMIFS($I$3:$I$566,$A$3:$A$566,A16,$E$3:$E$566,E16)/SUMIFS(Question_Bank!$M$3:$M$14,Question_Bank!$B$3:$B$14,E16)</f>
        <v>0</v>
      </c>
      <c r="M16" t="s">
        <v>136</v>
      </c>
    </row>
    <row r="17" spans="1:13">
      <c r="A17" t="s">
        <v>135</v>
      </c>
      <c r="B17" t="s">
        <v>132</v>
      </c>
      <c r="C17" t="s">
        <v>227</v>
      </c>
      <c r="D17" t="s">
        <v>37</v>
      </c>
      <c r="E17" t="s">
        <v>15</v>
      </c>
      <c r="F17" t="s">
        <v>31</v>
      </c>
      <c r="G17">
        <f>INDEX(Question_Bank!$J$3:$J$14,MATCH(D17,Question_Bank!$A$3:$A$14,0))</f>
        <v>0</v>
      </c>
      <c r="H17">
        <f>IF(F17=G17,1,0)</f>
        <v>0</v>
      </c>
      <c r="I17">
        <f>H17*INDEX(Question_Bank!$M$3:$M$14,MATCH(D17,Question_Bank!$A$3:$A$14,0))</f>
        <v>0</v>
      </c>
      <c r="J17">
        <f>SUMIFS($I$3:$I$566,$A$3:$A$566,A17)</f>
        <v>0</v>
      </c>
      <c r="K17" s="5">
        <f>J17/SUM(Question_Bank!$M$3:$M$14)</f>
        <v>0</v>
      </c>
      <c r="L17" s="5">
        <f>SUMIFS($I$3:$I$566,$A$3:$A$566,A17,$E$3:$E$566,E17)/SUMIFS(Question_Bank!$M$3:$M$14,Question_Bank!$B$3:$B$14,E17)</f>
        <v>0</v>
      </c>
      <c r="M17" t="s">
        <v>136</v>
      </c>
    </row>
    <row r="18" spans="1:13">
      <c r="A18" t="s">
        <v>135</v>
      </c>
      <c r="B18" t="s">
        <v>132</v>
      </c>
      <c r="C18" t="s">
        <v>227</v>
      </c>
      <c r="D18" t="s">
        <v>45</v>
      </c>
      <c r="E18" t="s">
        <v>46</v>
      </c>
      <c r="F18" t="s">
        <v>20</v>
      </c>
      <c r="G18">
        <f>INDEX(Question_Bank!$J$3:$J$14,MATCH(D18,Question_Bank!$A$3:$A$14,0))</f>
        <v>0</v>
      </c>
      <c r="H18">
        <f>IF(F18=G18,1,0)</f>
        <v>0</v>
      </c>
      <c r="I18">
        <f>H18*INDEX(Question_Bank!$M$3:$M$14,MATCH(D18,Question_Bank!$A$3:$A$14,0))</f>
        <v>0</v>
      </c>
      <c r="J18">
        <f>SUMIFS($I$3:$I$566,$A$3:$A$566,A18)</f>
        <v>0</v>
      </c>
      <c r="K18" s="5">
        <f>J18/SUM(Question_Bank!$M$3:$M$14)</f>
        <v>0</v>
      </c>
      <c r="L18" s="5">
        <f>SUMIFS($I$3:$I$566,$A$3:$A$566,A18,$E$3:$E$566,E18)/SUMIFS(Question_Bank!$M$3:$M$14,Question_Bank!$B$3:$B$14,E18)</f>
        <v>0</v>
      </c>
      <c r="M18" t="s">
        <v>136</v>
      </c>
    </row>
    <row r="19" spans="1:13">
      <c r="A19" t="s">
        <v>135</v>
      </c>
      <c r="B19" t="s">
        <v>132</v>
      </c>
      <c r="C19" t="s">
        <v>227</v>
      </c>
      <c r="D19" t="s">
        <v>54</v>
      </c>
      <c r="E19" t="s">
        <v>46</v>
      </c>
      <c r="F19" t="s">
        <v>34</v>
      </c>
      <c r="G19">
        <f>INDEX(Question_Bank!$J$3:$J$14,MATCH(D19,Question_Bank!$A$3:$A$14,0))</f>
        <v>0</v>
      </c>
      <c r="H19">
        <f>IF(F19=G19,1,0)</f>
        <v>0</v>
      </c>
      <c r="I19">
        <f>H19*INDEX(Question_Bank!$M$3:$M$14,MATCH(D19,Question_Bank!$A$3:$A$14,0))</f>
        <v>0</v>
      </c>
      <c r="J19">
        <f>SUMIFS($I$3:$I$566,$A$3:$A$566,A19)</f>
        <v>0</v>
      </c>
      <c r="K19" s="5">
        <f>J19/SUM(Question_Bank!$M$3:$M$14)</f>
        <v>0</v>
      </c>
      <c r="L19" s="5">
        <f>SUMIFS($I$3:$I$566,$A$3:$A$566,A19,$E$3:$E$566,E19)/SUMIFS(Question_Bank!$M$3:$M$14,Question_Bank!$B$3:$B$14,E19)</f>
        <v>0</v>
      </c>
      <c r="M19" t="s">
        <v>136</v>
      </c>
    </row>
    <row r="20" spans="1:13">
      <c r="A20" t="s">
        <v>135</v>
      </c>
      <c r="B20" t="s">
        <v>132</v>
      </c>
      <c r="C20" t="s">
        <v>227</v>
      </c>
      <c r="D20" t="s">
        <v>62</v>
      </c>
      <c r="E20" t="s">
        <v>46</v>
      </c>
      <c r="F20" t="s">
        <v>31</v>
      </c>
      <c r="G20">
        <f>INDEX(Question_Bank!$J$3:$J$14,MATCH(D20,Question_Bank!$A$3:$A$14,0))</f>
        <v>0</v>
      </c>
      <c r="H20">
        <f>IF(F20=G20,1,0)</f>
        <v>0</v>
      </c>
      <c r="I20">
        <f>H20*INDEX(Question_Bank!$M$3:$M$14,MATCH(D20,Question_Bank!$A$3:$A$14,0))</f>
        <v>0</v>
      </c>
      <c r="J20">
        <f>SUMIFS($I$3:$I$566,$A$3:$A$566,A20)</f>
        <v>0</v>
      </c>
      <c r="K20" s="5">
        <f>J20/SUM(Question_Bank!$M$3:$M$14)</f>
        <v>0</v>
      </c>
      <c r="L20" s="5">
        <f>SUMIFS($I$3:$I$566,$A$3:$A$566,A20,$E$3:$E$566,E20)/SUMIFS(Question_Bank!$M$3:$M$14,Question_Bank!$B$3:$B$14,E20)</f>
        <v>0</v>
      </c>
      <c r="M20" t="s">
        <v>136</v>
      </c>
    </row>
    <row r="21" spans="1:13">
      <c r="A21" t="s">
        <v>135</v>
      </c>
      <c r="B21" t="s">
        <v>132</v>
      </c>
      <c r="C21" t="s">
        <v>227</v>
      </c>
      <c r="D21" t="s">
        <v>70</v>
      </c>
      <c r="E21" t="s">
        <v>71</v>
      </c>
      <c r="F21" t="s">
        <v>23</v>
      </c>
      <c r="G21">
        <f>INDEX(Question_Bank!$J$3:$J$14,MATCH(D21,Question_Bank!$A$3:$A$14,0))</f>
        <v>0</v>
      </c>
      <c r="H21">
        <f>IF(F21=G21,1,0)</f>
        <v>0</v>
      </c>
      <c r="I21">
        <f>H21*INDEX(Question_Bank!$M$3:$M$14,MATCH(D21,Question_Bank!$A$3:$A$14,0))</f>
        <v>0</v>
      </c>
      <c r="J21">
        <f>SUMIFS($I$3:$I$566,$A$3:$A$566,A21)</f>
        <v>0</v>
      </c>
      <c r="K21" s="5">
        <f>J21/SUM(Question_Bank!$M$3:$M$14)</f>
        <v>0</v>
      </c>
      <c r="L21" s="5">
        <f>SUMIFS($I$3:$I$566,$A$3:$A$566,A21,$E$3:$E$566,E21)/SUMIFS(Question_Bank!$M$3:$M$14,Question_Bank!$B$3:$B$14,E21)</f>
        <v>0</v>
      </c>
      <c r="M21" t="s">
        <v>136</v>
      </c>
    </row>
    <row r="22" spans="1:13">
      <c r="A22" t="s">
        <v>135</v>
      </c>
      <c r="B22" t="s">
        <v>132</v>
      </c>
      <c r="C22" t="s">
        <v>227</v>
      </c>
      <c r="D22" t="s">
        <v>79</v>
      </c>
      <c r="E22" t="s">
        <v>71</v>
      </c>
      <c r="F22" t="s">
        <v>20</v>
      </c>
      <c r="G22">
        <f>INDEX(Question_Bank!$J$3:$J$14,MATCH(D22,Question_Bank!$A$3:$A$14,0))</f>
        <v>0</v>
      </c>
      <c r="H22">
        <f>IF(F22=G22,1,0)</f>
        <v>0</v>
      </c>
      <c r="I22">
        <f>H22*INDEX(Question_Bank!$M$3:$M$14,MATCH(D22,Question_Bank!$A$3:$A$14,0))</f>
        <v>0</v>
      </c>
      <c r="J22">
        <f>SUMIFS($I$3:$I$566,$A$3:$A$566,A22)</f>
        <v>0</v>
      </c>
      <c r="K22" s="5">
        <f>J22/SUM(Question_Bank!$M$3:$M$14)</f>
        <v>0</v>
      </c>
      <c r="L22" s="5">
        <f>SUMIFS($I$3:$I$566,$A$3:$A$566,A22,$E$3:$E$566,E22)/SUMIFS(Question_Bank!$M$3:$M$14,Question_Bank!$B$3:$B$14,E22)</f>
        <v>0</v>
      </c>
      <c r="M22" t="s">
        <v>136</v>
      </c>
    </row>
    <row r="23" spans="1:13">
      <c r="A23" t="s">
        <v>135</v>
      </c>
      <c r="B23" t="s">
        <v>132</v>
      </c>
      <c r="C23" t="s">
        <v>227</v>
      </c>
      <c r="D23" t="s">
        <v>87</v>
      </c>
      <c r="E23" t="s">
        <v>71</v>
      </c>
      <c r="F23" t="s">
        <v>20</v>
      </c>
      <c r="G23">
        <f>INDEX(Question_Bank!$J$3:$J$14,MATCH(D23,Question_Bank!$A$3:$A$14,0))</f>
        <v>0</v>
      </c>
      <c r="H23">
        <f>IF(F23=G23,1,0)</f>
        <v>0</v>
      </c>
      <c r="I23">
        <f>H23*INDEX(Question_Bank!$M$3:$M$14,MATCH(D23,Question_Bank!$A$3:$A$14,0))</f>
        <v>0</v>
      </c>
      <c r="J23">
        <f>SUMIFS($I$3:$I$566,$A$3:$A$566,A23)</f>
        <v>0</v>
      </c>
      <c r="K23" s="5">
        <f>J23/SUM(Question_Bank!$M$3:$M$14)</f>
        <v>0</v>
      </c>
      <c r="L23" s="5">
        <f>SUMIFS($I$3:$I$566,$A$3:$A$566,A23,$E$3:$E$566,E23)/SUMIFS(Question_Bank!$M$3:$M$14,Question_Bank!$B$3:$B$14,E23)</f>
        <v>0</v>
      </c>
      <c r="M23" t="s">
        <v>136</v>
      </c>
    </row>
    <row r="24" spans="1:13">
      <c r="A24" t="s">
        <v>135</v>
      </c>
      <c r="B24" t="s">
        <v>132</v>
      </c>
      <c r="C24" t="s">
        <v>227</v>
      </c>
      <c r="D24" t="s">
        <v>95</v>
      </c>
      <c r="E24" t="s">
        <v>96</v>
      </c>
      <c r="F24" t="s">
        <v>34</v>
      </c>
      <c r="G24">
        <f>INDEX(Question_Bank!$J$3:$J$14,MATCH(D24,Question_Bank!$A$3:$A$14,0))</f>
        <v>0</v>
      </c>
      <c r="H24">
        <f>IF(F24=G24,1,0)</f>
        <v>0</v>
      </c>
      <c r="I24">
        <f>H24*INDEX(Question_Bank!$M$3:$M$14,MATCH(D24,Question_Bank!$A$3:$A$14,0))</f>
        <v>0</v>
      </c>
      <c r="J24">
        <f>SUMIFS($I$3:$I$566,$A$3:$A$566,A24)</f>
        <v>0</v>
      </c>
      <c r="K24" s="5">
        <f>J24/SUM(Question_Bank!$M$3:$M$14)</f>
        <v>0</v>
      </c>
      <c r="L24" s="5">
        <f>SUMIFS($I$3:$I$566,$A$3:$A$566,A24,$E$3:$E$566,E24)/SUMIFS(Question_Bank!$M$3:$M$14,Question_Bank!$B$3:$B$14,E24)</f>
        <v>0</v>
      </c>
      <c r="M24" t="s">
        <v>136</v>
      </c>
    </row>
    <row r="25" spans="1:13">
      <c r="A25" t="s">
        <v>135</v>
      </c>
      <c r="B25" t="s">
        <v>132</v>
      </c>
      <c r="C25" t="s">
        <v>227</v>
      </c>
      <c r="D25" t="s">
        <v>104</v>
      </c>
      <c r="E25" t="s">
        <v>96</v>
      </c>
      <c r="F25" t="s">
        <v>20</v>
      </c>
      <c r="G25">
        <f>INDEX(Question_Bank!$J$3:$J$14,MATCH(D25,Question_Bank!$A$3:$A$14,0))</f>
        <v>0</v>
      </c>
      <c r="H25">
        <f>IF(F25=G25,1,0)</f>
        <v>0</v>
      </c>
      <c r="I25">
        <f>H25*INDEX(Question_Bank!$M$3:$M$14,MATCH(D25,Question_Bank!$A$3:$A$14,0))</f>
        <v>0</v>
      </c>
      <c r="J25">
        <f>SUMIFS($I$3:$I$566,$A$3:$A$566,A25)</f>
        <v>0</v>
      </c>
      <c r="K25" s="5">
        <f>J25/SUM(Question_Bank!$M$3:$M$14)</f>
        <v>0</v>
      </c>
      <c r="L25" s="5">
        <f>SUMIFS($I$3:$I$566,$A$3:$A$566,A25,$E$3:$E$566,E25)/SUMIFS(Question_Bank!$M$3:$M$14,Question_Bank!$B$3:$B$14,E25)</f>
        <v>0</v>
      </c>
      <c r="M25" t="s">
        <v>136</v>
      </c>
    </row>
    <row r="26" spans="1:13">
      <c r="A26" t="s">
        <v>135</v>
      </c>
      <c r="B26" t="s">
        <v>132</v>
      </c>
      <c r="C26" t="s">
        <v>227</v>
      </c>
      <c r="D26" t="s">
        <v>112</v>
      </c>
      <c r="E26" t="s">
        <v>96</v>
      </c>
      <c r="F26" t="s">
        <v>20</v>
      </c>
      <c r="G26">
        <f>INDEX(Question_Bank!$J$3:$J$14,MATCH(D26,Question_Bank!$A$3:$A$14,0))</f>
        <v>0</v>
      </c>
      <c r="H26">
        <f>IF(F26=G26,1,0)</f>
        <v>0</v>
      </c>
      <c r="I26">
        <f>H26*INDEX(Question_Bank!$M$3:$M$14,MATCH(D26,Question_Bank!$A$3:$A$14,0))</f>
        <v>0</v>
      </c>
      <c r="J26">
        <f>SUMIFS($I$3:$I$566,$A$3:$A$566,A26)</f>
        <v>0</v>
      </c>
      <c r="K26" s="5">
        <f>J26/SUM(Question_Bank!$M$3:$M$14)</f>
        <v>0</v>
      </c>
      <c r="L26" s="5">
        <f>SUMIFS($I$3:$I$566,$A$3:$A$566,A26,$E$3:$E$566,E26)/SUMIFS(Question_Bank!$M$3:$M$14,Question_Bank!$B$3:$B$14,E26)</f>
        <v>0</v>
      </c>
      <c r="M26" t="s">
        <v>136</v>
      </c>
    </row>
    <row r="27" spans="1:13">
      <c r="A27" t="s">
        <v>137</v>
      </c>
      <c r="B27" t="s">
        <v>132</v>
      </c>
      <c r="C27" t="s">
        <v>227</v>
      </c>
      <c r="D27" t="s">
        <v>14</v>
      </c>
      <c r="E27" t="s">
        <v>15</v>
      </c>
      <c r="F27" t="s">
        <v>23</v>
      </c>
      <c r="G27">
        <f>INDEX(Question_Bank!$J$3:$J$14,MATCH(D27,Question_Bank!$A$3:$A$14,0))</f>
        <v>0</v>
      </c>
      <c r="H27">
        <f>IF(F27=G27,1,0)</f>
        <v>0</v>
      </c>
      <c r="I27">
        <f>H27*INDEX(Question_Bank!$M$3:$M$14,MATCH(D27,Question_Bank!$A$3:$A$14,0))</f>
        <v>0</v>
      </c>
      <c r="J27">
        <f>SUMIFS($I$3:$I$566,$A$3:$A$566,A27)</f>
        <v>0</v>
      </c>
      <c r="K27" s="5">
        <f>J27/SUM(Question_Bank!$M$3:$M$14)</f>
        <v>0</v>
      </c>
      <c r="L27" s="5">
        <f>SUMIFS($I$3:$I$566,$A$3:$A$566,A27,$E$3:$E$566,E27)/SUMIFS(Question_Bank!$M$3:$M$14,Question_Bank!$B$3:$B$14,E27)</f>
        <v>0</v>
      </c>
      <c r="M27" t="s">
        <v>138</v>
      </c>
    </row>
    <row r="28" spans="1:13">
      <c r="A28" t="s">
        <v>137</v>
      </c>
      <c r="B28" t="s">
        <v>132</v>
      </c>
      <c r="C28" t="s">
        <v>227</v>
      </c>
      <c r="D28" t="s">
        <v>26</v>
      </c>
      <c r="E28" t="s">
        <v>15</v>
      </c>
      <c r="F28" t="s">
        <v>23</v>
      </c>
      <c r="G28">
        <f>INDEX(Question_Bank!$J$3:$J$14,MATCH(D28,Question_Bank!$A$3:$A$14,0))</f>
        <v>0</v>
      </c>
      <c r="H28">
        <f>IF(F28=G28,1,0)</f>
        <v>0</v>
      </c>
      <c r="I28">
        <f>H28*INDEX(Question_Bank!$M$3:$M$14,MATCH(D28,Question_Bank!$A$3:$A$14,0))</f>
        <v>0</v>
      </c>
      <c r="J28">
        <f>SUMIFS($I$3:$I$566,$A$3:$A$566,A28)</f>
        <v>0</v>
      </c>
      <c r="K28" s="5">
        <f>J28/SUM(Question_Bank!$M$3:$M$14)</f>
        <v>0</v>
      </c>
      <c r="L28" s="5">
        <f>SUMIFS($I$3:$I$566,$A$3:$A$566,A28,$E$3:$E$566,E28)/SUMIFS(Question_Bank!$M$3:$M$14,Question_Bank!$B$3:$B$14,E28)</f>
        <v>0</v>
      </c>
      <c r="M28" t="s">
        <v>138</v>
      </c>
    </row>
    <row r="29" spans="1:13">
      <c r="A29" t="s">
        <v>137</v>
      </c>
      <c r="B29" t="s">
        <v>132</v>
      </c>
      <c r="C29" t="s">
        <v>227</v>
      </c>
      <c r="D29" t="s">
        <v>37</v>
      </c>
      <c r="E29" t="s">
        <v>15</v>
      </c>
      <c r="F29" t="s">
        <v>34</v>
      </c>
      <c r="G29">
        <f>INDEX(Question_Bank!$J$3:$J$14,MATCH(D29,Question_Bank!$A$3:$A$14,0))</f>
        <v>0</v>
      </c>
      <c r="H29">
        <f>IF(F29=G29,1,0)</f>
        <v>0</v>
      </c>
      <c r="I29">
        <f>H29*INDEX(Question_Bank!$M$3:$M$14,MATCH(D29,Question_Bank!$A$3:$A$14,0))</f>
        <v>0</v>
      </c>
      <c r="J29">
        <f>SUMIFS($I$3:$I$566,$A$3:$A$566,A29)</f>
        <v>0</v>
      </c>
      <c r="K29" s="5">
        <f>J29/SUM(Question_Bank!$M$3:$M$14)</f>
        <v>0</v>
      </c>
      <c r="L29" s="5">
        <f>SUMIFS($I$3:$I$566,$A$3:$A$566,A29,$E$3:$E$566,E29)/SUMIFS(Question_Bank!$M$3:$M$14,Question_Bank!$B$3:$B$14,E29)</f>
        <v>0</v>
      </c>
      <c r="M29" t="s">
        <v>138</v>
      </c>
    </row>
    <row r="30" spans="1:13">
      <c r="A30" t="s">
        <v>137</v>
      </c>
      <c r="B30" t="s">
        <v>132</v>
      </c>
      <c r="C30" t="s">
        <v>227</v>
      </c>
      <c r="D30" t="s">
        <v>45</v>
      </c>
      <c r="E30" t="s">
        <v>46</v>
      </c>
      <c r="F30" t="s">
        <v>20</v>
      </c>
      <c r="G30">
        <f>INDEX(Question_Bank!$J$3:$J$14,MATCH(D30,Question_Bank!$A$3:$A$14,0))</f>
        <v>0</v>
      </c>
      <c r="H30">
        <f>IF(F30=G30,1,0)</f>
        <v>0</v>
      </c>
      <c r="I30">
        <f>H30*INDEX(Question_Bank!$M$3:$M$14,MATCH(D30,Question_Bank!$A$3:$A$14,0))</f>
        <v>0</v>
      </c>
      <c r="J30">
        <f>SUMIFS($I$3:$I$566,$A$3:$A$566,A30)</f>
        <v>0</v>
      </c>
      <c r="K30" s="5">
        <f>J30/SUM(Question_Bank!$M$3:$M$14)</f>
        <v>0</v>
      </c>
      <c r="L30" s="5">
        <f>SUMIFS($I$3:$I$566,$A$3:$A$566,A30,$E$3:$E$566,E30)/SUMIFS(Question_Bank!$M$3:$M$14,Question_Bank!$B$3:$B$14,E30)</f>
        <v>0</v>
      </c>
      <c r="M30" t="s">
        <v>138</v>
      </c>
    </row>
    <row r="31" spans="1:13">
      <c r="A31" t="s">
        <v>137</v>
      </c>
      <c r="B31" t="s">
        <v>132</v>
      </c>
      <c r="C31" t="s">
        <v>227</v>
      </c>
      <c r="D31" t="s">
        <v>54</v>
      </c>
      <c r="E31" t="s">
        <v>46</v>
      </c>
      <c r="F31" t="s">
        <v>20</v>
      </c>
      <c r="G31">
        <f>INDEX(Question_Bank!$J$3:$J$14,MATCH(D31,Question_Bank!$A$3:$A$14,0))</f>
        <v>0</v>
      </c>
      <c r="H31">
        <f>IF(F31=G31,1,0)</f>
        <v>0</v>
      </c>
      <c r="I31">
        <f>H31*INDEX(Question_Bank!$M$3:$M$14,MATCH(D31,Question_Bank!$A$3:$A$14,0))</f>
        <v>0</v>
      </c>
      <c r="J31">
        <f>SUMIFS($I$3:$I$566,$A$3:$A$566,A31)</f>
        <v>0</v>
      </c>
      <c r="K31" s="5">
        <f>J31/SUM(Question_Bank!$M$3:$M$14)</f>
        <v>0</v>
      </c>
      <c r="L31" s="5">
        <f>SUMIFS($I$3:$I$566,$A$3:$A$566,A31,$E$3:$E$566,E31)/SUMIFS(Question_Bank!$M$3:$M$14,Question_Bank!$B$3:$B$14,E31)</f>
        <v>0</v>
      </c>
      <c r="M31" t="s">
        <v>138</v>
      </c>
    </row>
    <row r="32" spans="1:13">
      <c r="A32" t="s">
        <v>137</v>
      </c>
      <c r="B32" t="s">
        <v>132</v>
      </c>
      <c r="C32" t="s">
        <v>227</v>
      </c>
      <c r="D32" t="s">
        <v>62</v>
      </c>
      <c r="E32" t="s">
        <v>46</v>
      </c>
      <c r="F32" t="s">
        <v>20</v>
      </c>
      <c r="G32">
        <f>INDEX(Question_Bank!$J$3:$J$14,MATCH(D32,Question_Bank!$A$3:$A$14,0))</f>
        <v>0</v>
      </c>
      <c r="H32">
        <f>IF(F32=G32,1,0)</f>
        <v>0</v>
      </c>
      <c r="I32">
        <f>H32*INDEX(Question_Bank!$M$3:$M$14,MATCH(D32,Question_Bank!$A$3:$A$14,0))</f>
        <v>0</v>
      </c>
      <c r="J32">
        <f>SUMIFS($I$3:$I$566,$A$3:$A$566,A32)</f>
        <v>0</v>
      </c>
      <c r="K32" s="5">
        <f>J32/SUM(Question_Bank!$M$3:$M$14)</f>
        <v>0</v>
      </c>
      <c r="L32" s="5">
        <f>SUMIFS($I$3:$I$566,$A$3:$A$566,A32,$E$3:$E$566,E32)/SUMIFS(Question_Bank!$M$3:$M$14,Question_Bank!$B$3:$B$14,E32)</f>
        <v>0</v>
      </c>
      <c r="M32" t="s">
        <v>138</v>
      </c>
    </row>
    <row r="33" spans="1:13">
      <c r="A33" t="s">
        <v>137</v>
      </c>
      <c r="B33" t="s">
        <v>132</v>
      </c>
      <c r="C33" t="s">
        <v>227</v>
      </c>
      <c r="D33" t="s">
        <v>70</v>
      </c>
      <c r="E33" t="s">
        <v>71</v>
      </c>
      <c r="F33" t="s">
        <v>23</v>
      </c>
      <c r="G33">
        <f>INDEX(Question_Bank!$J$3:$J$14,MATCH(D33,Question_Bank!$A$3:$A$14,0))</f>
        <v>0</v>
      </c>
      <c r="H33">
        <f>IF(F33=G33,1,0)</f>
        <v>0</v>
      </c>
      <c r="I33">
        <f>H33*INDEX(Question_Bank!$M$3:$M$14,MATCH(D33,Question_Bank!$A$3:$A$14,0))</f>
        <v>0</v>
      </c>
      <c r="J33">
        <f>SUMIFS($I$3:$I$566,$A$3:$A$566,A33)</f>
        <v>0</v>
      </c>
      <c r="K33" s="5">
        <f>J33/SUM(Question_Bank!$M$3:$M$14)</f>
        <v>0</v>
      </c>
      <c r="L33" s="5">
        <f>SUMIFS($I$3:$I$566,$A$3:$A$566,A33,$E$3:$E$566,E33)/SUMIFS(Question_Bank!$M$3:$M$14,Question_Bank!$B$3:$B$14,E33)</f>
        <v>0</v>
      </c>
      <c r="M33" t="s">
        <v>138</v>
      </c>
    </row>
    <row r="34" spans="1:13">
      <c r="A34" t="s">
        <v>137</v>
      </c>
      <c r="B34" t="s">
        <v>132</v>
      </c>
      <c r="C34" t="s">
        <v>227</v>
      </c>
      <c r="D34" t="s">
        <v>79</v>
      </c>
      <c r="E34" t="s">
        <v>71</v>
      </c>
      <c r="F34" t="s">
        <v>20</v>
      </c>
      <c r="G34">
        <f>INDEX(Question_Bank!$J$3:$J$14,MATCH(D34,Question_Bank!$A$3:$A$14,0))</f>
        <v>0</v>
      </c>
      <c r="H34">
        <f>IF(F34=G34,1,0)</f>
        <v>0</v>
      </c>
      <c r="I34">
        <f>H34*INDEX(Question_Bank!$M$3:$M$14,MATCH(D34,Question_Bank!$A$3:$A$14,0))</f>
        <v>0</v>
      </c>
      <c r="J34">
        <f>SUMIFS($I$3:$I$566,$A$3:$A$566,A34)</f>
        <v>0</v>
      </c>
      <c r="K34" s="5">
        <f>J34/SUM(Question_Bank!$M$3:$M$14)</f>
        <v>0</v>
      </c>
      <c r="L34" s="5">
        <f>SUMIFS($I$3:$I$566,$A$3:$A$566,A34,$E$3:$E$566,E34)/SUMIFS(Question_Bank!$M$3:$M$14,Question_Bank!$B$3:$B$14,E34)</f>
        <v>0</v>
      </c>
      <c r="M34" t="s">
        <v>138</v>
      </c>
    </row>
    <row r="35" spans="1:13">
      <c r="A35" t="s">
        <v>137</v>
      </c>
      <c r="B35" t="s">
        <v>132</v>
      </c>
      <c r="C35" t="s">
        <v>227</v>
      </c>
      <c r="D35" t="s">
        <v>87</v>
      </c>
      <c r="E35" t="s">
        <v>71</v>
      </c>
      <c r="F35" t="s">
        <v>31</v>
      </c>
      <c r="G35">
        <f>INDEX(Question_Bank!$J$3:$J$14,MATCH(D35,Question_Bank!$A$3:$A$14,0))</f>
        <v>0</v>
      </c>
      <c r="H35">
        <f>IF(F35=G35,1,0)</f>
        <v>0</v>
      </c>
      <c r="I35">
        <f>H35*INDEX(Question_Bank!$M$3:$M$14,MATCH(D35,Question_Bank!$A$3:$A$14,0))</f>
        <v>0</v>
      </c>
      <c r="J35">
        <f>SUMIFS($I$3:$I$566,$A$3:$A$566,A35)</f>
        <v>0</v>
      </c>
      <c r="K35" s="5">
        <f>J35/SUM(Question_Bank!$M$3:$M$14)</f>
        <v>0</v>
      </c>
      <c r="L35" s="5">
        <f>SUMIFS($I$3:$I$566,$A$3:$A$566,A35,$E$3:$E$566,E35)/SUMIFS(Question_Bank!$M$3:$M$14,Question_Bank!$B$3:$B$14,E35)</f>
        <v>0</v>
      </c>
      <c r="M35" t="s">
        <v>138</v>
      </c>
    </row>
    <row r="36" spans="1:13">
      <c r="A36" t="s">
        <v>137</v>
      </c>
      <c r="B36" t="s">
        <v>132</v>
      </c>
      <c r="C36" t="s">
        <v>227</v>
      </c>
      <c r="D36" t="s">
        <v>95</v>
      </c>
      <c r="E36" t="s">
        <v>96</v>
      </c>
      <c r="F36" t="s">
        <v>34</v>
      </c>
      <c r="G36">
        <f>INDEX(Question_Bank!$J$3:$J$14,MATCH(D36,Question_Bank!$A$3:$A$14,0))</f>
        <v>0</v>
      </c>
      <c r="H36">
        <f>IF(F36=G36,1,0)</f>
        <v>0</v>
      </c>
      <c r="I36">
        <f>H36*INDEX(Question_Bank!$M$3:$M$14,MATCH(D36,Question_Bank!$A$3:$A$14,0))</f>
        <v>0</v>
      </c>
      <c r="J36">
        <f>SUMIFS($I$3:$I$566,$A$3:$A$566,A36)</f>
        <v>0</v>
      </c>
      <c r="K36" s="5">
        <f>J36/SUM(Question_Bank!$M$3:$M$14)</f>
        <v>0</v>
      </c>
      <c r="L36" s="5">
        <f>SUMIFS($I$3:$I$566,$A$3:$A$566,A36,$E$3:$E$566,E36)/SUMIFS(Question_Bank!$M$3:$M$14,Question_Bank!$B$3:$B$14,E36)</f>
        <v>0</v>
      </c>
      <c r="M36" t="s">
        <v>138</v>
      </c>
    </row>
    <row r="37" spans="1:13">
      <c r="A37" t="s">
        <v>137</v>
      </c>
      <c r="B37" t="s">
        <v>132</v>
      </c>
      <c r="C37" t="s">
        <v>227</v>
      </c>
      <c r="D37" t="s">
        <v>104</v>
      </c>
      <c r="E37" t="s">
        <v>96</v>
      </c>
      <c r="F37" t="s">
        <v>20</v>
      </c>
      <c r="G37">
        <f>INDEX(Question_Bank!$J$3:$J$14,MATCH(D37,Question_Bank!$A$3:$A$14,0))</f>
        <v>0</v>
      </c>
      <c r="H37">
        <f>IF(F37=G37,1,0)</f>
        <v>0</v>
      </c>
      <c r="I37">
        <f>H37*INDEX(Question_Bank!$M$3:$M$14,MATCH(D37,Question_Bank!$A$3:$A$14,0))</f>
        <v>0</v>
      </c>
      <c r="J37">
        <f>SUMIFS($I$3:$I$566,$A$3:$A$566,A37)</f>
        <v>0</v>
      </c>
      <c r="K37" s="5">
        <f>J37/SUM(Question_Bank!$M$3:$M$14)</f>
        <v>0</v>
      </c>
      <c r="L37" s="5">
        <f>SUMIFS($I$3:$I$566,$A$3:$A$566,A37,$E$3:$E$566,E37)/SUMIFS(Question_Bank!$M$3:$M$14,Question_Bank!$B$3:$B$14,E37)</f>
        <v>0</v>
      </c>
      <c r="M37" t="s">
        <v>138</v>
      </c>
    </row>
    <row r="38" spans="1:13">
      <c r="A38" t="s">
        <v>137</v>
      </c>
      <c r="B38" t="s">
        <v>132</v>
      </c>
      <c r="C38" t="s">
        <v>227</v>
      </c>
      <c r="D38" t="s">
        <v>112</v>
      </c>
      <c r="E38" t="s">
        <v>96</v>
      </c>
      <c r="F38" t="s">
        <v>31</v>
      </c>
      <c r="G38">
        <f>INDEX(Question_Bank!$J$3:$J$14,MATCH(D38,Question_Bank!$A$3:$A$14,0))</f>
        <v>0</v>
      </c>
      <c r="H38">
        <f>IF(F38=G38,1,0)</f>
        <v>0</v>
      </c>
      <c r="I38">
        <f>H38*INDEX(Question_Bank!$M$3:$M$14,MATCH(D38,Question_Bank!$A$3:$A$14,0))</f>
        <v>0</v>
      </c>
      <c r="J38">
        <f>SUMIFS($I$3:$I$566,$A$3:$A$566,A38)</f>
        <v>0</v>
      </c>
      <c r="K38" s="5">
        <f>J38/SUM(Question_Bank!$M$3:$M$14)</f>
        <v>0</v>
      </c>
      <c r="L38" s="5">
        <f>SUMIFS($I$3:$I$566,$A$3:$A$566,A38,$E$3:$E$566,E38)/SUMIFS(Question_Bank!$M$3:$M$14,Question_Bank!$B$3:$B$14,E38)</f>
        <v>0</v>
      </c>
      <c r="M38" t="s">
        <v>138</v>
      </c>
    </row>
    <row r="39" spans="1:13">
      <c r="A39" t="s">
        <v>139</v>
      </c>
      <c r="B39" t="s">
        <v>132</v>
      </c>
      <c r="C39" t="s">
        <v>227</v>
      </c>
      <c r="D39" t="s">
        <v>14</v>
      </c>
      <c r="E39" t="s">
        <v>15</v>
      </c>
      <c r="F39" t="s">
        <v>20</v>
      </c>
      <c r="G39">
        <f>INDEX(Question_Bank!$J$3:$J$14,MATCH(D39,Question_Bank!$A$3:$A$14,0))</f>
        <v>0</v>
      </c>
      <c r="H39">
        <f>IF(F39=G39,1,0)</f>
        <v>0</v>
      </c>
      <c r="I39">
        <f>H39*INDEX(Question_Bank!$M$3:$M$14,MATCH(D39,Question_Bank!$A$3:$A$14,0))</f>
        <v>0</v>
      </c>
      <c r="J39">
        <f>SUMIFS($I$3:$I$566,$A$3:$A$566,A39)</f>
        <v>0</v>
      </c>
      <c r="K39" s="5">
        <f>J39/SUM(Question_Bank!$M$3:$M$14)</f>
        <v>0</v>
      </c>
      <c r="L39" s="5">
        <f>SUMIFS($I$3:$I$566,$A$3:$A$566,A39,$E$3:$E$566,E39)/SUMIFS(Question_Bank!$M$3:$M$14,Question_Bank!$B$3:$B$14,E39)</f>
        <v>0</v>
      </c>
      <c r="M39" t="s">
        <v>140</v>
      </c>
    </row>
    <row r="40" spans="1:13">
      <c r="A40" t="s">
        <v>139</v>
      </c>
      <c r="B40" t="s">
        <v>132</v>
      </c>
      <c r="C40" t="s">
        <v>227</v>
      </c>
      <c r="D40" t="s">
        <v>26</v>
      </c>
      <c r="E40" t="s">
        <v>15</v>
      </c>
      <c r="F40" t="s">
        <v>34</v>
      </c>
      <c r="G40">
        <f>INDEX(Question_Bank!$J$3:$J$14,MATCH(D40,Question_Bank!$A$3:$A$14,0))</f>
        <v>0</v>
      </c>
      <c r="H40">
        <f>IF(F40=G40,1,0)</f>
        <v>0</v>
      </c>
      <c r="I40">
        <f>H40*INDEX(Question_Bank!$M$3:$M$14,MATCH(D40,Question_Bank!$A$3:$A$14,0))</f>
        <v>0</v>
      </c>
      <c r="J40">
        <f>SUMIFS($I$3:$I$566,$A$3:$A$566,A40)</f>
        <v>0</v>
      </c>
      <c r="K40" s="5">
        <f>J40/SUM(Question_Bank!$M$3:$M$14)</f>
        <v>0</v>
      </c>
      <c r="L40" s="5">
        <f>SUMIFS($I$3:$I$566,$A$3:$A$566,A40,$E$3:$E$566,E40)/SUMIFS(Question_Bank!$M$3:$M$14,Question_Bank!$B$3:$B$14,E40)</f>
        <v>0</v>
      </c>
      <c r="M40" t="s">
        <v>140</v>
      </c>
    </row>
    <row r="41" spans="1:13">
      <c r="A41" t="s">
        <v>139</v>
      </c>
      <c r="B41" t="s">
        <v>132</v>
      </c>
      <c r="C41" t="s">
        <v>227</v>
      </c>
      <c r="D41" t="s">
        <v>37</v>
      </c>
      <c r="E41" t="s">
        <v>15</v>
      </c>
      <c r="F41" t="s">
        <v>20</v>
      </c>
      <c r="G41">
        <f>INDEX(Question_Bank!$J$3:$J$14,MATCH(D41,Question_Bank!$A$3:$A$14,0))</f>
        <v>0</v>
      </c>
      <c r="H41">
        <f>IF(F41=G41,1,0)</f>
        <v>0</v>
      </c>
      <c r="I41">
        <f>H41*INDEX(Question_Bank!$M$3:$M$14,MATCH(D41,Question_Bank!$A$3:$A$14,0))</f>
        <v>0</v>
      </c>
      <c r="J41">
        <f>SUMIFS($I$3:$I$566,$A$3:$A$566,A41)</f>
        <v>0</v>
      </c>
      <c r="K41" s="5">
        <f>J41/SUM(Question_Bank!$M$3:$M$14)</f>
        <v>0</v>
      </c>
      <c r="L41" s="5">
        <f>SUMIFS($I$3:$I$566,$A$3:$A$566,A41,$E$3:$E$566,E41)/SUMIFS(Question_Bank!$M$3:$M$14,Question_Bank!$B$3:$B$14,E41)</f>
        <v>0</v>
      </c>
      <c r="M41" t="s">
        <v>140</v>
      </c>
    </row>
    <row r="42" spans="1:13">
      <c r="A42" t="s">
        <v>139</v>
      </c>
      <c r="B42" t="s">
        <v>132</v>
      </c>
      <c r="C42" t="s">
        <v>227</v>
      </c>
      <c r="D42" t="s">
        <v>45</v>
      </c>
      <c r="E42" t="s">
        <v>46</v>
      </c>
      <c r="F42" t="s">
        <v>31</v>
      </c>
      <c r="G42">
        <f>INDEX(Question_Bank!$J$3:$J$14,MATCH(D42,Question_Bank!$A$3:$A$14,0))</f>
        <v>0</v>
      </c>
      <c r="H42">
        <f>IF(F42=G42,1,0)</f>
        <v>0</v>
      </c>
      <c r="I42">
        <f>H42*INDEX(Question_Bank!$M$3:$M$14,MATCH(D42,Question_Bank!$A$3:$A$14,0))</f>
        <v>0</v>
      </c>
      <c r="J42">
        <f>SUMIFS($I$3:$I$566,$A$3:$A$566,A42)</f>
        <v>0</v>
      </c>
      <c r="K42" s="5">
        <f>J42/SUM(Question_Bank!$M$3:$M$14)</f>
        <v>0</v>
      </c>
      <c r="L42" s="5">
        <f>SUMIFS($I$3:$I$566,$A$3:$A$566,A42,$E$3:$E$566,E42)/SUMIFS(Question_Bank!$M$3:$M$14,Question_Bank!$B$3:$B$14,E42)</f>
        <v>0</v>
      </c>
      <c r="M42" t="s">
        <v>140</v>
      </c>
    </row>
    <row r="43" spans="1:13">
      <c r="A43" t="s">
        <v>139</v>
      </c>
      <c r="B43" t="s">
        <v>132</v>
      </c>
      <c r="C43" t="s">
        <v>227</v>
      </c>
      <c r="D43" t="s">
        <v>54</v>
      </c>
      <c r="E43" t="s">
        <v>46</v>
      </c>
      <c r="F43" t="s">
        <v>20</v>
      </c>
      <c r="G43">
        <f>INDEX(Question_Bank!$J$3:$J$14,MATCH(D43,Question_Bank!$A$3:$A$14,0))</f>
        <v>0</v>
      </c>
      <c r="H43">
        <f>IF(F43=G43,1,0)</f>
        <v>0</v>
      </c>
      <c r="I43">
        <f>H43*INDEX(Question_Bank!$M$3:$M$14,MATCH(D43,Question_Bank!$A$3:$A$14,0))</f>
        <v>0</v>
      </c>
      <c r="J43">
        <f>SUMIFS($I$3:$I$566,$A$3:$A$566,A43)</f>
        <v>0</v>
      </c>
      <c r="K43" s="5">
        <f>J43/SUM(Question_Bank!$M$3:$M$14)</f>
        <v>0</v>
      </c>
      <c r="L43" s="5">
        <f>SUMIFS($I$3:$I$566,$A$3:$A$566,A43,$E$3:$E$566,E43)/SUMIFS(Question_Bank!$M$3:$M$14,Question_Bank!$B$3:$B$14,E43)</f>
        <v>0</v>
      </c>
      <c r="M43" t="s">
        <v>140</v>
      </c>
    </row>
    <row r="44" spans="1:13">
      <c r="A44" t="s">
        <v>139</v>
      </c>
      <c r="B44" t="s">
        <v>132</v>
      </c>
      <c r="C44" t="s">
        <v>227</v>
      </c>
      <c r="D44" t="s">
        <v>62</v>
      </c>
      <c r="E44" t="s">
        <v>46</v>
      </c>
      <c r="F44" t="s">
        <v>23</v>
      </c>
      <c r="G44">
        <f>INDEX(Question_Bank!$J$3:$J$14,MATCH(D44,Question_Bank!$A$3:$A$14,0))</f>
        <v>0</v>
      </c>
      <c r="H44">
        <f>IF(F44=G44,1,0)</f>
        <v>0</v>
      </c>
      <c r="I44">
        <f>H44*INDEX(Question_Bank!$M$3:$M$14,MATCH(D44,Question_Bank!$A$3:$A$14,0))</f>
        <v>0</v>
      </c>
      <c r="J44">
        <f>SUMIFS($I$3:$I$566,$A$3:$A$566,A44)</f>
        <v>0</v>
      </c>
      <c r="K44" s="5">
        <f>J44/SUM(Question_Bank!$M$3:$M$14)</f>
        <v>0</v>
      </c>
      <c r="L44" s="5">
        <f>SUMIFS($I$3:$I$566,$A$3:$A$566,A44,$E$3:$E$566,E44)/SUMIFS(Question_Bank!$M$3:$M$14,Question_Bank!$B$3:$B$14,E44)</f>
        <v>0</v>
      </c>
      <c r="M44" t="s">
        <v>140</v>
      </c>
    </row>
    <row r="45" spans="1:13">
      <c r="A45" t="s">
        <v>139</v>
      </c>
      <c r="B45" t="s">
        <v>132</v>
      </c>
      <c r="C45" t="s">
        <v>227</v>
      </c>
      <c r="D45" t="s">
        <v>70</v>
      </c>
      <c r="E45" t="s">
        <v>71</v>
      </c>
      <c r="F45" t="s">
        <v>23</v>
      </c>
      <c r="G45">
        <f>INDEX(Question_Bank!$J$3:$J$14,MATCH(D45,Question_Bank!$A$3:$A$14,0))</f>
        <v>0</v>
      </c>
      <c r="H45">
        <f>IF(F45=G45,1,0)</f>
        <v>0</v>
      </c>
      <c r="I45">
        <f>H45*INDEX(Question_Bank!$M$3:$M$14,MATCH(D45,Question_Bank!$A$3:$A$14,0))</f>
        <v>0</v>
      </c>
      <c r="J45">
        <f>SUMIFS($I$3:$I$566,$A$3:$A$566,A45)</f>
        <v>0</v>
      </c>
      <c r="K45" s="5">
        <f>J45/SUM(Question_Bank!$M$3:$M$14)</f>
        <v>0</v>
      </c>
      <c r="L45" s="5">
        <f>SUMIFS($I$3:$I$566,$A$3:$A$566,A45,$E$3:$E$566,E45)/SUMIFS(Question_Bank!$M$3:$M$14,Question_Bank!$B$3:$B$14,E45)</f>
        <v>0</v>
      </c>
      <c r="M45" t="s">
        <v>140</v>
      </c>
    </row>
    <row r="46" spans="1:13">
      <c r="A46" t="s">
        <v>139</v>
      </c>
      <c r="B46" t="s">
        <v>132</v>
      </c>
      <c r="C46" t="s">
        <v>227</v>
      </c>
      <c r="D46" t="s">
        <v>79</v>
      </c>
      <c r="E46" t="s">
        <v>71</v>
      </c>
      <c r="F46" t="s">
        <v>20</v>
      </c>
      <c r="G46">
        <f>INDEX(Question_Bank!$J$3:$J$14,MATCH(D46,Question_Bank!$A$3:$A$14,0))</f>
        <v>0</v>
      </c>
      <c r="H46">
        <f>IF(F46=G46,1,0)</f>
        <v>0</v>
      </c>
      <c r="I46">
        <f>H46*INDEX(Question_Bank!$M$3:$M$14,MATCH(D46,Question_Bank!$A$3:$A$14,0))</f>
        <v>0</v>
      </c>
      <c r="J46">
        <f>SUMIFS($I$3:$I$566,$A$3:$A$566,A46)</f>
        <v>0</v>
      </c>
      <c r="K46" s="5">
        <f>J46/SUM(Question_Bank!$M$3:$M$14)</f>
        <v>0</v>
      </c>
      <c r="L46" s="5">
        <f>SUMIFS($I$3:$I$566,$A$3:$A$566,A46,$E$3:$E$566,E46)/SUMIFS(Question_Bank!$M$3:$M$14,Question_Bank!$B$3:$B$14,E46)</f>
        <v>0</v>
      </c>
      <c r="M46" t="s">
        <v>140</v>
      </c>
    </row>
    <row r="47" spans="1:13">
      <c r="A47" t="s">
        <v>139</v>
      </c>
      <c r="B47" t="s">
        <v>132</v>
      </c>
      <c r="C47" t="s">
        <v>227</v>
      </c>
      <c r="D47" t="s">
        <v>87</v>
      </c>
      <c r="E47" t="s">
        <v>71</v>
      </c>
      <c r="F47" t="s">
        <v>23</v>
      </c>
      <c r="G47">
        <f>INDEX(Question_Bank!$J$3:$J$14,MATCH(D47,Question_Bank!$A$3:$A$14,0))</f>
        <v>0</v>
      </c>
      <c r="H47">
        <f>IF(F47=G47,1,0)</f>
        <v>0</v>
      </c>
      <c r="I47">
        <f>H47*INDEX(Question_Bank!$M$3:$M$14,MATCH(D47,Question_Bank!$A$3:$A$14,0))</f>
        <v>0</v>
      </c>
      <c r="J47">
        <f>SUMIFS($I$3:$I$566,$A$3:$A$566,A47)</f>
        <v>0</v>
      </c>
      <c r="K47" s="5">
        <f>J47/SUM(Question_Bank!$M$3:$M$14)</f>
        <v>0</v>
      </c>
      <c r="L47" s="5">
        <f>SUMIFS($I$3:$I$566,$A$3:$A$566,A47,$E$3:$E$566,E47)/SUMIFS(Question_Bank!$M$3:$M$14,Question_Bank!$B$3:$B$14,E47)</f>
        <v>0</v>
      </c>
      <c r="M47" t="s">
        <v>140</v>
      </c>
    </row>
    <row r="48" spans="1:13">
      <c r="A48" t="s">
        <v>139</v>
      </c>
      <c r="B48" t="s">
        <v>132</v>
      </c>
      <c r="C48" t="s">
        <v>227</v>
      </c>
      <c r="D48" t="s">
        <v>95</v>
      </c>
      <c r="E48" t="s">
        <v>96</v>
      </c>
      <c r="F48" t="s">
        <v>20</v>
      </c>
      <c r="G48">
        <f>INDEX(Question_Bank!$J$3:$J$14,MATCH(D48,Question_Bank!$A$3:$A$14,0))</f>
        <v>0</v>
      </c>
      <c r="H48">
        <f>IF(F48=G48,1,0)</f>
        <v>0</v>
      </c>
      <c r="I48">
        <f>H48*INDEX(Question_Bank!$M$3:$M$14,MATCH(D48,Question_Bank!$A$3:$A$14,0))</f>
        <v>0</v>
      </c>
      <c r="J48">
        <f>SUMIFS($I$3:$I$566,$A$3:$A$566,A48)</f>
        <v>0</v>
      </c>
      <c r="K48" s="5">
        <f>J48/SUM(Question_Bank!$M$3:$M$14)</f>
        <v>0</v>
      </c>
      <c r="L48" s="5">
        <f>SUMIFS($I$3:$I$566,$A$3:$A$566,A48,$E$3:$E$566,E48)/SUMIFS(Question_Bank!$M$3:$M$14,Question_Bank!$B$3:$B$14,E48)</f>
        <v>0</v>
      </c>
      <c r="M48" t="s">
        <v>140</v>
      </c>
    </row>
    <row r="49" spans="1:13">
      <c r="A49" t="s">
        <v>139</v>
      </c>
      <c r="B49" t="s">
        <v>132</v>
      </c>
      <c r="C49" t="s">
        <v>227</v>
      </c>
      <c r="D49" t="s">
        <v>104</v>
      </c>
      <c r="E49" t="s">
        <v>96</v>
      </c>
      <c r="F49" t="s">
        <v>23</v>
      </c>
      <c r="G49">
        <f>INDEX(Question_Bank!$J$3:$J$14,MATCH(D49,Question_Bank!$A$3:$A$14,0))</f>
        <v>0</v>
      </c>
      <c r="H49">
        <f>IF(F49=G49,1,0)</f>
        <v>0</v>
      </c>
      <c r="I49">
        <f>H49*INDEX(Question_Bank!$M$3:$M$14,MATCH(D49,Question_Bank!$A$3:$A$14,0))</f>
        <v>0</v>
      </c>
      <c r="J49">
        <f>SUMIFS($I$3:$I$566,$A$3:$A$566,A49)</f>
        <v>0</v>
      </c>
      <c r="K49" s="5">
        <f>J49/SUM(Question_Bank!$M$3:$M$14)</f>
        <v>0</v>
      </c>
      <c r="L49" s="5">
        <f>SUMIFS($I$3:$I$566,$A$3:$A$566,A49,$E$3:$E$566,E49)/SUMIFS(Question_Bank!$M$3:$M$14,Question_Bank!$B$3:$B$14,E49)</f>
        <v>0</v>
      </c>
      <c r="M49" t="s">
        <v>140</v>
      </c>
    </row>
    <row r="50" spans="1:13">
      <c r="A50" t="s">
        <v>139</v>
      </c>
      <c r="B50" t="s">
        <v>132</v>
      </c>
      <c r="C50" t="s">
        <v>227</v>
      </c>
      <c r="D50" t="s">
        <v>112</v>
      </c>
      <c r="E50" t="s">
        <v>96</v>
      </c>
      <c r="F50" t="s">
        <v>31</v>
      </c>
      <c r="G50">
        <f>INDEX(Question_Bank!$J$3:$J$14,MATCH(D50,Question_Bank!$A$3:$A$14,0))</f>
        <v>0</v>
      </c>
      <c r="H50">
        <f>IF(F50=G50,1,0)</f>
        <v>0</v>
      </c>
      <c r="I50">
        <f>H50*INDEX(Question_Bank!$M$3:$M$14,MATCH(D50,Question_Bank!$A$3:$A$14,0))</f>
        <v>0</v>
      </c>
      <c r="J50">
        <f>SUMIFS($I$3:$I$566,$A$3:$A$566,A50)</f>
        <v>0</v>
      </c>
      <c r="K50" s="5">
        <f>J50/SUM(Question_Bank!$M$3:$M$14)</f>
        <v>0</v>
      </c>
      <c r="L50" s="5">
        <f>SUMIFS($I$3:$I$566,$A$3:$A$566,A50,$E$3:$E$566,E50)/SUMIFS(Question_Bank!$M$3:$M$14,Question_Bank!$B$3:$B$14,E50)</f>
        <v>0</v>
      </c>
      <c r="M50" t="s">
        <v>140</v>
      </c>
    </row>
    <row r="51" spans="1:13">
      <c r="A51" t="s">
        <v>141</v>
      </c>
      <c r="B51" t="s">
        <v>132</v>
      </c>
      <c r="C51" t="s">
        <v>227</v>
      </c>
      <c r="D51" t="s">
        <v>14</v>
      </c>
      <c r="E51" t="s">
        <v>15</v>
      </c>
      <c r="F51" t="s">
        <v>23</v>
      </c>
      <c r="G51">
        <f>INDEX(Question_Bank!$J$3:$J$14,MATCH(D51,Question_Bank!$A$3:$A$14,0))</f>
        <v>0</v>
      </c>
      <c r="H51">
        <f>IF(F51=G51,1,0)</f>
        <v>0</v>
      </c>
      <c r="I51">
        <f>H51*INDEX(Question_Bank!$M$3:$M$14,MATCH(D51,Question_Bank!$A$3:$A$14,0))</f>
        <v>0</v>
      </c>
      <c r="J51">
        <f>SUMIFS($I$3:$I$566,$A$3:$A$566,A51)</f>
        <v>0</v>
      </c>
      <c r="K51" s="5">
        <f>J51/SUM(Question_Bank!$M$3:$M$14)</f>
        <v>0</v>
      </c>
      <c r="L51" s="5">
        <f>SUMIFS($I$3:$I$566,$A$3:$A$566,A51,$E$3:$E$566,E51)/SUMIFS(Question_Bank!$M$3:$M$14,Question_Bank!$B$3:$B$14,E51)</f>
        <v>0</v>
      </c>
      <c r="M51" t="s">
        <v>142</v>
      </c>
    </row>
    <row r="52" spans="1:13">
      <c r="A52" t="s">
        <v>141</v>
      </c>
      <c r="B52" t="s">
        <v>132</v>
      </c>
      <c r="C52" t="s">
        <v>227</v>
      </c>
      <c r="D52" t="s">
        <v>26</v>
      </c>
      <c r="E52" t="s">
        <v>15</v>
      </c>
      <c r="F52" t="s">
        <v>34</v>
      </c>
      <c r="G52">
        <f>INDEX(Question_Bank!$J$3:$J$14,MATCH(D52,Question_Bank!$A$3:$A$14,0))</f>
        <v>0</v>
      </c>
      <c r="H52">
        <f>IF(F52=G52,1,0)</f>
        <v>0</v>
      </c>
      <c r="I52">
        <f>H52*INDEX(Question_Bank!$M$3:$M$14,MATCH(D52,Question_Bank!$A$3:$A$14,0))</f>
        <v>0</v>
      </c>
      <c r="J52">
        <f>SUMIFS($I$3:$I$566,$A$3:$A$566,A52)</f>
        <v>0</v>
      </c>
      <c r="K52" s="5">
        <f>J52/SUM(Question_Bank!$M$3:$M$14)</f>
        <v>0</v>
      </c>
      <c r="L52" s="5">
        <f>SUMIFS($I$3:$I$566,$A$3:$A$566,A52,$E$3:$E$566,E52)/SUMIFS(Question_Bank!$M$3:$M$14,Question_Bank!$B$3:$B$14,E52)</f>
        <v>0</v>
      </c>
      <c r="M52" t="s">
        <v>142</v>
      </c>
    </row>
    <row r="53" spans="1:13">
      <c r="A53" t="s">
        <v>141</v>
      </c>
      <c r="B53" t="s">
        <v>132</v>
      </c>
      <c r="C53" t="s">
        <v>227</v>
      </c>
      <c r="D53" t="s">
        <v>37</v>
      </c>
      <c r="E53" t="s">
        <v>15</v>
      </c>
      <c r="F53" t="s">
        <v>20</v>
      </c>
      <c r="G53">
        <f>INDEX(Question_Bank!$J$3:$J$14,MATCH(D53,Question_Bank!$A$3:$A$14,0))</f>
        <v>0</v>
      </c>
      <c r="H53">
        <f>IF(F53=G53,1,0)</f>
        <v>0</v>
      </c>
      <c r="I53">
        <f>H53*INDEX(Question_Bank!$M$3:$M$14,MATCH(D53,Question_Bank!$A$3:$A$14,0))</f>
        <v>0</v>
      </c>
      <c r="J53">
        <f>SUMIFS($I$3:$I$566,$A$3:$A$566,A53)</f>
        <v>0</v>
      </c>
      <c r="K53" s="5">
        <f>J53/SUM(Question_Bank!$M$3:$M$14)</f>
        <v>0</v>
      </c>
      <c r="L53" s="5">
        <f>SUMIFS($I$3:$I$566,$A$3:$A$566,A53,$E$3:$E$566,E53)/SUMIFS(Question_Bank!$M$3:$M$14,Question_Bank!$B$3:$B$14,E53)</f>
        <v>0</v>
      </c>
      <c r="M53" t="s">
        <v>142</v>
      </c>
    </row>
    <row r="54" spans="1:13">
      <c r="A54" t="s">
        <v>141</v>
      </c>
      <c r="B54" t="s">
        <v>132</v>
      </c>
      <c r="C54" t="s">
        <v>227</v>
      </c>
      <c r="D54" t="s">
        <v>45</v>
      </c>
      <c r="E54" t="s">
        <v>46</v>
      </c>
      <c r="F54" t="s">
        <v>31</v>
      </c>
      <c r="G54">
        <f>INDEX(Question_Bank!$J$3:$J$14,MATCH(D54,Question_Bank!$A$3:$A$14,0))</f>
        <v>0</v>
      </c>
      <c r="H54">
        <f>IF(F54=G54,1,0)</f>
        <v>0</v>
      </c>
      <c r="I54">
        <f>H54*INDEX(Question_Bank!$M$3:$M$14,MATCH(D54,Question_Bank!$A$3:$A$14,0))</f>
        <v>0</v>
      </c>
      <c r="J54">
        <f>SUMIFS($I$3:$I$566,$A$3:$A$566,A54)</f>
        <v>0</v>
      </c>
      <c r="K54" s="5">
        <f>J54/SUM(Question_Bank!$M$3:$M$14)</f>
        <v>0</v>
      </c>
      <c r="L54" s="5">
        <f>SUMIFS($I$3:$I$566,$A$3:$A$566,A54,$E$3:$E$566,E54)/SUMIFS(Question_Bank!$M$3:$M$14,Question_Bank!$B$3:$B$14,E54)</f>
        <v>0</v>
      </c>
      <c r="M54" t="s">
        <v>142</v>
      </c>
    </row>
    <row r="55" spans="1:13">
      <c r="A55" t="s">
        <v>141</v>
      </c>
      <c r="B55" t="s">
        <v>132</v>
      </c>
      <c r="C55" t="s">
        <v>227</v>
      </c>
      <c r="D55" t="s">
        <v>54</v>
      </c>
      <c r="E55" t="s">
        <v>46</v>
      </c>
      <c r="F55" t="s">
        <v>23</v>
      </c>
      <c r="G55">
        <f>INDEX(Question_Bank!$J$3:$J$14,MATCH(D55,Question_Bank!$A$3:$A$14,0))</f>
        <v>0</v>
      </c>
      <c r="H55">
        <f>IF(F55=G55,1,0)</f>
        <v>0</v>
      </c>
      <c r="I55">
        <f>H55*INDEX(Question_Bank!$M$3:$M$14,MATCH(D55,Question_Bank!$A$3:$A$14,0))</f>
        <v>0</v>
      </c>
      <c r="J55">
        <f>SUMIFS($I$3:$I$566,$A$3:$A$566,A55)</f>
        <v>0</v>
      </c>
      <c r="K55" s="5">
        <f>J55/SUM(Question_Bank!$M$3:$M$14)</f>
        <v>0</v>
      </c>
      <c r="L55" s="5">
        <f>SUMIFS($I$3:$I$566,$A$3:$A$566,A55,$E$3:$E$566,E55)/SUMIFS(Question_Bank!$M$3:$M$14,Question_Bank!$B$3:$B$14,E55)</f>
        <v>0</v>
      </c>
      <c r="M55" t="s">
        <v>142</v>
      </c>
    </row>
    <row r="56" spans="1:13">
      <c r="A56" t="s">
        <v>141</v>
      </c>
      <c r="B56" t="s">
        <v>132</v>
      </c>
      <c r="C56" t="s">
        <v>227</v>
      </c>
      <c r="D56" t="s">
        <v>62</v>
      </c>
      <c r="E56" t="s">
        <v>46</v>
      </c>
      <c r="F56" t="s">
        <v>34</v>
      </c>
      <c r="G56">
        <f>INDEX(Question_Bank!$J$3:$J$14,MATCH(D56,Question_Bank!$A$3:$A$14,0))</f>
        <v>0</v>
      </c>
      <c r="H56">
        <f>IF(F56=G56,1,0)</f>
        <v>0</v>
      </c>
      <c r="I56">
        <f>H56*INDEX(Question_Bank!$M$3:$M$14,MATCH(D56,Question_Bank!$A$3:$A$14,0))</f>
        <v>0</v>
      </c>
      <c r="J56">
        <f>SUMIFS($I$3:$I$566,$A$3:$A$566,A56)</f>
        <v>0</v>
      </c>
      <c r="K56" s="5">
        <f>J56/SUM(Question_Bank!$M$3:$M$14)</f>
        <v>0</v>
      </c>
      <c r="L56" s="5">
        <f>SUMIFS($I$3:$I$566,$A$3:$A$566,A56,$E$3:$E$566,E56)/SUMIFS(Question_Bank!$M$3:$M$14,Question_Bank!$B$3:$B$14,E56)</f>
        <v>0</v>
      </c>
      <c r="M56" t="s">
        <v>142</v>
      </c>
    </row>
    <row r="57" spans="1:13">
      <c r="A57" t="s">
        <v>141</v>
      </c>
      <c r="B57" t="s">
        <v>132</v>
      </c>
      <c r="C57" t="s">
        <v>227</v>
      </c>
      <c r="D57" t="s">
        <v>70</v>
      </c>
      <c r="E57" t="s">
        <v>71</v>
      </c>
      <c r="F57" t="s">
        <v>23</v>
      </c>
      <c r="G57">
        <f>INDEX(Question_Bank!$J$3:$J$14,MATCH(D57,Question_Bank!$A$3:$A$14,0))</f>
        <v>0</v>
      </c>
      <c r="H57">
        <f>IF(F57=G57,1,0)</f>
        <v>0</v>
      </c>
      <c r="I57">
        <f>H57*INDEX(Question_Bank!$M$3:$M$14,MATCH(D57,Question_Bank!$A$3:$A$14,0))</f>
        <v>0</v>
      </c>
      <c r="J57">
        <f>SUMIFS($I$3:$I$566,$A$3:$A$566,A57)</f>
        <v>0</v>
      </c>
      <c r="K57" s="5">
        <f>J57/SUM(Question_Bank!$M$3:$M$14)</f>
        <v>0</v>
      </c>
      <c r="L57" s="5">
        <f>SUMIFS($I$3:$I$566,$A$3:$A$566,A57,$E$3:$E$566,E57)/SUMIFS(Question_Bank!$M$3:$M$14,Question_Bank!$B$3:$B$14,E57)</f>
        <v>0</v>
      </c>
      <c r="M57" t="s">
        <v>142</v>
      </c>
    </row>
    <row r="58" spans="1:13">
      <c r="A58" t="s">
        <v>141</v>
      </c>
      <c r="B58" t="s">
        <v>132</v>
      </c>
      <c r="C58" t="s">
        <v>227</v>
      </c>
      <c r="D58" t="s">
        <v>79</v>
      </c>
      <c r="E58" t="s">
        <v>71</v>
      </c>
      <c r="F58" t="s">
        <v>31</v>
      </c>
      <c r="G58">
        <f>INDEX(Question_Bank!$J$3:$J$14,MATCH(D58,Question_Bank!$A$3:$A$14,0))</f>
        <v>0</v>
      </c>
      <c r="H58">
        <f>IF(F58=G58,1,0)</f>
        <v>0</v>
      </c>
      <c r="I58">
        <f>H58*INDEX(Question_Bank!$M$3:$M$14,MATCH(D58,Question_Bank!$A$3:$A$14,0))</f>
        <v>0</v>
      </c>
      <c r="J58">
        <f>SUMIFS($I$3:$I$566,$A$3:$A$566,A58)</f>
        <v>0</v>
      </c>
      <c r="K58" s="5">
        <f>J58/SUM(Question_Bank!$M$3:$M$14)</f>
        <v>0</v>
      </c>
      <c r="L58" s="5">
        <f>SUMIFS($I$3:$I$566,$A$3:$A$566,A58,$E$3:$E$566,E58)/SUMIFS(Question_Bank!$M$3:$M$14,Question_Bank!$B$3:$B$14,E58)</f>
        <v>0</v>
      </c>
      <c r="M58" t="s">
        <v>142</v>
      </c>
    </row>
    <row r="59" spans="1:13">
      <c r="A59" t="s">
        <v>141</v>
      </c>
      <c r="B59" t="s">
        <v>132</v>
      </c>
      <c r="C59" t="s">
        <v>227</v>
      </c>
      <c r="D59" t="s">
        <v>87</v>
      </c>
      <c r="E59" t="s">
        <v>71</v>
      </c>
      <c r="F59" t="s">
        <v>23</v>
      </c>
      <c r="G59">
        <f>INDEX(Question_Bank!$J$3:$J$14,MATCH(D59,Question_Bank!$A$3:$A$14,0))</f>
        <v>0</v>
      </c>
      <c r="H59">
        <f>IF(F59=G59,1,0)</f>
        <v>0</v>
      </c>
      <c r="I59">
        <f>H59*INDEX(Question_Bank!$M$3:$M$14,MATCH(D59,Question_Bank!$A$3:$A$14,0))</f>
        <v>0</v>
      </c>
      <c r="J59">
        <f>SUMIFS($I$3:$I$566,$A$3:$A$566,A59)</f>
        <v>0</v>
      </c>
      <c r="K59" s="5">
        <f>J59/SUM(Question_Bank!$M$3:$M$14)</f>
        <v>0</v>
      </c>
      <c r="L59" s="5">
        <f>SUMIFS($I$3:$I$566,$A$3:$A$566,A59,$E$3:$E$566,E59)/SUMIFS(Question_Bank!$M$3:$M$14,Question_Bank!$B$3:$B$14,E59)</f>
        <v>0</v>
      </c>
      <c r="M59" t="s">
        <v>142</v>
      </c>
    </row>
    <row r="60" spans="1:13">
      <c r="A60" t="s">
        <v>141</v>
      </c>
      <c r="B60" t="s">
        <v>132</v>
      </c>
      <c r="C60" t="s">
        <v>227</v>
      </c>
      <c r="D60" t="s">
        <v>95</v>
      </c>
      <c r="E60" t="s">
        <v>96</v>
      </c>
      <c r="F60" t="s">
        <v>34</v>
      </c>
      <c r="G60">
        <f>INDEX(Question_Bank!$J$3:$J$14,MATCH(D60,Question_Bank!$A$3:$A$14,0))</f>
        <v>0</v>
      </c>
      <c r="H60">
        <f>IF(F60=G60,1,0)</f>
        <v>0</v>
      </c>
      <c r="I60">
        <f>H60*INDEX(Question_Bank!$M$3:$M$14,MATCH(D60,Question_Bank!$A$3:$A$14,0))</f>
        <v>0</v>
      </c>
      <c r="J60">
        <f>SUMIFS($I$3:$I$566,$A$3:$A$566,A60)</f>
        <v>0</v>
      </c>
      <c r="K60" s="5">
        <f>J60/SUM(Question_Bank!$M$3:$M$14)</f>
        <v>0</v>
      </c>
      <c r="L60" s="5">
        <f>SUMIFS($I$3:$I$566,$A$3:$A$566,A60,$E$3:$E$566,E60)/SUMIFS(Question_Bank!$M$3:$M$14,Question_Bank!$B$3:$B$14,E60)</f>
        <v>0</v>
      </c>
      <c r="M60" t="s">
        <v>142</v>
      </c>
    </row>
    <row r="61" spans="1:13">
      <c r="A61" t="s">
        <v>141</v>
      </c>
      <c r="B61" t="s">
        <v>132</v>
      </c>
      <c r="C61" t="s">
        <v>227</v>
      </c>
      <c r="D61" t="s">
        <v>104</v>
      </c>
      <c r="E61" t="s">
        <v>96</v>
      </c>
      <c r="F61" t="s">
        <v>20</v>
      </c>
      <c r="G61">
        <f>INDEX(Question_Bank!$J$3:$J$14,MATCH(D61,Question_Bank!$A$3:$A$14,0))</f>
        <v>0</v>
      </c>
      <c r="H61">
        <f>IF(F61=G61,1,0)</f>
        <v>0</v>
      </c>
      <c r="I61">
        <f>H61*INDEX(Question_Bank!$M$3:$M$14,MATCH(D61,Question_Bank!$A$3:$A$14,0))</f>
        <v>0</v>
      </c>
      <c r="J61">
        <f>SUMIFS($I$3:$I$566,$A$3:$A$566,A61)</f>
        <v>0</v>
      </c>
      <c r="K61" s="5">
        <f>J61/SUM(Question_Bank!$M$3:$M$14)</f>
        <v>0</v>
      </c>
      <c r="L61" s="5">
        <f>SUMIFS($I$3:$I$566,$A$3:$A$566,A61,$E$3:$E$566,E61)/SUMIFS(Question_Bank!$M$3:$M$14,Question_Bank!$B$3:$B$14,E61)</f>
        <v>0</v>
      </c>
      <c r="M61" t="s">
        <v>142</v>
      </c>
    </row>
    <row r="62" spans="1:13">
      <c r="A62" t="s">
        <v>141</v>
      </c>
      <c r="B62" t="s">
        <v>132</v>
      </c>
      <c r="C62" t="s">
        <v>227</v>
      </c>
      <c r="D62" t="s">
        <v>112</v>
      </c>
      <c r="E62" t="s">
        <v>96</v>
      </c>
      <c r="F62" t="s">
        <v>23</v>
      </c>
      <c r="G62">
        <f>INDEX(Question_Bank!$J$3:$J$14,MATCH(D62,Question_Bank!$A$3:$A$14,0))</f>
        <v>0</v>
      </c>
      <c r="H62">
        <f>IF(F62=G62,1,0)</f>
        <v>0</v>
      </c>
      <c r="I62">
        <f>H62*INDEX(Question_Bank!$M$3:$M$14,MATCH(D62,Question_Bank!$A$3:$A$14,0))</f>
        <v>0</v>
      </c>
      <c r="J62">
        <f>SUMIFS($I$3:$I$566,$A$3:$A$566,A62)</f>
        <v>0</v>
      </c>
      <c r="K62" s="5">
        <f>J62/SUM(Question_Bank!$M$3:$M$14)</f>
        <v>0</v>
      </c>
      <c r="L62" s="5">
        <f>SUMIFS($I$3:$I$566,$A$3:$A$566,A62,$E$3:$E$566,E62)/SUMIFS(Question_Bank!$M$3:$M$14,Question_Bank!$B$3:$B$14,E62)</f>
        <v>0</v>
      </c>
      <c r="M62" t="s">
        <v>142</v>
      </c>
    </row>
    <row r="63" spans="1:13">
      <c r="A63" t="s">
        <v>143</v>
      </c>
      <c r="B63" t="s">
        <v>132</v>
      </c>
      <c r="C63" t="s">
        <v>227</v>
      </c>
      <c r="D63" t="s">
        <v>14</v>
      </c>
      <c r="E63" t="s">
        <v>15</v>
      </c>
      <c r="F63" t="s">
        <v>23</v>
      </c>
      <c r="G63">
        <f>INDEX(Question_Bank!$J$3:$J$14,MATCH(D63,Question_Bank!$A$3:$A$14,0))</f>
        <v>0</v>
      </c>
      <c r="H63">
        <f>IF(F63=G63,1,0)</f>
        <v>0</v>
      </c>
      <c r="I63">
        <f>H63*INDEX(Question_Bank!$M$3:$M$14,MATCH(D63,Question_Bank!$A$3:$A$14,0))</f>
        <v>0</v>
      </c>
      <c r="J63">
        <f>SUMIFS($I$3:$I$566,$A$3:$A$566,A63)</f>
        <v>0</v>
      </c>
      <c r="K63" s="5">
        <f>J63/SUM(Question_Bank!$M$3:$M$14)</f>
        <v>0</v>
      </c>
      <c r="L63" s="5">
        <f>SUMIFS($I$3:$I$566,$A$3:$A$566,A63,$E$3:$E$566,E63)/SUMIFS(Question_Bank!$M$3:$M$14,Question_Bank!$B$3:$B$14,E63)</f>
        <v>0</v>
      </c>
      <c r="M63" t="s">
        <v>144</v>
      </c>
    </row>
    <row r="64" spans="1:13">
      <c r="A64" t="s">
        <v>143</v>
      </c>
      <c r="B64" t="s">
        <v>132</v>
      </c>
      <c r="C64" t="s">
        <v>227</v>
      </c>
      <c r="D64" t="s">
        <v>26</v>
      </c>
      <c r="E64" t="s">
        <v>15</v>
      </c>
      <c r="F64" t="s">
        <v>34</v>
      </c>
      <c r="G64">
        <f>INDEX(Question_Bank!$J$3:$J$14,MATCH(D64,Question_Bank!$A$3:$A$14,0))</f>
        <v>0</v>
      </c>
      <c r="H64">
        <f>IF(F64=G64,1,0)</f>
        <v>0</v>
      </c>
      <c r="I64">
        <f>H64*INDEX(Question_Bank!$M$3:$M$14,MATCH(D64,Question_Bank!$A$3:$A$14,0))</f>
        <v>0</v>
      </c>
      <c r="J64">
        <f>SUMIFS($I$3:$I$566,$A$3:$A$566,A64)</f>
        <v>0</v>
      </c>
      <c r="K64" s="5">
        <f>J64/SUM(Question_Bank!$M$3:$M$14)</f>
        <v>0</v>
      </c>
      <c r="L64" s="5">
        <f>SUMIFS($I$3:$I$566,$A$3:$A$566,A64,$E$3:$E$566,E64)/SUMIFS(Question_Bank!$M$3:$M$14,Question_Bank!$B$3:$B$14,E64)</f>
        <v>0</v>
      </c>
      <c r="M64" t="s">
        <v>144</v>
      </c>
    </row>
    <row r="65" spans="1:13">
      <c r="A65" t="s">
        <v>143</v>
      </c>
      <c r="B65" t="s">
        <v>132</v>
      </c>
      <c r="C65" t="s">
        <v>227</v>
      </c>
      <c r="D65" t="s">
        <v>37</v>
      </c>
      <c r="E65" t="s">
        <v>15</v>
      </c>
      <c r="F65" t="s">
        <v>20</v>
      </c>
      <c r="G65">
        <f>INDEX(Question_Bank!$J$3:$J$14,MATCH(D65,Question_Bank!$A$3:$A$14,0))</f>
        <v>0</v>
      </c>
      <c r="H65">
        <f>IF(F65=G65,1,0)</f>
        <v>0</v>
      </c>
      <c r="I65">
        <f>H65*INDEX(Question_Bank!$M$3:$M$14,MATCH(D65,Question_Bank!$A$3:$A$14,0))</f>
        <v>0</v>
      </c>
      <c r="J65">
        <f>SUMIFS($I$3:$I$566,$A$3:$A$566,A65)</f>
        <v>0</v>
      </c>
      <c r="K65" s="5">
        <f>J65/SUM(Question_Bank!$M$3:$M$14)</f>
        <v>0</v>
      </c>
      <c r="L65" s="5">
        <f>SUMIFS($I$3:$I$566,$A$3:$A$566,A65,$E$3:$E$566,E65)/SUMIFS(Question_Bank!$M$3:$M$14,Question_Bank!$B$3:$B$14,E65)</f>
        <v>0</v>
      </c>
      <c r="M65" t="s">
        <v>144</v>
      </c>
    </row>
    <row r="66" spans="1:13">
      <c r="A66" t="s">
        <v>143</v>
      </c>
      <c r="B66" t="s">
        <v>132</v>
      </c>
      <c r="C66" t="s">
        <v>227</v>
      </c>
      <c r="D66" t="s">
        <v>45</v>
      </c>
      <c r="E66" t="s">
        <v>46</v>
      </c>
      <c r="F66" t="s">
        <v>31</v>
      </c>
      <c r="G66">
        <f>INDEX(Question_Bank!$J$3:$J$14,MATCH(D66,Question_Bank!$A$3:$A$14,0))</f>
        <v>0</v>
      </c>
      <c r="H66">
        <f>IF(F66=G66,1,0)</f>
        <v>0</v>
      </c>
      <c r="I66">
        <f>H66*INDEX(Question_Bank!$M$3:$M$14,MATCH(D66,Question_Bank!$A$3:$A$14,0))</f>
        <v>0</v>
      </c>
      <c r="J66">
        <f>SUMIFS($I$3:$I$566,$A$3:$A$566,A66)</f>
        <v>0</v>
      </c>
      <c r="K66" s="5">
        <f>J66/SUM(Question_Bank!$M$3:$M$14)</f>
        <v>0</v>
      </c>
      <c r="L66" s="5">
        <f>SUMIFS($I$3:$I$566,$A$3:$A$566,A66,$E$3:$E$566,E66)/SUMIFS(Question_Bank!$M$3:$M$14,Question_Bank!$B$3:$B$14,E66)</f>
        <v>0</v>
      </c>
      <c r="M66" t="s">
        <v>144</v>
      </c>
    </row>
    <row r="67" spans="1:13">
      <c r="A67" t="s">
        <v>143</v>
      </c>
      <c r="B67" t="s">
        <v>132</v>
      </c>
      <c r="C67" t="s">
        <v>227</v>
      </c>
      <c r="D67" t="s">
        <v>54</v>
      </c>
      <c r="E67" t="s">
        <v>46</v>
      </c>
      <c r="F67" t="s">
        <v>34</v>
      </c>
      <c r="G67">
        <f>INDEX(Question_Bank!$J$3:$J$14,MATCH(D67,Question_Bank!$A$3:$A$14,0))</f>
        <v>0</v>
      </c>
      <c r="H67">
        <f>IF(F67=G67,1,0)</f>
        <v>0</v>
      </c>
      <c r="I67">
        <f>H67*INDEX(Question_Bank!$M$3:$M$14,MATCH(D67,Question_Bank!$A$3:$A$14,0))</f>
        <v>0</v>
      </c>
      <c r="J67">
        <f>SUMIFS($I$3:$I$566,$A$3:$A$566,A67)</f>
        <v>0</v>
      </c>
      <c r="K67" s="5">
        <f>J67/SUM(Question_Bank!$M$3:$M$14)</f>
        <v>0</v>
      </c>
      <c r="L67" s="5">
        <f>SUMIFS($I$3:$I$566,$A$3:$A$566,A67,$E$3:$E$566,E67)/SUMIFS(Question_Bank!$M$3:$M$14,Question_Bank!$B$3:$B$14,E67)</f>
        <v>0</v>
      </c>
      <c r="M67" t="s">
        <v>144</v>
      </c>
    </row>
    <row r="68" spans="1:13">
      <c r="A68" t="s">
        <v>143</v>
      </c>
      <c r="B68" t="s">
        <v>132</v>
      </c>
      <c r="C68" t="s">
        <v>227</v>
      </c>
      <c r="D68" t="s">
        <v>62</v>
      </c>
      <c r="E68" t="s">
        <v>46</v>
      </c>
      <c r="F68" t="s">
        <v>34</v>
      </c>
      <c r="G68">
        <f>INDEX(Question_Bank!$J$3:$J$14,MATCH(D68,Question_Bank!$A$3:$A$14,0))</f>
        <v>0</v>
      </c>
      <c r="H68">
        <f>IF(F68=G68,1,0)</f>
        <v>0</v>
      </c>
      <c r="I68">
        <f>H68*INDEX(Question_Bank!$M$3:$M$14,MATCH(D68,Question_Bank!$A$3:$A$14,0))</f>
        <v>0</v>
      </c>
      <c r="J68">
        <f>SUMIFS($I$3:$I$566,$A$3:$A$566,A68)</f>
        <v>0</v>
      </c>
      <c r="K68" s="5">
        <f>J68/SUM(Question_Bank!$M$3:$M$14)</f>
        <v>0</v>
      </c>
      <c r="L68" s="5">
        <f>SUMIFS($I$3:$I$566,$A$3:$A$566,A68,$E$3:$E$566,E68)/SUMIFS(Question_Bank!$M$3:$M$14,Question_Bank!$B$3:$B$14,E68)</f>
        <v>0</v>
      </c>
      <c r="M68" t="s">
        <v>144</v>
      </c>
    </row>
    <row r="69" spans="1:13">
      <c r="A69" t="s">
        <v>143</v>
      </c>
      <c r="B69" t="s">
        <v>132</v>
      </c>
      <c r="C69" t="s">
        <v>227</v>
      </c>
      <c r="D69" t="s">
        <v>70</v>
      </c>
      <c r="E69" t="s">
        <v>71</v>
      </c>
      <c r="F69" t="s">
        <v>31</v>
      </c>
      <c r="G69">
        <f>INDEX(Question_Bank!$J$3:$J$14,MATCH(D69,Question_Bank!$A$3:$A$14,0))</f>
        <v>0</v>
      </c>
      <c r="H69">
        <f>IF(F69=G69,1,0)</f>
        <v>0</v>
      </c>
      <c r="I69">
        <f>H69*INDEX(Question_Bank!$M$3:$M$14,MATCH(D69,Question_Bank!$A$3:$A$14,0))</f>
        <v>0</v>
      </c>
      <c r="J69">
        <f>SUMIFS($I$3:$I$566,$A$3:$A$566,A69)</f>
        <v>0</v>
      </c>
      <c r="K69" s="5">
        <f>J69/SUM(Question_Bank!$M$3:$M$14)</f>
        <v>0</v>
      </c>
      <c r="L69" s="5">
        <f>SUMIFS($I$3:$I$566,$A$3:$A$566,A69,$E$3:$E$566,E69)/SUMIFS(Question_Bank!$M$3:$M$14,Question_Bank!$B$3:$B$14,E69)</f>
        <v>0</v>
      </c>
      <c r="M69" t="s">
        <v>144</v>
      </c>
    </row>
    <row r="70" spans="1:13">
      <c r="A70" t="s">
        <v>143</v>
      </c>
      <c r="B70" t="s">
        <v>132</v>
      </c>
      <c r="C70" t="s">
        <v>227</v>
      </c>
      <c r="D70" t="s">
        <v>79</v>
      </c>
      <c r="E70" t="s">
        <v>71</v>
      </c>
      <c r="F70" t="s">
        <v>31</v>
      </c>
      <c r="G70">
        <f>INDEX(Question_Bank!$J$3:$J$14,MATCH(D70,Question_Bank!$A$3:$A$14,0))</f>
        <v>0</v>
      </c>
      <c r="H70">
        <f>IF(F70=G70,1,0)</f>
        <v>0</v>
      </c>
      <c r="I70">
        <f>H70*INDEX(Question_Bank!$M$3:$M$14,MATCH(D70,Question_Bank!$A$3:$A$14,0))</f>
        <v>0</v>
      </c>
      <c r="J70">
        <f>SUMIFS($I$3:$I$566,$A$3:$A$566,A70)</f>
        <v>0</v>
      </c>
      <c r="K70" s="5">
        <f>J70/SUM(Question_Bank!$M$3:$M$14)</f>
        <v>0</v>
      </c>
      <c r="L70" s="5">
        <f>SUMIFS($I$3:$I$566,$A$3:$A$566,A70,$E$3:$E$566,E70)/SUMIFS(Question_Bank!$M$3:$M$14,Question_Bank!$B$3:$B$14,E70)</f>
        <v>0</v>
      </c>
      <c r="M70" t="s">
        <v>144</v>
      </c>
    </row>
    <row r="71" spans="1:13">
      <c r="A71" t="s">
        <v>143</v>
      </c>
      <c r="B71" t="s">
        <v>132</v>
      </c>
      <c r="C71" t="s">
        <v>227</v>
      </c>
      <c r="D71" t="s">
        <v>87</v>
      </c>
      <c r="E71" t="s">
        <v>71</v>
      </c>
      <c r="F71" t="s">
        <v>20</v>
      </c>
      <c r="G71">
        <f>INDEX(Question_Bank!$J$3:$J$14,MATCH(D71,Question_Bank!$A$3:$A$14,0))</f>
        <v>0</v>
      </c>
      <c r="H71">
        <f>IF(F71=G71,1,0)</f>
        <v>0</v>
      </c>
      <c r="I71">
        <f>H71*INDEX(Question_Bank!$M$3:$M$14,MATCH(D71,Question_Bank!$A$3:$A$14,0))</f>
        <v>0</v>
      </c>
      <c r="J71">
        <f>SUMIFS($I$3:$I$566,$A$3:$A$566,A71)</f>
        <v>0</v>
      </c>
      <c r="K71" s="5">
        <f>J71/SUM(Question_Bank!$M$3:$M$14)</f>
        <v>0</v>
      </c>
      <c r="L71" s="5">
        <f>SUMIFS($I$3:$I$566,$A$3:$A$566,A71,$E$3:$E$566,E71)/SUMIFS(Question_Bank!$M$3:$M$14,Question_Bank!$B$3:$B$14,E71)</f>
        <v>0</v>
      </c>
      <c r="M71" t="s">
        <v>144</v>
      </c>
    </row>
    <row r="72" spans="1:13">
      <c r="A72" t="s">
        <v>143</v>
      </c>
      <c r="B72" t="s">
        <v>132</v>
      </c>
      <c r="C72" t="s">
        <v>227</v>
      </c>
      <c r="D72" t="s">
        <v>95</v>
      </c>
      <c r="E72" t="s">
        <v>96</v>
      </c>
      <c r="F72" t="s">
        <v>34</v>
      </c>
      <c r="G72">
        <f>INDEX(Question_Bank!$J$3:$J$14,MATCH(D72,Question_Bank!$A$3:$A$14,0))</f>
        <v>0</v>
      </c>
      <c r="H72">
        <f>IF(F72=G72,1,0)</f>
        <v>0</v>
      </c>
      <c r="I72">
        <f>H72*INDEX(Question_Bank!$M$3:$M$14,MATCH(D72,Question_Bank!$A$3:$A$14,0))</f>
        <v>0</v>
      </c>
      <c r="J72">
        <f>SUMIFS($I$3:$I$566,$A$3:$A$566,A72)</f>
        <v>0</v>
      </c>
      <c r="K72" s="5">
        <f>J72/SUM(Question_Bank!$M$3:$M$14)</f>
        <v>0</v>
      </c>
      <c r="L72" s="5">
        <f>SUMIFS($I$3:$I$566,$A$3:$A$566,A72,$E$3:$E$566,E72)/SUMIFS(Question_Bank!$M$3:$M$14,Question_Bank!$B$3:$B$14,E72)</f>
        <v>0</v>
      </c>
      <c r="M72" t="s">
        <v>144</v>
      </c>
    </row>
    <row r="73" spans="1:13">
      <c r="A73" t="s">
        <v>143</v>
      </c>
      <c r="B73" t="s">
        <v>132</v>
      </c>
      <c r="C73" t="s">
        <v>227</v>
      </c>
      <c r="D73" t="s">
        <v>104</v>
      </c>
      <c r="E73" t="s">
        <v>96</v>
      </c>
      <c r="F73" t="s">
        <v>20</v>
      </c>
      <c r="G73">
        <f>INDEX(Question_Bank!$J$3:$J$14,MATCH(D73,Question_Bank!$A$3:$A$14,0))</f>
        <v>0</v>
      </c>
      <c r="H73">
        <f>IF(F73=G73,1,0)</f>
        <v>0</v>
      </c>
      <c r="I73">
        <f>H73*INDEX(Question_Bank!$M$3:$M$14,MATCH(D73,Question_Bank!$A$3:$A$14,0))</f>
        <v>0</v>
      </c>
      <c r="J73">
        <f>SUMIFS($I$3:$I$566,$A$3:$A$566,A73)</f>
        <v>0</v>
      </c>
      <c r="K73" s="5">
        <f>J73/SUM(Question_Bank!$M$3:$M$14)</f>
        <v>0</v>
      </c>
      <c r="L73" s="5">
        <f>SUMIFS($I$3:$I$566,$A$3:$A$566,A73,$E$3:$E$566,E73)/SUMIFS(Question_Bank!$M$3:$M$14,Question_Bank!$B$3:$B$14,E73)</f>
        <v>0</v>
      </c>
      <c r="M73" t="s">
        <v>144</v>
      </c>
    </row>
    <row r="74" spans="1:13">
      <c r="A74" t="s">
        <v>143</v>
      </c>
      <c r="B74" t="s">
        <v>132</v>
      </c>
      <c r="C74" t="s">
        <v>227</v>
      </c>
      <c r="D74" t="s">
        <v>112</v>
      </c>
      <c r="E74" t="s">
        <v>96</v>
      </c>
      <c r="F74" t="s">
        <v>31</v>
      </c>
      <c r="G74">
        <f>INDEX(Question_Bank!$J$3:$J$14,MATCH(D74,Question_Bank!$A$3:$A$14,0))</f>
        <v>0</v>
      </c>
      <c r="H74">
        <f>IF(F74=G74,1,0)</f>
        <v>0</v>
      </c>
      <c r="I74">
        <f>H74*INDEX(Question_Bank!$M$3:$M$14,MATCH(D74,Question_Bank!$A$3:$A$14,0))</f>
        <v>0</v>
      </c>
      <c r="J74">
        <f>SUMIFS($I$3:$I$566,$A$3:$A$566,A74)</f>
        <v>0</v>
      </c>
      <c r="K74" s="5">
        <f>J74/SUM(Question_Bank!$M$3:$M$14)</f>
        <v>0</v>
      </c>
      <c r="L74" s="5">
        <f>SUMIFS($I$3:$I$566,$A$3:$A$566,A74,$E$3:$E$566,E74)/SUMIFS(Question_Bank!$M$3:$M$14,Question_Bank!$B$3:$B$14,E74)</f>
        <v>0</v>
      </c>
      <c r="M74" t="s">
        <v>144</v>
      </c>
    </row>
    <row r="75" spans="1:13">
      <c r="A75" t="s">
        <v>145</v>
      </c>
      <c r="B75" t="s">
        <v>132</v>
      </c>
      <c r="C75" t="s">
        <v>227</v>
      </c>
      <c r="D75" t="s">
        <v>14</v>
      </c>
      <c r="E75" t="s">
        <v>15</v>
      </c>
      <c r="F75" t="s">
        <v>23</v>
      </c>
      <c r="G75">
        <f>INDEX(Question_Bank!$J$3:$J$14,MATCH(D75,Question_Bank!$A$3:$A$14,0))</f>
        <v>0</v>
      </c>
      <c r="H75">
        <f>IF(F75=G75,1,0)</f>
        <v>0</v>
      </c>
      <c r="I75">
        <f>H75*INDEX(Question_Bank!$M$3:$M$14,MATCH(D75,Question_Bank!$A$3:$A$14,0))</f>
        <v>0</v>
      </c>
      <c r="J75">
        <f>SUMIFS($I$3:$I$566,$A$3:$A$566,A75)</f>
        <v>0</v>
      </c>
      <c r="K75" s="5">
        <f>J75/SUM(Question_Bank!$M$3:$M$14)</f>
        <v>0</v>
      </c>
      <c r="L75" s="5">
        <f>SUMIFS($I$3:$I$566,$A$3:$A$566,A75,$E$3:$E$566,E75)/SUMIFS(Question_Bank!$M$3:$M$14,Question_Bank!$B$3:$B$14,E75)</f>
        <v>0</v>
      </c>
      <c r="M75" t="s">
        <v>146</v>
      </c>
    </row>
    <row r="76" spans="1:13">
      <c r="A76" t="s">
        <v>145</v>
      </c>
      <c r="B76" t="s">
        <v>132</v>
      </c>
      <c r="C76" t="s">
        <v>227</v>
      </c>
      <c r="D76" t="s">
        <v>26</v>
      </c>
      <c r="E76" t="s">
        <v>15</v>
      </c>
      <c r="F76" t="s">
        <v>31</v>
      </c>
      <c r="G76">
        <f>INDEX(Question_Bank!$J$3:$J$14,MATCH(D76,Question_Bank!$A$3:$A$14,0))</f>
        <v>0</v>
      </c>
      <c r="H76">
        <f>IF(F76=G76,1,0)</f>
        <v>0</v>
      </c>
      <c r="I76">
        <f>H76*INDEX(Question_Bank!$M$3:$M$14,MATCH(D76,Question_Bank!$A$3:$A$14,0))</f>
        <v>0</v>
      </c>
      <c r="J76">
        <f>SUMIFS($I$3:$I$566,$A$3:$A$566,A76)</f>
        <v>0</v>
      </c>
      <c r="K76" s="5">
        <f>J76/SUM(Question_Bank!$M$3:$M$14)</f>
        <v>0</v>
      </c>
      <c r="L76" s="5">
        <f>SUMIFS($I$3:$I$566,$A$3:$A$566,A76,$E$3:$E$566,E76)/SUMIFS(Question_Bank!$M$3:$M$14,Question_Bank!$B$3:$B$14,E76)</f>
        <v>0</v>
      </c>
      <c r="M76" t="s">
        <v>146</v>
      </c>
    </row>
    <row r="77" spans="1:13">
      <c r="A77" t="s">
        <v>145</v>
      </c>
      <c r="B77" t="s">
        <v>132</v>
      </c>
      <c r="C77" t="s">
        <v>227</v>
      </c>
      <c r="D77" t="s">
        <v>37</v>
      </c>
      <c r="E77" t="s">
        <v>15</v>
      </c>
      <c r="F77" t="s">
        <v>31</v>
      </c>
      <c r="G77">
        <f>INDEX(Question_Bank!$J$3:$J$14,MATCH(D77,Question_Bank!$A$3:$A$14,0))</f>
        <v>0</v>
      </c>
      <c r="H77">
        <f>IF(F77=G77,1,0)</f>
        <v>0</v>
      </c>
      <c r="I77">
        <f>H77*INDEX(Question_Bank!$M$3:$M$14,MATCH(D77,Question_Bank!$A$3:$A$14,0))</f>
        <v>0</v>
      </c>
      <c r="J77">
        <f>SUMIFS($I$3:$I$566,$A$3:$A$566,A77)</f>
        <v>0</v>
      </c>
      <c r="K77" s="5">
        <f>J77/SUM(Question_Bank!$M$3:$M$14)</f>
        <v>0</v>
      </c>
      <c r="L77" s="5">
        <f>SUMIFS($I$3:$I$566,$A$3:$A$566,A77,$E$3:$E$566,E77)/SUMIFS(Question_Bank!$M$3:$M$14,Question_Bank!$B$3:$B$14,E77)</f>
        <v>0</v>
      </c>
      <c r="M77" t="s">
        <v>146</v>
      </c>
    </row>
    <row r="78" spans="1:13">
      <c r="A78" t="s">
        <v>145</v>
      </c>
      <c r="B78" t="s">
        <v>132</v>
      </c>
      <c r="C78" t="s">
        <v>227</v>
      </c>
      <c r="D78" t="s">
        <v>45</v>
      </c>
      <c r="E78" t="s">
        <v>46</v>
      </c>
      <c r="F78" t="s">
        <v>34</v>
      </c>
      <c r="G78">
        <f>INDEX(Question_Bank!$J$3:$J$14,MATCH(D78,Question_Bank!$A$3:$A$14,0))</f>
        <v>0</v>
      </c>
      <c r="H78">
        <f>IF(F78=G78,1,0)</f>
        <v>0</v>
      </c>
      <c r="I78">
        <f>H78*INDEX(Question_Bank!$M$3:$M$14,MATCH(D78,Question_Bank!$A$3:$A$14,0))</f>
        <v>0</v>
      </c>
      <c r="J78">
        <f>SUMIFS($I$3:$I$566,$A$3:$A$566,A78)</f>
        <v>0</v>
      </c>
      <c r="K78" s="5">
        <f>J78/SUM(Question_Bank!$M$3:$M$14)</f>
        <v>0</v>
      </c>
      <c r="L78" s="5">
        <f>SUMIFS($I$3:$I$566,$A$3:$A$566,A78,$E$3:$E$566,E78)/SUMIFS(Question_Bank!$M$3:$M$14,Question_Bank!$B$3:$B$14,E78)</f>
        <v>0</v>
      </c>
      <c r="M78" t="s">
        <v>146</v>
      </c>
    </row>
    <row r="79" spans="1:13">
      <c r="A79" t="s">
        <v>145</v>
      </c>
      <c r="B79" t="s">
        <v>132</v>
      </c>
      <c r="C79" t="s">
        <v>227</v>
      </c>
      <c r="D79" t="s">
        <v>54</v>
      </c>
      <c r="E79" t="s">
        <v>46</v>
      </c>
      <c r="F79" t="s">
        <v>23</v>
      </c>
      <c r="G79">
        <f>INDEX(Question_Bank!$J$3:$J$14,MATCH(D79,Question_Bank!$A$3:$A$14,0))</f>
        <v>0</v>
      </c>
      <c r="H79">
        <f>IF(F79=G79,1,0)</f>
        <v>0</v>
      </c>
      <c r="I79">
        <f>H79*INDEX(Question_Bank!$M$3:$M$14,MATCH(D79,Question_Bank!$A$3:$A$14,0))</f>
        <v>0</v>
      </c>
      <c r="J79">
        <f>SUMIFS($I$3:$I$566,$A$3:$A$566,A79)</f>
        <v>0</v>
      </c>
      <c r="K79" s="5">
        <f>J79/SUM(Question_Bank!$M$3:$M$14)</f>
        <v>0</v>
      </c>
      <c r="L79" s="5">
        <f>SUMIFS($I$3:$I$566,$A$3:$A$566,A79,$E$3:$E$566,E79)/SUMIFS(Question_Bank!$M$3:$M$14,Question_Bank!$B$3:$B$14,E79)</f>
        <v>0</v>
      </c>
      <c r="M79" t="s">
        <v>146</v>
      </c>
    </row>
    <row r="80" spans="1:13">
      <c r="A80" t="s">
        <v>145</v>
      </c>
      <c r="B80" t="s">
        <v>132</v>
      </c>
      <c r="C80" t="s">
        <v>227</v>
      </c>
      <c r="D80" t="s">
        <v>62</v>
      </c>
      <c r="E80" t="s">
        <v>46</v>
      </c>
      <c r="F80" t="s">
        <v>20</v>
      </c>
      <c r="G80">
        <f>INDEX(Question_Bank!$J$3:$J$14,MATCH(D80,Question_Bank!$A$3:$A$14,0))</f>
        <v>0</v>
      </c>
      <c r="H80">
        <f>IF(F80=G80,1,0)</f>
        <v>0</v>
      </c>
      <c r="I80">
        <f>H80*INDEX(Question_Bank!$M$3:$M$14,MATCH(D80,Question_Bank!$A$3:$A$14,0))</f>
        <v>0</v>
      </c>
      <c r="J80">
        <f>SUMIFS($I$3:$I$566,$A$3:$A$566,A80)</f>
        <v>0</v>
      </c>
      <c r="K80" s="5">
        <f>J80/SUM(Question_Bank!$M$3:$M$14)</f>
        <v>0</v>
      </c>
      <c r="L80" s="5">
        <f>SUMIFS($I$3:$I$566,$A$3:$A$566,A80,$E$3:$E$566,E80)/SUMIFS(Question_Bank!$M$3:$M$14,Question_Bank!$B$3:$B$14,E80)</f>
        <v>0</v>
      </c>
      <c r="M80" t="s">
        <v>146</v>
      </c>
    </row>
    <row r="81" spans="1:13">
      <c r="A81" t="s">
        <v>145</v>
      </c>
      <c r="B81" t="s">
        <v>132</v>
      </c>
      <c r="C81" t="s">
        <v>227</v>
      </c>
      <c r="D81" t="s">
        <v>70</v>
      </c>
      <c r="E81" t="s">
        <v>71</v>
      </c>
      <c r="F81" t="s">
        <v>31</v>
      </c>
      <c r="G81">
        <f>INDEX(Question_Bank!$J$3:$J$14,MATCH(D81,Question_Bank!$A$3:$A$14,0))</f>
        <v>0</v>
      </c>
      <c r="H81">
        <f>IF(F81=G81,1,0)</f>
        <v>0</v>
      </c>
      <c r="I81">
        <f>H81*INDEX(Question_Bank!$M$3:$M$14,MATCH(D81,Question_Bank!$A$3:$A$14,0))</f>
        <v>0</v>
      </c>
      <c r="J81">
        <f>SUMIFS($I$3:$I$566,$A$3:$A$566,A81)</f>
        <v>0</v>
      </c>
      <c r="K81" s="5">
        <f>J81/SUM(Question_Bank!$M$3:$M$14)</f>
        <v>0</v>
      </c>
      <c r="L81" s="5">
        <f>SUMIFS($I$3:$I$566,$A$3:$A$566,A81,$E$3:$E$566,E81)/SUMIFS(Question_Bank!$M$3:$M$14,Question_Bank!$B$3:$B$14,E81)</f>
        <v>0</v>
      </c>
      <c r="M81" t="s">
        <v>146</v>
      </c>
    </row>
    <row r="82" spans="1:13">
      <c r="A82" t="s">
        <v>145</v>
      </c>
      <c r="B82" t="s">
        <v>132</v>
      </c>
      <c r="C82" t="s">
        <v>227</v>
      </c>
      <c r="D82" t="s">
        <v>79</v>
      </c>
      <c r="E82" t="s">
        <v>71</v>
      </c>
      <c r="F82" t="s">
        <v>31</v>
      </c>
      <c r="G82">
        <f>INDEX(Question_Bank!$J$3:$J$14,MATCH(D82,Question_Bank!$A$3:$A$14,0))</f>
        <v>0</v>
      </c>
      <c r="H82">
        <f>IF(F82=G82,1,0)</f>
        <v>0</v>
      </c>
      <c r="I82">
        <f>H82*INDEX(Question_Bank!$M$3:$M$14,MATCH(D82,Question_Bank!$A$3:$A$14,0))</f>
        <v>0</v>
      </c>
      <c r="J82">
        <f>SUMIFS($I$3:$I$566,$A$3:$A$566,A82)</f>
        <v>0</v>
      </c>
      <c r="K82" s="5">
        <f>J82/SUM(Question_Bank!$M$3:$M$14)</f>
        <v>0</v>
      </c>
      <c r="L82" s="5">
        <f>SUMIFS($I$3:$I$566,$A$3:$A$566,A82,$E$3:$E$566,E82)/SUMIFS(Question_Bank!$M$3:$M$14,Question_Bank!$B$3:$B$14,E82)</f>
        <v>0</v>
      </c>
      <c r="M82" t="s">
        <v>146</v>
      </c>
    </row>
    <row r="83" spans="1:13">
      <c r="A83" t="s">
        <v>145</v>
      </c>
      <c r="B83" t="s">
        <v>132</v>
      </c>
      <c r="C83" t="s">
        <v>227</v>
      </c>
      <c r="D83" t="s">
        <v>87</v>
      </c>
      <c r="E83" t="s">
        <v>71</v>
      </c>
      <c r="F83" t="s">
        <v>34</v>
      </c>
      <c r="G83">
        <f>INDEX(Question_Bank!$J$3:$J$14,MATCH(D83,Question_Bank!$A$3:$A$14,0))</f>
        <v>0</v>
      </c>
      <c r="H83">
        <f>IF(F83=G83,1,0)</f>
        <v>0</v>
      </c>
      <c r="I83">
        <f>H83*INDEX(Question_Bank!$M$3:$M$14,MATCH(D83,Question_Bank!$A$3:$A$14,0))</f>
        <v>0</v>
      </c>
      <c r="J83">
        <f>SUMIFS($I$3:$I$566,$A$3:$A$566,A83)</f>
        <v>0</v>
      </c>
      <c r="K83" s="5">
        <f>J83/SUM(Question_Bank!$M$3:$M$14)</f>
        <v>0</v>
      </c>
      <c r="L83" s="5">
        <f>SUMIFS($I$3:$I$566,$A$3:$A$566,A83,$E$3:$E$566,E83)/SUMIFS(Question_Bank!$M$3:$M$14,Question_Bank!$B$3:$B$14,E83)</f>
        <v>0</v>
      </c>
      <c r="M83" t="s">
        <v>146</v>
      </c>
    </row>
    <row r="84" spans="1:13">
      <c r="A84" t="s">
        <v>145</v>
      </c>
      <c r="B84" t="s">
        <v>132</v>
      </c>
      <c r="C84" t="s">
        <v>227</v>
      </c>
      <c r="D84" t="s">
        <v>95</v>
      </c>
      <c r="E84" t="s">
        <v>96</v>
      </c>
      <c r="F84" t="s">
        <v>31</v>
      </c>
      <c r="G84">
        <f>INDEX(Question_Bank!$J$3:$J$14,MATCH(D84,Question_Bank!$A$3:$A$14,0))</f>
        <v>0</v>
      </c>
      <c r="H84">
        <f>IF(F84=G84,1,0)</f>
        <v>0</v>
      </c>
      <c r="I84">
        <f>H84*INDEX(Question_Bank!$M$3:$M$14,MATCH(D84,Question_Bank!$A$3:$A$14,0))</f>
        <v>0</v>
      </c>
      <c r="J84">
        <f>SUMIFS($I$3:$I$566,$A$3:$A$566,A84)</f>
        <v>0</v>
      </c>
      <c r="K84" s="5">
        <f>J84/SUM(Question_Bank!$M$3:$M$14)</f>
        <v>0</v>
      </c>
      <c r="L84" s="5">
        <f>SUMIFS($I$3:$I$566,$A$3:$A$566,A84,$E$3:$E$566,E84)/SUMIFS(Question_Bank!$M$3:$M$14,Question_Bank!$B$3:$B$14,E84)</f>
        <v>0</v>
      </c>
      <c r="M84" t="s">
        <v>146</v>
      </c>
    </row>
    <row r="85" spans="1:13">
      <c r="A85" t="s">
        <v>145</v>
      </c>
      <c r="B85" t="s">
        <v>132</v>
      </c>
      <c r="C85" t="s">
        <v>227</v>
      </c>
      <c r="D85" t="s">
        <v>104</v>
      </c>
      <c r="E85" t="s">
        <v>96</v>
      </c>
      <c r="F85" t="s">
        <v>20</v>
      </c>
      <c r="G85">
        <f>INDEX(Question_Bank!$J$3:$J$14,MATCH(D85,Question_Bank!$A$3:$A$14,0))</f>
        <v>0</v>
      </c>
      <c r="H85">
        <f>IF(F85=G85,1,0)</f>
        <v>0</v>
      </c>
      <c r="I85">
        <f>H85*INDEX(Question_Bank!$M$3:$M$14,MATCH(D85,Question_Bank!$A$3:$A$14,0))</f>
        <v>0</v>
      </c>
      <c r="J85">
        <f>SUMIFS($I$3:$I$566,$A$3:$A$566,A85)</f>
        <v>0</v>
      </c>
      <c r="K85" s="5">
        <f>J85/SUM(Question_Bank!$M$3:$M$14)</f>
        <v>0</v>
      </c>
      <c r="L85" s="5">
        <f>SUMIFS($I$3:$I$566,$A$3:$A$566,A85,$E$3:$E$566,E85)/SUMIFS(Question_Bank!$M$3:$M$14,Question_Bank!$B$3:$B$14,E85)</f>
        <v>0</v>
      </c>
      <c r="M85" t="s">
        <v>146</v>
      </c>
    </row>
    <row r="86" spans="1:13">
      <c r="A86" t="s">
        <v>145</v>
      </c>
      <c r="B86" t="s">
        <v>132</v>
      </c>
      <c r="C86" t="s">
        <v>227</v>
      </c>
      <c r="D86" t="s">
        <v>112</v>
      </c>
      <c r="E86" t="s">
        <v>96</v>
      </c>
      <c r="F86" t="s">
        <v>20</v>
      </c>
      <c r="G86">
        <f>INDEX(Question_Bank!$J$3:$J$14,MATCH(D86,Question_Bank!$A$3:$A$14,0))</f>
        <v>0</v>
      </c>
      <c r="H86">
        <f>IF(F86=G86,1,0)</f>
        <v>0</v>
      </c>
      <c r="I86">
        <f>H86*INDEX(Question_Bank!$M$3:$M$14,MATCH(D86,Question_Bank!$A$3:$A$14,0))</f>
        <v>0</v>
      </c>
      <c r="J86">
        <f>SUMIFS($I$3:$I$566,$A$3:$A$566,A86)</f>
        <v>0</v>
      </c>
      <c r="K86" s="5">
        <f>J86/SUM(Question_Bank!$M$3:$M$14)</f>
        <v>0</v>
      </c>
      <c r="L86" s="5">
        <f>SUMIFS($I$3:$I$566,$A$3:$A$566,A86,$E$3:$E$566,E86)/SUMIFS(Question_Bank!$M$3:$M$14,Question_Bank!$B$3:$B$14,E86)</f>
        <v>0</v>
      </c>
      <c r="M86" t="s">
        <v>146</v>
      </c>
    </row>
    <row r="87" spans="1:13">
      <c r="A87" t="s">
        <v>147</v>
      </c>
      <c r="B87" t="s">
        <v>132</v>
      </c>
      <c r="C87" t="s">
        <v>227</v>
      </c>
      <c r="D87" t="s">
        <v>14</v>
      </c>
      <c r="E87" t="s">
        <v>15</v>
      </c>
      <c r="F87" t="s">
        <v>23</v>
      </c>
      <c r="G87">
        <f>INDEX(Question_Bank!$J$3:$J$14,MATCH(D87,Question_Bank!$A$3:$A$14,0))</f>
        <v>0</v>
      </c>
      <c r="H87">
        <f>IF(F87=G87,1,0)</f>
        <v>0</v>
      </c>
      <c r="I87">
        <f>H87*INDEX(Question_Bank!$M$3:$M$14,MATCH(D87,Question_Bank!$A$3:$A$14,0))</f>
        <v>0</v>
      </c>
      <c r="J87">
        <f>SUMIFS($I$3:$I$566,$A$3:$A$566,A87)</f>
        <v>0</v>
      </c>
      <c r="K87" s="5">
        <f>J87/SUM(Question_Bank!$M$3:$M$14)</f>
        <v>0</v>
      </c>
      <c r="L87" s="5">
        <f>SUMIFS($I$3:$I$566,$A$3:$A$566,A87,$E$3:$E$566,E87)/SUMIFS(Question_Bank!$M$3:$M$14,Question_Bank!$B$3:$B$14,E87)</f>
        <v>0</v>
      </c>
      <c r="M87" t="s">
        <v>148</v>
      </c>
    </row>
    <row r="88" spans="1:13">
      <c r="A88" t="s">
        <v>147</v>
      </c>
      <c r="B88" t="s">
        <v>132</v>
      </c>
      <c r="C88" t="s">
        <v>227</v>
      </c>
      <c r="D88" t="s">
        <v>26</v>
      </c>
      <c r="E88" t="s">
        <v>15</v>
      </c>
      <c r="F88" t="s">
        <v>34</v>
      </c>
      <c r="G88">
        <f>INDEX(Question_Bank!$J$3:$J$14,MATCH(D88,Question_Bank!$A$3:$A$14,0))</f>
        <v>0</v>
      </c>
      <c r="H88">
        <f>IF(F88=G88,1,0)</f>
        <v>0</v>
      </c>
      <c r="I88">
        <f>H88*INDEX(Question_Bank!$M$3:$M$14,MATCH(D88,Question_Bank!$A$3:$A$14,0))</f>
        <v>0</v>
      </c>
      <c r="J88">
        <f>SUMIFS($I$3:$I$566,$A$3:$A$566,A88)</f>
        <v>0</v>
      </c>
      <c r="K88" s="5">
        <f>J88/SUM(Question_Bank!$M$3:$M$14)</f>
        <v>0</v>
      </c>
      <c r="L88" s="5">
        <f>SUMIFS($I$3:$I$566,$A$3:$A$566,A88,$E$3:$E$566,E88)/SUMIFS(Question_Bank!$M$3:$M$14,Question_Bank!$B$3:$B$14,E88)</f>
        <v>0</v>
      </c>
      <c r="M88" t="s">
        <v>148</v>
      </c>
    </row>
    <row r="89" spans="1:13">
      <c r="A89" t="s">
        <v>147</v>
      </c>
      <c r="B89" t="s">
        <v>132</v>
      </c>
      <c r="C89" t="s">
        <v>227</v>
      </c>
      <c r="D89" t="s">
        <v>37</v>
      </c>
      <c r="E89" t="s">
        <v>15</v>
      </c>
      <c r="F89" t="s">
        <v>31</v>
      </c>
      <c r="G89">
        <f>INDEX(Question_Bank!$J$3:$J$14,MATCH(D89,Question_Bank!$A$3:$A$14,0))</f>
        <v>0</v>
      </c>
      <c r="H89">
        <f>IF(F89=G89,1,0)</f>
        <v>0</v>
      </c>
      <c r="I89">
        <f>H89*INDEX(Question_Bank!$M$3:$M$14,MATCH(D89,Question_Bank!$A$3:$A$14,0))</f>
        <v>0</v>
      </c>
      <c r="J89">
        <f>SUMIFS($I$3:$I$566,$A$3:$A$566,A89)</f>
        <v>0</v>
      </c>
      <c r="K89" s="5">
        <f>J89/SUM(Question_Bank!$M$3:$M$14)</f>
        <v>0</v>
      </c>
      <c r="L89" s="5">
        <f>SUMIFS($I$3:$I$566,$A$3:$A$566,A89,$E$3:$E$566,E89)/SUMIFS(Question_Bank!$M$3:$M$14,Question_Bank!$B$3:$B$14,E89)</f>
        <v>0</v>
      </c>
      <c r="M89" t="s">
        <v>148</v>
      </c>
    </row>
    <row r="90" spans="1:13">
      <c r="A90" t="s">
        <v>147</v>
      </c>
      <c r="B90" t="s">
        <v>132</v>
      </c>
      <c r="C90" t="s">
        <v>227</v>
      </c>
      <c r="D90" t="s">
        <v>45</v>
      </c>
      <c r="E90" t="s">
        <v>46</v>
      </c>
      <c r="F90" t="s">
        <v>31</v>
      </c>
      <c r="G90">
        <f>INDEX(Question_Bank!$J$3:$J$14,MATCH(D90,Question_Bank!$A$3:$A$14,0))</f>
        <v>0</v>
      </c>
      <c r="H90">
        <f>IF(F90=G90,1,0)</f>
        <v>0</v>
      </c>
      <c r="I90">
        <f>H90*INDEX(Question_Bank!$M$3:$M$14,MATCH(D90,Question_Bank!$A$3:$A$14,0))</f>
        <v>0</v>
      </c>
      <c r="J90">
        <f>SUMIFS($I$3:$I$566,$A$3:$A$566,A90)</f>
        <v>0</v>
      </c>
      <c r="K90" s="5">
        <f>J90/SUM(Question_Bank!$M$3:$M$14)</f>
        <v>0</v>
      </c>
      <c r="L90" s="5">
        <f>SUMIFS($I$3:$I$566,$A$3:$A$566,A90,$E$3:$E$566,E90)/SUMIFS(Question_Bank!$M$3:$M$14,Question_Bank!$B$3:$B$14,E90)</f>
        <v>0</v>
      </c>
      <c r="M90" t="s">
        <v>148</v>
      </c>
    </row>
    <row r="91" spans="1:13">
      <c r="A91" t="s">
        <v>147</v>
      </c>
      <c r="B91" t="s">
        <v>132</v>
      </c>
      <c r="C91" t="s">
        <v>227</v>
      </c>
      <c r="D91" t="s">
        <v>54</v>
      </c>
      <c r="E91" t="s">
        <v>46</v>
      </c>
      <c r="F91" t="s">
        <v>23</v>
      </c>
      <c r="G91">
        <f>INDEX(Question_Bank!$J$3:$J$14,MATCH(D91,Question_Bank!$A$3:$A$14,0))</f>
        <v>0</v>
      </c>
      <c r="H91">
        <f>IF(F91=G91,1,0)</f>
        <v>0</v>
      </c>
      <c r="I91">
        <f>H91*INDEX(Question_Bank!$M$3:$M$14,MATCH(D91,Question_Bank!$A$3:$A$14,0))</f>
        <v>0</v>
      </c>
      <c r="J91">
        <f>SUMIFS($I$3:$I$566,$A$3:$A$566,A91)</f>
        <v>0</v>
      </c>
      <c r="K91" s="5">
        <f>J91/SUM(Question_Bank!$M$3:$M$14)</f>
        <v>0</v>
      </c>
      <c r="L91" s="5">
        <f>SUMIFS($I$3:$I$566,$A$3:$A$566,A91,$E$3:$E$566,E91)/SUMIFS(Question_Bank!$M$3:$M$14,Question_Bank!$B$3:$B$14,E91)</f>
        <v>0</v>
      </c>
      <c r="M91" t="s">
        <v>148</v>
      </c>
    </row>
    <row r="92" spans="1:13">
      <c r="A92" t="s">
        <v>147</v>
      </c>
      <c r="B92" t="s">
        <v>132</v>
      </c>
      <c r="C92" t="s">
        <v>227</v>
      </c>
      <c r="D92" t="s">
        <v>62</v>
      </c>
      <c r="E92" t="s">
        <v>46</v>
      </c>
      <c r="F92" t="s">
        <v>34</v>
      </c>
      <c r="G92">
        <f>INDEX(Question_Bank!$J$3:$J$14,MATCH(D92,Question_Bank!$A$3:$A$14,0))</f>
        <v>0</v>
      </c>
      <c r="H92">
        <f>IF(F92=G92,1,0)</f>
        <v>0</v>
      </c>
      <c r="I92">
        <f>H92*INDEX(Question_Bank!$M$3:$M$14,MATCH(D92,Question_Bank!$A$3:$A$14,0))</f>
        <v>0</v>
      </c>
      <c r="J92">
        <f>SUMIFS($I$3:$I$566,$A$3:$A$566,A92)</f>
        <v>0</v>
      </c>
      <c r="K92" s="5">
        <f>J92/SUM(Question_Bank!$M$3:$M$14)</f>
        <v>0</v>
      </c>
      <c r="L92" s="5">
        <f>SUMIFS($I$3:$I$566,$A$3:$A$566,A92,$E$3:$E$566,E92)/SUMIFS(Question_Bank!$M$3:$M$14,Question_Bank!$B$3:$B$14,E92)</f>
        <v>0</v>
      </c>
      <c r="M92" t="s">
        <v>148</v>
      </c>
    </row>
    <row r="93" spans="1:13">
      <c r="A93" t="s">
        <v>147</v>
      </c>
      <c r="B93" t="s">
        <v>132</v>
      </c>
      <c r="C93" t="s">
        <v>227</v>
      </c>
      <c r="D93" t="s">
        <v>70</v>
      </c>
      <c r="E93" t="s">
        <v>71</v>
      </c>
      <c r="F93" t="s">
        <v>20</v>
      </c>
      <c r="G93">
        <f>INDEX(Question_Bank!$J$3:$J$14,MATCH(D93,Question_Bank!$A$3:$A$14,0))</f>
        <v>0</v>
      </c>
      <c r="H93">
        <f>IF(F93=G93,1,0)</f>
        <v>0</v>
      </c>
      <c r="I93">
        <f>H93*INDEX(Question_Bank!$M$3:$M$14,MATCH(D93,Question_Bank!$A$3:$A$14,0))</f>
        <v>0</v>
      </c>
      <c r="J93">
        <f>SUMIFS($I$3:$I$566,$A$3:$A$566,A93)</f>
        <v>0</v>
      </c>
      <c r="K93" s="5">
        <f>J93/SUM(Question_Bank!$M$3:$M$14)</f>
        <v>0</v>
      </c>
      <c r="L93" s="5">
        <f>SUMIFS($I$3:$I$566,$A$3:$A$566,A93,$E$3:$E$566,E93)/SUMIFS(Question_Bank!$M$3:$M$14,Question_Bank!$B$3:$B$14,E93)</f>
        <v>0</v>
      </c>
      <c r="M93" t="s">
        <v>148</v>
      </c>
    </row>
    <row r="94" spans="1:13">
      <c r="A94" t="s">
        <v>147</v>
      </c>
      <c r="B94" t="s">
        <v>132</v>
      </c>
      <c r="C94" t="s">
        <v>227</v>
      </c>
      <c r="D94" t="s">
        <v>79</v>
      </c>
      <c r="E94" t="s">
        <v>71</v>
      </c>
      <c r="F94" t="s">
        <v>31</v>
      </c>
      <c r="G94">
        <f>INDEX(Question_Bank!$J$3:$J$14,MATCH(D94,Question_Bank!$A$3:$A$14,0))</f>
        <v>0</v>
      </c>
      <c r="H94">
        <f>IF(F94=G94,1,0)</f>
        <v>0</v>
      </c>
      <c r="I94">
        <f>H94*INDEX(Question_Bank!$M$3:$M$14,MATCH(D94,Question_Bank!$A$3:$A$14,0))</f>
        <v>0</v>
      </c>
      <c r="J94">
        <f>SUMIFS($I$3:$I$566,$A$3:$A$566,A94)</f>
        <v>0</v>
      </c>
      <c r="K94" s="5">
        <f>J94/SUM(Question_Bank!$M$3:$M$14)</f>
        <v>0</v>
      </c>
      <c r="L94" s="5">
        <f>SUMIFS($I$3:$I$566,$A$3:$A$566,A94,$E$3:$E$566,E94)/SUMIFS(Question_Bank!$M$3:$M$14,Question_Bank!$B$3:$B$14,E94)</f>
        <v>0</v>
      </c>
      <c r="M94" t="s">
        <v>148</v>
      </c>
    </row>
    <row r="95" spans="1:13">
      <c r="A95" t="s">
        <v>147</v>
      </c>
      <c r="B95" t="s">
        <v>132</v>
      </c>
      <c r="C95" t="s">
        <v>227</v>
      </c>
      <c r="D95" t="s">
        <v>87</v>
      </c>
      <c r="E95" t="s">
        <v>71</v>
      </c>
      <c r="F95" t="s">
        <v>20</v>
      </c>
      <c r="G95">
        <f>INDEX(Question_Bank!$J$3:$J$14,MATCH(D95,Question_Bank!$A$3:$A$14,0))</f>
        <v>0</v>
      </c>
      <c r="H95">
        <f>IF(F95=G95,1,0)</f>
        <v>0</v>
      </c>
      <c r="I95">
        <f>H95*INDEX(Question_Bank!$M$3:$M$14,MATCH(D95,Question_Bank!$A$3:$A$14,0))</f>
        <v>0</v>
      </c>
      <c r="J95">
        <f>SUMIFS($I$3:$I$566,$A$3:$A$566,A95)</f>
        <v>0</v>
      </c>
      <c r="K95" s="5">
        <f>J95/SUM(Question_Bank!$M$3:$M$14)</f>
        <v>0</v>
      </c>
      <c r="L95" s="5">
        <f>SUMIFS($I$3:$I$566,$A$3:$A$566,A95,$E$3:$E$566,E95)/SUMIFS(Question_Bank!$M$3:$M$14,Question_Bank!$B$3:$B$14,E95)</f>
        <v>0</v>
      </c>
      <c r="M95" t="s">
        <v>148</v>
      </c>
    </row>
    <row r="96" spans="1:13">
      <c r="A96" t="s">
        <v>147</v>
      </c>
      <c r="B96" t="s">
        <v>132</v>
      </c>
      <c r="C96" t="s">
        <v>227</v>
      </c>
      <c r="D96" t="s">
        <v>95</v>
      </c>
      <c r="E96" t="s">
        <v>96</v>
      </c>
      <c r="F96" t="s">
        <v>31</v>
      </c>
      <c r="G96">
        <f>INDEX(Question_Bank!$J$3:$J$14,MATCH(D96,Question_Bank!$A$3:$A$14,0))</f>
        <v>0</v>
      </c>
      <c r="H96">
        <f>IF(F96=G96,1,0)</f>
        <v>0</v>
      </c>
      <c r="I96">
        <f>H96*INDEX(Question_Bank!$M$3:$M$14,MATCH(D96,Question_Bank!$A$3:$A$14,0))</f>
        <v>0</v>
      </c>
      <c r="J96">
        <f>SUMIFS($I$3:$I$566,$A$3:$A$566,A96)</f>
        <v>0</v>
      </c>
      <c r="K96" s="5">
        <f>J96/SUM(Question_Bank!$M$3:$M$14)</f>
        <v>0</v>
      </c>
      <c r="L96" s="5">
        <f>SUMIFS($I$3:$I$566,$A$3:$A$566,A96,$E$3:$E$566,E96)/SUMIFS(Question_Bank!$M$3:$M$14,Question_Bank!$B$3:$B$14,E96)</f>
        <v>0</v>
      </c>
      <c r="M96" t="s">
        <v>148</v>
      </c>
    </row>
    <row r="97" spans="1:13">
      <c r="A97" t="s">
        <v>147</v>
      </c>
      <c r="B97" t="s">
        <v>132</v>
      </c>
      <c r="C97" t="s">
        <v>227</v>
      </c>
      <c r="D97" t="s">
        <v>104</v>
      </c>
      <c r="E97" t="s">
        <v>96</v>
      </c>
      <c r="F97" t="s">
        <v>34</v>
      </c>
      <c r="G97">
        <f>INDEX(Question_Bank!$J$3:$J$14,MATCH(D97,Question_Bank!$A$3:$A$14,0))</f>
        <v>0</v>
      </c>
      <c r="H97">
        <f>IF(F97=G97,1,0)</f>
        <v>0</v>
      </c>
      <c r="I97">
        <f>H97*INDEX(Question_Bank!$M$3:$M$14,MATCH(D97,Question_Bank!$A$3:$A$14,0))</f>
        <v>0</v>
      </c>
      <c r="J97">
        <f>SUMIFS($I$3:$I$566,$A$3:$A$566,A97)</f>
        <v>0</v>
      </c>
      <c r="K97" s="5">
        <f>J97/SUM(Question_Bank!$M$3:$M$14)</f>
        <v>0</v>
      </c>
      <c r="L97" s="5">
        <f>SUMIFS($I$3:$I$566,$A$3:$A$566,A97,$E$3:$E$566,E97)/SUMIFS(Question_Bank!$M$3:$M$14,Question_Bank!$B$3:$B$14,E97)</f>
        <v>0</v>
      </c>
      <c r="M97" t="s">
        <v>148</v>
      </c>
    </row>
    <row r="98" spans="1:13">
      <c r="A98" t="s">
        <v>147</v>
      </c>
      <c r="B98" t="s">
        <v>132</v>
      </c>
      <c r="C98" t="s">
        <v>227</v>
      </c>
      <c r="D98" t="s">
        <v>112</v>
      </c>
      <c r="E98" t="s">
        <v>96</v>
      </c>
      <c r="F98" t="s">
        <v>31</v>
      </c>
      <c r="G98">
        <f>INDEX(Question_Bank!$J$3:$J$14,MATCH(D98,Question_Bank!$A$3:$A$14,0))</f>
        <v>0</v>
      </c>
      <c r="H98">
        <f>IF(F98=G98,1,0)</f>
        <v>0</v>
      </c>
      <c r="I98">
        <f>H98*INDEX(Question_Bank!$M$3:$M$14,MATCH(D98,Question_Bank!$A$3:$A$14,0))</f>
        <v>0</v>
      </c>
      <c r="J98">
        <f>SUMIFS($I$3:$I$566,$A$3:$A$566,A98)</f>
        <v>0</v>
      </c>
      <c r="K98" s="5">
        <f>J98/SUM(Question_Bank!$M$3:$M$14)</f>
        <v>0</v>
      </c>
      <c r="L98" s="5">
        <f>SUMIFS($I$3:$I$566,$A$3:$A$566,A98,$E$3:$E$566,E98)/SUMIFS(Question_Bank!$M$3:$M$14,Question_Bank!$B$3:$B$14,E98)</f>
        <v>0</v>
      </c>
      <c r="M98" t="s">
        <v>148</v>
      </c>
    </row>
    <row r="99" spans="1:13">
      <c r="A99" t="s">
        <v>149</v>
      </c>
      <c r="B99" t="s">
        <v>132</v>
      </c>
      <c r="C99" t="s">
        <v>227</v>
      </c>
      <c r="D99" t="s">
        <v>14</v>
      </c>
      <c r="E99" t="s">
        <v>15</v>
      </c>
      <c r="F99" t="s">
        <v>23</v>
      </c>
      <c r="G99">
        <f>INDEX(Question_Bank!$J$3:$J$14,MATCH(D99,Question_Bank!$A$3:$A$14,0))</f>
        <v>0</v>
      </c>
      <c r="H99">
        <f>IF(F99=G99,1,0)</f>
        <v>0</v>
      </c>
      <c r="I99">
        <f>H99*INDEX(Question_Bank!$M$3:$M$14,MATCH(D99,Question_Bank!$A$3:$A$14,0))</f>
        <v>0</v>
      </c>
      <c r="J99">
        <f>SUMIFS($I$3:$I$566,$A$3:$A$566,A99)</f>
        <v>0</v>
      </c>
      <c r="K99" s="5">
        <f>J99/SUM(Question_Bank!$M$3:$M$14)</f>
        <v>0</v>
      </c>
      <c r="L99" s="5">
        <f>SUMIFS($I$3:$I$566,$A$3:$A$566,A99,$E$3:$E$566,E99)/SUMIFS(Question_Bank!$M$3:$M$14,Question_Bank!$B$3:$B$14,E99)</f>
        <v>0</v>
      </c>
      <c r="M99" t="s">
        <v>150</v>
      </c>
    </row>
    <row r="100" spans="1:13">
      <c r="A100" t="s">
        <v>149</v>
      </c>
      <c r="B100" t="s">
        <v>132</v>
      </c>
      <c r="C100" t="s">
        <v>227</v>
      </c>
      <c r="D100" t="s">
        <v>26</v>
      </c>
      <c r="E100" t="s">
        <v>15</v>
      </c>
      <c r="F100" t="s">
        <v>31</v>
      </c>
      <c r="G100">
        <f>INDEX(Question_Bank!$J$3:$J$14,MATCH(D100,Question_Bank!$A$3:$A$14,0))</f>
        <v>0</v>
      </c>
      <c r="H100">
        <f>IF(F100=G100,1,0)</f>
        <v>0</v>
      </c>
      <c r="I100">
        <f>H100*INDEX(Question_Bank!$M$3:$M$14,MATCH(D100,Question_Bank!$A$3:$A$14,0))</f>
        <v>0</v>
      </c>
      <c r="J100">
        <f>SUMIFS($I$3:$I$566,$A$3:$A$566,A100)</f>
        <v>0</v>
      </c>
      <c r="K100" s="5">
        <f>J100/SUM(Question_Bank!$M$3:$M$14)</f>
        <v>0</v>
      </c>
      <c r="L100" s="5">
        <f>SUMIFS($I$3:$I$566,$A$3:$A$566,A100,$E$3:$E$566,E100)/SUMIFS(Question_Bank!$M$3:$M$14,Question_Bank!$B$3:$B$14,E100)</f>
        <v>0</v>
      </c>
      <c r="M100" t="s">
        <v>150</v>
      </c>
    </row>
    <row r="101" spans="1:13">
      <c r="A101" t="s">
        <v>149</v>
      </c>
      <c r="B101" t="s">
        <v>132</v>
      </c>
      <c r="C101" t="s">
        <v>227</v>
      </c>
      <c r="D101" t="s">
        <v>37</v>
      </c>
      <c r="E101" t="s">
        <v>15</v>
      </c>
      <c r="F101" t="s">
        <v>20</v>
      </c>
      <c r="G101">
        <f>INDEX(Question_Bank!$J$3:$J$14,MATCH(D101,Question_Bank!$A$3:$A$14,0))</f>
        <v>0</v>
      </c>
      <c r="H101">
        <f>IF(F101=G101,1,0)</f>
        <v>0</v>
      </c>
      <c r="I101">
        <f>H101*INDEX(Question_Bank!$M$3:$M$14,MATCH(D101,Question_Bank!$A$3:$A$14,0))</f>
        <v>0</v>
      </c>
      <c r="J101">
        <f>SUMIFS($I$3:$I$566,$A$3:$A$566,A101)</f>
        <v>0</v>
      </c>
      <c r="K101" s="5">
        <f>J101/SUM(Question_Bank!$M$3:$M$14)</f>
        <v>0</v>
      </c>
      <c r="L101" s="5">
        <f>SUMIFS($I$3:$I$566,$A$3:$A$566,A101,$E$3:$E$566,E101)/SUMIFS(Question_Bank!$M$3:$M$14,Question_Bank!$B$3:$B$14,E101)</f>
        <v>0</v>
      </c>
      <c r="M101" t="s">
        <v>150</v>
      </c>
    </row>
    <row r="102" spans="1:13">
      <c r="A102" t="s">
        <v>149</v>
      </c>
      <c r="B102" t="s">
        <v>132</v>
      </c>
      <c r="C102" t="s">
        <v>227</v>
      </c>
      <c r="D102" t="s">
        <v>45</v>
      </c>
      <c r="E102" t="s">
        <v>46</v>
      </c>
      <c r="F102" t="s">
        <v>31</v>
      </c>
      <c r="G102">
        <f>INDEX(Question_Bank!$J$3:$J$14,MATCH(D102,Question_Bank!$A$3:$A$14,0))</f>
        <v>0</v>
      </c>
      <c r="H102">
        <f>IF(F102=G102,1,0)</f>
        <v>0</v>
      </c>
      <c r="I102">
        <f>H102*INDEX(Question_Bank!$M$3:$M$14,MATCH(D102,Question_Bank!$A$3:$A$14,0))</f>
        <v>0</v>
      </c>
      <c r="J102">
        <f>SUMIFS($I$3:$I$566,$A$3:$A$566,A102)</f>
        <v>0</v>
      </c>
      <c r="K102" s="5">
        <f>J102/SUM(Question_Bank!$M$3:$M$14)</f>
        <v>0</v>
      </c>
      <c r="L102" s="5">
        <f>SUMIFS($I$3:$I$566,$A$3:$A$566,A102,$E$3:$E$566,E102)/SUMIFS(Question_Bank!$M$3:$M$14,Question_Bank!$B$3:$B$14,E102)</f>
        <v>0</v>
      </c>
      <c r="M102" t="s">
        <v>150</v>
      </c>
    </row>
    <row r="103" spans="1:13">
      <c r="A103" t="s">
        <v>149</v>
      </c>
      <c r="B103" t="s">
        <v>132</v>
      </c>
      <c r="C103" t="s">
        <v>227</v>
      </c>
      <c r="D103" t="s">
        <v>54</v>
      </c>
      <c r="E103" t="s">
        <v>46</v>
      </c>
      <c r="F103" t="s">
        <v>23</v>
      </c>
      <c r="G103">
        <f>INDEX(Question_Bank!$J$3:$J$14,MATCH(D103,Question_Bank!$A$3:$A$14,0))</f>
        <v>0</v>
      </c>
      <c r="H103">
        <f>IF(F103=G103,1,0)</f>
        <v>0</v>
      </c>
      <c r="I103">
        <f>H103*INDEX(Question_Bank!$M$3:$M$14,MATCH(D103,Question_Bank!$A$3:$A$14,0))</f>
        <v>0</v>
      </c>
      <c r="J103">
        <f>SUMIFS($I$3:$I$566,$A$3:$A$566,A103)</f>
        <v>0</v>
      </c>
      <c r="K103" s="5">
        <f>J103/SUM(Question_Bank!$M$3:$M$14)</f>
        <v>0</v>
      </c>
      <c r="L103" s="5">
        <f>SUMIFS($I$3:$I$566,$A$3:$A$566,A103,$E$3:$E$566,E103)/SUMIFS(Question_Bank!$M$3:$M$14,Question_Bank!$B$3:$B$14,E103)</f>
        <v>0</v>
      </c>
      <c r="M103" t="s">
        <v>150</v>
      </c>
    </row>
    <row r="104" spans="1:13">
      <c r="A104" t="s">
        <v>149</v>
      </c>
      <c r="B104" t="s">
        <v>132</v>
      </c>
      <c r="C104" t="s">
        <v>227</v>
      </c>
      <c r="D104" t="s">
        <v>62</v>
      </c>
      <c r="E104" t="s">
        <v>46</v>
      </c>
      <c r="F104" t="s">
        <v>34</v>
      </c>
      <c r="G104">
        <f>INDEX(Question_Bank!$J$3:$J$14,MATCH(D104,Question_Bank!$A$3:$A$14,0))</f>
        <v>0</v>
      </c>
      <c r="H104">
        <f>IF(F104=G104,1,0)</f>
        <v>0</v>
      </c>
      <c r="I104">
        <f>H104*INDEX(Question_Bank!$M$3:$M$14,MATCH(D104,Question_Bank!$A$3:$A$14,0))</f>
        <v>0</v>
      </c>
      <c r="J104">
        <f>SUMIFS($I$3:$I$566,$A$3:$A$566,A104)</f>
        <v>0</v>
      </c>
      <c r="K104" s="5">
        <f>J104/SUM(Question_Bank!$M$3:$M$14)</f>
        <v>0</v>
      </c>
      <c r="L104" s="5">
        <f>SUMIFS($I$3:$I$566,$A$3:$A$566,A104,$E$3:$E$566,E104)/SUMIFS(Question_Bank!$M$3:$M$14,Question_Bank!$B$3:$B$14,E104)</f>
        <v>0</v>
      </c>
      <c r="M104" t="s">
        <v>150</v>
      </c>
    </row>
    <row r="105" spans="1:13">
      <c r="A105" t="s">
        <v>149</v>
      </c>
      <c r="B105" t="s">
        <v>132</v>
      </c>
      <c r="C105" t="s">
        <v>227</v>
      </c>
      <c r="D105" t="s">
        <v>70</v>
      </c>
      <c r="E105" t="s">
        <v>71</v>
      </c>
      <c r="F105" t="s">
        <v>31</v>
      </c>
      <c r="G105">
        <f>INDEX(Question_Bank!$J$3:$J$14,MATCH(D105,Question_Bank!$A$3:$A$14,0))</f>
        <v>0</v>
      </c>
      <c r="H105">
        <f>IF(F105=G105,1,0)</f>
        <v>0</v>
      </c>
      <c r="I105">
        <f>H105*INDEX(Question_Bank!$M$3:$M$14,MATCH(D105,Question_Bank!$A$3:$A$14,0))</f>
        <v>0</v>
      </c>
      <c r="J105">
        <f>SUMIFS($I$3:$I$566,$A$3:$A$566,A105)</f>
        <v>0</v>
      </c>
      <c r="K105" s="5">
        <f>J105/SUM(Question_Bank!$M$3:$M$14)</f>
        <v>0</v>
      </c>
      <c r="L105" s="5">
        <f>SUMIFS($I$3:$I$566,$A$3:$A$566,A105,$E$3:$E$566,E105)/SUMIFS(Question_Bank!$M$3:$M$14,Question_Bank!$B$3:$B$14,E105)</f>
        <v>0</v>
      </c>
      <c r="M105" t="s">
        <v>150</v>
      </c>
    </row>
    <row r="106" spans="1:13">
      <c r="A106" t="s">
        <v>149</v>
      </c>
      <c r="B106" t="s">
        <v>132</v>
      </c>
      <c r="C106" t="s">
        <v>227</v>
      </c>
      <c r="D106" t="s">
        <v>79</v>
      </c>
      <c r="E106" t="s">
        <v>71</v>
      </c>
      <c r="F106" t="s">
        <v>31</v>
      </c>
      <c r="G106">
        <f>INDEX(Question_Bank!$J$3:$J$14,MATCH(D106,Question_Bank!$A$3:$A$14,0))</f>
        <v>0</v>
      </c>
      <c r="H106">
        <f>IF(F106=G106,1,0)</f>
        <v>0</v>
      </c>
      <c r="I106">
        <f>H106*INDEX(Question_Bank!$M$3:$M$14,MATCH(D106,Question_Bank!$A$3:$A$14,0))</f>
        <v>0</v>
      </c>
      <c r="J106">
        <f>SUMIFS($I$3:$I$566,$A$3:$A$566,A106)</f>
        <v>0</v>
      </c>
      <c r="K106" s="5">
        <f>J106/SUM(Question_Bank!$M$3:$M$14)</f>
        <v>0</v>
      </c>
      <c r="L106" s="5">
        <f>SUMIFS($I$3:$I$566,$A$3:$A$566,A106,$E$3:$E$566,E106)/SUMIFS(Question_Bank!$M$3:$M$14,Question_Bank!$B$3:$B$14,E106)</f>
        <v>0</v>
      </c>
      <c r="M106" t="s">
        <v>150</v>
      </c>
    </row>
    <row r="107" spans="1:13">
      <c r="A107" t="s">
        <v>149</v>
      </c>
      <c r="B107" t="s">
        <v>132</v>
      </c>
      <c r="C107" t="s">
        <v>227</v>
      </c>
      <c r="D107" t="s">
        <v>87</v>
      </c>
      <c r="E107" t="s">
        <v>71</v>
      </c>
      <c r="F107" t="s">
        <v>31</v>
      </c>
      <c r="G107">
        <f>INDEX(Question_Bank!$J$3:$J$14,MATCH(D107,Question_Bank!$A$3:$A$14,0))</f>
        <v>0</v>
      </c>
      <c r="H107">
        <f>IF(F107=G107,1,0)</f>
        <v>0</v>
      </c>
      <c r="I107">
        <f>H107*INDEX(Question_Bank!$M$3:$M$14,MATCH(D107,Question_Bank!$A$3:$A$14,0))</f>
        <v>0</v>
      </c>
      <c r="J107">
        <f>SUMIFS($I$3:$I$566,$A$3:$A$566,A107)</f>
        <v>0</v>
      </c>
      <c r="K107" s="5">
        <f>J107/SUM(Question_Bank!$M$3:$M$14)</f>
        <v>0</v>
      </c>
      <c r="L107" s="5">
        <f>SUMIFS($I$3:$I$566,$A$3:$A$566,A107,$E$3:$E$566,E107)/SUMIFS(Question_Bank!$M$3:$M$14,Question_Bank!$B$3:$B$14,E107)</f>
        <v>0</v>
      </c>
      <c r="M107" t="s">
        <v>150</v>
      </c>
    </row>
    <row r="108" spans="1:13">
      <c r="A108" t="s">
        <v>149</v>
      </c>
      <c r="B108" t="s">
        <v>132</v>
      </c>
      <c r="C108" t="s">
        <v>227</v>
      </c>
      <c r="D108" t="s">
        <v>95</v>
      </c>
      <c r="E108" t="s">
        <v>96</v>
      </c>
      <c r="F108" t="s">
        <v>34</v>
      </c>
      <c r="G108">
        <f>INDEX(Question_Bank!$J$3:$J$14,MATCH(D108,Question_Bank!$A$3:$A$14,0))</f>
        <v>0</v>
      </c>
      <c r="H108">
        <f>IF(F108=G108,1,0)</f>
        <v>0</v>
      </c>
      <c r="I108">
        <f>H108*INDEX(Question_Bank!$M$3:$M$14,MATCH(D108,Question_Bank!$A$3:$A$14,0))</f>
        <v>0</v>
      </c>
      <c r="J108">
        <f>SUMIFS($I$3:$I$566,$A$3:$A$566,A108)</f>
        <v>0</v>
      </c>
      <c r="K108" s="5">
        <f>J108/SUM(Question_Bank!$M$3:$M$14)</f>
        <v>0</v>
      </c>
      <c r="L108" s="5">
        <f>SUMIFS($I$3:$I$566,$A$3:$A$566,A108,$E$3:$E$566,E108)/SUMIFS(Question_Bank!$M$3:$M$14,Question_Bank!$B$3:$B$14,E108)</f>
        <v>0</v>
      </c>
      <c r="M108" t="s">
        <v>150</v>
      </c>
    </row>
    <row r="109" spans="1:13">
      <c r="A109" t="s">
        <v>149</v>
      </c>
      <c r="B109" t="s">
        <v>132</v>
      </c>
      <c r="C109" t="s">
        <v>227</v>
      </c>
      <c r="D109" t="s">
        <v>104</v>
      </c>
      <c r="E109" t="s">
        <v>96</v>
      </c>
      <c r="F109" t="s">
        <v>20</v>
      </c>
      <c r="G109">
        <f>INDEX(Question_Bank!$J$3:$J$14,MATCH(D109,Question_Bank!$A$3:$A$14,0))</f>
        <v>0</v>
      </c>
      <c r="H109">
        <f>IF(F109=G109,1,0)</f>
        <v>0</v>
      </c>
      <c r="I109">
        <f>H109*INDEX(Question_Bank!$M$3:$M$14,MATCH(D109,Question_Bank!$A$3:$A$14,0))</f>
        <v>0</v>
      </c>
      <c r="J109">
        <f>SUMIFS($I$3:$I$566,$A$3:$A$566,A109)</f>
        <v>0</v>
      </c>
      <c r="K109" s="5">
        <f>J109/SUM(Question_Bank!$M$3:$M$14)</f>
        <v>0</v>
      </c>
      <c r="L109" s="5">
        <f>SUMIFS($I$3:$I$566,$A$3:$A$566,A109,$E$3:$E$566,E109)/SUMIFS(Question_Bank!$M$3:$M$14,Question_Bank!$B$3:$B$14,E109)</f>
        <v>0</v>
      </c>
      <c r="M109" t="s">
        <v>150</v>
      </c>
    </row>
    <row r="110" spans="1:13">
      <c r="A110" t="s">
        <v>149</v>
      </c>
      <c r="B110" t="s">
        <v>132</v>
      </c>
      <c r="C110" t="s">
        <v>227</v>
      </c>
      <c r="D110" t="s">
        <v>112</v>
      </c>
      <c r="E110" t="s">
        <v>96</v>
      </c>
      <c r="F110" t="s">
        <v>31</v>
      </c>
      <c r="G110">
        <f>INDEX(Question_Bank!$J$3:$J$14,MATCH(D110,Question_Bank!$A$3:$A$14,0))</f>
        <v>0</v>
      </c>
      <c r="H110">
        <f>IF(F110=G110,1,0)</f>
        <v>0</v>
      </c>
      <c r="I110">
        <f>H110*INDEX(Question_Bank!$M$3:$M$14,MATCH(D110,Question_Bank!$A$3:$A$14,0))</f>
        <v>0</v>
      </c>
      <c r="J110">
        <f>SUMIFS($I$3:$I$566,$A$3:$A$566,A110)</f>
        <v>0</v>
      </c>
      <c r="K110" s="5">
        <f>J110/SUM(Question_Bank!$M$3:$M$14)</f>
        <v>0</v>
      </c>
      <c r="L110" s="5">
        <f>SUMIFS($I$3:$I$566,$A$3:$A$566,A110,$E$3:$E$566,E110)/SUMIFS(Question_Bank!$M$3:$M$14,Question_Bank!$B$3:$B$14,E110)</f>
        <v>0</v>
      </c>
      <c r="M110" t="s">
        <v>150</v>
      </c>
    </row>
    <row r="111" spans="1:13">
      <c r="A111" t="s">
        <v>151</v>
      </c>
      <c r="B111" t="s">
        <v>132</v>
      </c>
      <c r="C111" t="s">
        <v>227</v>
      </c>
      <c r="D111" t="s">
        <v>14</v>
      </c>
      <c r="E111" t="s">
        <v>15</v>
      </c>
      <c r="F111" t="s">
        <v>23</v>
      </c>
      <c r="G111">
        <f>INDEX(Question_Bank!$J$3:$J$14,MATCH(D111,Question_Bank!$A$3:$A$14,0))</f>
        <v>0</v>
      </c>
      <c r="H111">
        <f>IF(F111=G111,1,0)</f>
        <v>0</v>
      </c>
      <c r="I111">
        <f>H111*INDEX(Question_Bank!$M$3:$M$14,MATCH(D111,Question_Bank!$A$3:$A$14,0))</f>
        <v>0</v>
      </c>
      <c r="J111">
        <f>SUMIFS($I$3:$I$566,$A$3:$A$566,A111)</f>
        <v>0</v>
      </c>
      <c r="K111" s="5">
        <f>J111/SUM(Question_Bank!$M$3:$M$14)</f>
        <v>0</v>
      </c>
      <c r="L111" s="5">
        <f>SUMIFS($I$3:$I$566,$A$3:$A$566,A111,$E$3:$E$566,E111)/SUMIFS(Question_Bank!$M$3:$M$14,Question_Bank!$B$3:$B$14,E111)</f>
        <v>0</v>
      </c>
      <c r="M111" t="s">
        <v>152</v>
      </c>
    </row>
    <row r="112" spans="1:13">
      <c r="A112" t="s">
        <v>151</v>
      </c>
      <c r="B112" t="s">
        <v>132</v>
      </c>
      <c r="C112" t="s">
        <v>227</v>
      </c>
      <c r="D112" t="s">
        <v>26</v>
      </c>
      <c r="E112" t="s">
        <v>15</v>
      </c>
      <c r="F112" t="s">
        <v>34</v>
      </c>
      <c r="G112">
        <f>INDEX(Question_Bank!$J$3:$J$14,MATCH(D112,Question_Bank!$A$3:$A$14,0))</f>
        <v>0</v>
      </c>
      <c r="H112">
        <f>IF(F112=G112,1,0)</f>
        <v>0</v>
      </c>
      <c r="I112">
        <f>H112*INDEX(Question_Bank!$M$3:$M$14,MATCH(D112,Question_Bank!$A$3:$A$14,0))</f>
        <v>0</v>
      </c>
      <c r="J112">
        <f>SUMIFS($I$3:$I$566,$A$3:$A$566,A112)</f>
        <v>0</v>
      </c>
      <c r="K112" s="5">
        <f>J112/SUM(Question_Bank!$M$3:$M$14)</f>
        <v>0</v>
      </c>
      <c r="L112" s="5">
        <f>SUMIFS($I$3:$I$566,$A$3:$A$566,A112,$E$3:$E$566,E112)/SUMIFS(Question_Bank!$M$3:$M$14,Question_Bank!$B$3:$B$14,E112)</f>
        <v>0</v>
      </c>
      <c r="M112" t="s">
        <v>152</v>
      </c>
    </row>
    <row r="113" spans="1:13">
      <c r="A113" t="s">
        <v>151</v>
      </c>
      <c r="B113" t="s">
        <v>132</v>
      </c>
      <c r="C113" t="s">
        <v>227</v>
      </c>
      <c r="D113" t="s">
        <v>37</v>
      </c>
      <c r="E113" t="s">
        <v>15</v>
      </c>
      <c r="F113" t="s">
        <v>23</v>
      </c>
      <c r="G113">
        <f>INDEX(Question_Bank!$J$3:$J$14,MATCH(D113,Question_Bank!$A$3:$A$14,0))</f>
        <v>0</v>
      </c>
      <c r="H113">
        <f>IF(F113=G113,1,0)</f>
        <v>0</v>
      </c>
      <c r="I113">
        <f>H113*INDEX(Question_Bank!$M$3:$M$14,MATCH(D113,Question_Bank!$A$3:$A$14,0))</f>
        <v>0</v>
      </c>
      <c r="J113">
        <f>SUMIFS($I$3:$I$566,$A$3:$A$566,A113)</f>
        <v>0</v>
      </c>
      <c r="K113" s="5">
        <f>J113/SUM(Question_Bank!$M$3:$M$14)</f>
        <v>0</v>
      </c>
      <c r="L113" s="5">
        <f>SUMIFS($I$3:$I$566,$A$3:$A$566,A113,$E$3:$E$566,E113)/SUMIFS(Question_Bank!$M$3:$M$14,Question_Bank!$B$3:$B$14,E113)</f>
        <v>0</v>
      </c>
      <c r="M113" t="s">
        <v>152</v>
      </c>
    </row>
    <row r="114" spans="1:13">
      <c r="A114" t="s">
        <v>151</v>
      </c>
      <c r="B114" t="s">
        <v>132</v>
      </c>
      <c r="C114" t="s">
        <v>227</v>
      </c>
      <c r="D114" t="s">
        <v>45</v>
      </c>
      <c r="E114" t="s">
        <v>46</v>
      </c>
      <c r="F114" t="s">
        <v>31</v>
      </c>
      <c r="G114">
        <f>INDEX(Question_Bank!$J$3:$J$14,MATCH(D114,Question_Bank!$A$3:$A$14,0))</f>
        <v>0</v>
      </c>
      <c r="H114">
        <f>IF(F114=G114,1,0)</f>
        <v>0</v>
      </c>
      <c r="I114">
        <f>H114*INDEX(Question_Bank!$M$3:$M$14,MATCH(D114,Question_Bank!$A$3:$A$14,0))</f>
        <v>0</v>
      </c>
      <c r="J114">
        <f>SUMIFS($I$3:$I$566,$A$3:$A$566,A114)</f>
        <v>0</v>
      </c>
      <c r="K114" s="5">
        <f>J114/SUM(Question_Bank!$M$3:$M$14)</f>
        <v>0</v>
      </c>
      <c r="L114" s="5">
        <f>SUMIFS($I$3:$I$566,$A$3:$A$566,A114,$E$3:$E$566,E114)/SUMIFS(Question_Bank!$M$3:$M$14,Question_Bank!$B$3:$B$14,E114)</f>
        <v>0</v>
      </c>
      <c r="M114" t="s">
        <v>152</v>
      </c>
    </row>
    <row r="115" spans="1:13">
      <c r="A115" t="s">
        <v>151</v>
      </c>
      <c r="B115" t="s">
        <v>132</v>
      </c>
      <c r="C115" t="s">
        <v>227</v>
      </c>
      <c r="D115" t="s">
        <v>54</v>
      </c>
      <c r="E115" t="s">
        <v>46</v>
      </c>
      <c r="F115" t="s">
        <v>34</v>
      </c>
      <c r="G115">
        <f>INDEX(Question_Bank!$J$3:$J$14,MATCH(D115,Question_Bank!$A$3:$A$14,0))</f>
        <v>0</v>
      </c>
      <c r="H115">
        <f>IF(F115=G115,1,0)</f>
        <v>0</v>
      </c>
      <c r="I115">
        <f>H115*INDEX(Question_Bank!$M$3:$M$14,MATCH(D115,Question_Bank!$A$3:$A$14,0))</f>
        <v>0</v>
      </c>
      <c r="J115">
        <f>SUMIFS($I$3:$I$566,$A$3:$A$566,A115)</f>
        <v>0</v>
      </c>
      <c r="K115" s="5">
        <f>J115/SUM(Question_Bank!$M$3:$M$14)</f>
        <v>0</v>
      </c>
      <c r="L115" s="5">
        <f>SUMIFS($I$3:$I$566,$A$3:$A$566,A115,$E$3:$E$566,E115)/SUMIFS(Question_Bank!$M$3:$M$14,Question_Bank!$B$3:$B$14,E115)</f>
        <v>0</v>
      </c>
      <c r="M115" t="s">
        <v>152</v>
      </c>
    </row>
    <row r="116" spans="1:13">
      <c r="A116" t="s">
        <v>151</v>
      </c>
      <c r="B116" t="s">
        <v>132</v>
      </c>
      <c r="C116" t="s">
        <v>227</v>
      </c>
      <c r="D116" t="s">
        <v>62</v>
      </c>
      <c r="E116" t="s">
        <v>46</v>
      </c>
      <c r="F116" t="s">
        <v>23</v>
      </c>
      <c r="G116">
        <f>INDEX(Question_Bank!$J$3:$J$14,MATCH(D116,Question_Bank!$A$3:$A$14,0))</f>
        <v>0</v>
      </c>
      <c r="H116">
        <f>IF(F116=G116,1,0)</f>
        <v>0</v>
      </c>
      <c r="I116">
        <f>H116*INDEX(Question_Bank!$M$3:$M$14,MATCH(D116,Question_Bank!$A$3:$A$14,0))</f>
        <v>0</v>
      </c>
      <c r="J116">
        <f>SUMIFS($I$3:$I$566,$A$3:$A$566,A116)</f>
        <v>0</v>
      </c>
      <c r="K116" s="5">
        <f>J116/SUM(Question_Bank!$M$3:$M$14)</f>
        <v>0</v>
      </c>
      <c r="L116" s="5">
        <f>SUMIFS($I$3:$I$566,$A$3:$A$566,A116,$E$3:$E$566,E116)/SUMIFS(Question_Bank!$M$3:$M$14,Question_Bank!$B$3:$B$14,E116)</f>
        <v>0</v>
      </c>
      <c r="M116" t="s">
        <v>152</v>
      </c>
    </row>
    <row r="117" spans="1:13">
      <c r="A117" t="s">
        <v>151</v>
      </c>
      <c r="B117" t="s">
        <v>132</v>
      </c>
      <c r="C117" t="s">
        <v>227</v>
      </c>
      <c r="D117" t="s">
        <v>70</v>
      </c>
      <c r="E117" t="s">
        <v>71</v>
      </c>
      <c r="F117" t="s">
        <v>23</v>
      </c>
      <c r="G117">
        <f>INDEX(Question_Bank!$J$3:$J$14,MATCH(D117,Question_Bank!$A$3:$A$14,0))</f>
        <v>0</v>
      </c>
      <c r="H117">
        <f>IF(F117=G117,1,0)</f>
        <v>0</v>
      </c>
      <c r="I117">
        <f>H117*INDEX(Question_Bank!$M$3:$M$14,MATCH(D117,Question_Bank!$A$3:$A$14,0))</f>
        <v>0</v>
      </c>
      <c r="J117">
        <f>SUMIFS($I$3:$I$566,$A$3:$A$566,A117)</f>
        <v>0</v>
      </c>
      <c r="K117" s="5">
        <f>J117/SUM(Question_Bank!$M$3:$M$14)</f>
        <v>0</v>
      </c>
      <c r="L117" s="5">
        <f>SUMIFS($I$3:$I$566,$A$3:$A$566,A117,$E$3:$E$566,E117)/SUMIFS(Question_Bank!$M$3:$M$14,Question_Bank!$B$3:$B$14,E117)</f>
        <v>0</v>
      </c>
      <c r="M117" t="s">
        <v>152</v>
      </c>
    </row>
    <row r="118" spans="1:13">
      <c r="A118" t="s">
        <v>151</v>
      </c>
      <c r="B118" t="s">
        <v>132</v>
      </c>
      <c r="C118" t="s">
        <v>227</v>
      </c>
      <c r="D118" t="s">
        <v>79</v>
      </c>
      <c r="E118" t="s">
        <v>71</v>
      </c>
      <c r="F118" t="s">
        <v>23</v>
      </c>
      <c r="G118">
        <f>INDEX(Question_Bank!$J$3:$J$14,MATCH(D118,Question_Bank!$A$3:$A$14,0))</f>
        <v>0</v>
      </c>
      <c r="H118">
        <f>IF(F118=G118,1,0)</f>
        <v>0</v>
      </c>
      <c r="I118">
        <f>H118*INDEX(Question_Bank!$M$3:$M$14,MATCH(D118,Question_Bank!$A$3:$A$14,0))</f>
        <v>0</v>
      </c>
      <c r="J118">
        <f>SUMIFS($I$3:$I$566,$A$3:$A$566,A118)</f>
        <v>0</v>
      </c>
      <c r="K118" s="5">
        <f>J118/SUM(Question_Bank!$M$3:$M$14)</f>
        <v>0</v>
      </c>
      <c r="L118" s="5">
        <f>SUMIFS($I$3:$I$566,$A$3:$A$566,A118,$E$3:$E$566,E118)/SUMIFS(Question_Bank!$M$3:$M$14,Question_Bank!$B$3:$B$14,E118)</f>
        <v>0</v>
      </c>
      <c r="M118" t="s">
        <v>152</v>
      </c>
    </row>
    <row r="119" spans="1:13">
      <c r="A119" t="s">
        <v>151</v>
      </c>
      <c r="B119" t="s">
        <v>132</v>
      </c>
      <c r="C119" t="s">
        <v>227</v>
      </c>
      <c r="D119" t="s">
        <v>87</v>
      </c>
      <c r="E119" t="s">
        <v>71</v>
      </c>
      <c r="F119" t="s">
        <v>23</v>
      </c>
      <c r="G119">
        <f>INDEX(Question_Bank!$J$3:$J$14,MATCH(D119,Question_Bank!$A$3:$A$14,0))</f>
        <v>0</v>
      </c>
      <c r="H119">
        <f>IF(F119=G119,1,0)</f>
        <v>0</v>
      </c>
      <c r="I119">
        <f>H119*INDEX(Question_Bank!$M$3:$M$14,MATCH(D119,Question_Bank!$A$3:$A$14,0))</f>
        <v>0</v>
      </c>
      <c r="J119">
        <f>SUMIFS($I$3:$I$566,$A$3:$A$566,A119)</f>
        <v>0</v>
      </c>
      <c r="K119" s="5">
        <f>J119/SUM(Question_Bank!$M$3:$M$14)</f>
        <v>0</v>
      </c>
      <c r="L119" s="5">
        <f>SUMIFS($I$3:$I$566,$A$3:$A$566,A119,$E$3:$E$566,E119)/SUMIFS(Question_Bank!$M$3:$M$14,Question_Bank!$B$3:$B$14,E119)</f>
        <v>0</v>
      </c>
      <c r="M119" t="s">
        <v>152</v>
      </c>
    </row>
    <row r="120" spans="1:13">
      <c r="A120" t="s">
        <v>151</v>
      </c>
      <c r="B120" t="s">
        <v>132</v>
      </c>
      <c r="C120" t="s">
        <v>227</v>
      </c>
      <c r="D120" t="s">
        <v>95</v>
      </c>
      <c r="E120" t="s">
        <v>96</v>
      </c>
      <c r="F120" t="s">
        <v>34</v>
      </c>
      <c r="G120">
        <f>INDEX(Question_Bank!$J$3:$J$14,MATCH(D120,Question_Bank!$A$3:$A$14,0))</f>
        <v>0</v>
      </c>
      <c r="H120">
        <f>IF(F120=G120,1,0)</f>
        <v>0</v>
      </c>
      <c r="I120">
        <f>H120*INDEX(Question_Bank!$M$3:$M$14,MATCH(D120,Question_Bank!$A$3:$A$14,0))</f>
        <v>0</v>
      </c>
      <c r="J120">
        <f>SUMIFS($I$3:$I$566,$A$3:$A$566,A120)</f>
        <v>0</v>
      </c>
      <c r="K120" s="5">
        <f>J120/SUM(Question_Bank!$M$3:$M$14)</f>
        <v>0</v>
      </c>
      <c r="L120" s="5">
        <f>SUMIFS($I$3:$I$566,$A$3:$A$566,A120,$E$3:$E$566,E120)/SUMIFS(Question_Bank!$M$3:$M$14,Question_Bank!$B$3:$B$14,E120)</f>
        <v>0</v>
      </c>
      <c r="M120" t="s">
        <v>152</v>
      </c>
    </row>
    <row r="121" spans="1:13">
      <c r="A121" t="s">
        <v>151</v>
      </c>
      <c r="B121" t="s">
        <v>132</v>
      </c>
      <c r="C121" t="s">
        <v>227</v>
      </c>
      <c r="D121" t="s">
        <v>104</v>
      </c>
      <c r="E121" t="s">
        <v>96</v>
      </c>
      <c r="F121" t="s">
        <v>20</v>
      </c>
      <c r="G121">
        <f>INDEX(Question_Bank!$J$3:$J$14,MATCH(D121,Question_Bank!$A$3:$A$14,0))</f>
        <v>0</v>
      </c>
      <c r="H121">
        <f>IF(F121=G121,1,0)</f>
        <v>0</v>
      </c>
      <c r="I121">
        <f>H121*INDEX(Question_Bank!$M$3:$M$14,MATCH(D121,Question_Bank!$A$3:$A$14,0))</f>
        <v>0</v>
      </c>
      <c r="J121">
        <f>SUMIFS($I$3:$I$566,$A$3:$A$566,A121)</f>
        <v>0</v>
      </c>
      <c r="K121" s="5">
        <f>J121/SUM(Question_Bank!$M$3:$M$14)</f>
        <v>0</v>
      </c>
      <c r="L121" s="5">
        <f>SUMIFS($I$3:$I$566,$A$3:$A$566,A121,$E$3:$E$566,E121)/SUMIFS(Question_Bank!$M$3:$M$14,Question_Bank!$B$3:$B$14,E121)</f>
        <v>0</v>
      </c>
      <c r="M121" t="s">
        <v>152</v>
      </c>
    </row>
    <row r="122" spans="1:13">
      <c r="A122" t="s">
        <v>151</v>
      </c>
      <c r="B122" t="s">
        <v>132</v>
      </c>
      <c r="C122" t="s">
        <v>227</v>
      </c>
      <c r="D122" t="s">
        <v>112</v>
      </c>
      <c r="E122" t="s">
        <v>96</v>
      </c>
      <c r="F122" t="s">
        <v>34</v>
      </c>
      <c r="G122">
        <f>INDEX(Question_Bank!$J$3:$J$14,MATCH(D122,Question_Bank!$A$3:$A$14,0))</f>
        <v>0</v>
      </c>
      <c r="H122">
        <f>IF(F122=G122,1,0)</f>
        <v>0</v>
      </c>
      <c r="I122">
        <f>H122*INDEX(Question_Bank!$M$3:$M$14,MATCH(D122,Question_Bank!$A$3:$A$14,0))</f>
        <v>0</v>
      </c>
      <c r="J122">
        <f>SUMIFS($I$3:$I$566,$A$3:$A$566,A122)</f>
        <v>0</v>
      </c>
      <c r="K122" s="5">
        <f>J122/SUM(Question_Bank!$M$3:$M$14)</f>
        <v>0</v>
      </c>
      <c r="L122" s="5">
        <f>SUMIFS($I$3:$I$566,$A$3:$A$566,A122,$E$3:$E$566,E122)/SUMIFS(Question_Bank!$M$3:$M$14,Question_Bank!$B$3:$B$14,E122)</f>
        <v>0</v>
      </c>
      <c r="M122" t="s">
        <v>152</v>
      </c>
    </row>
    <row r="123" spans="1:13">
      <c r="A123" t="s">
        <v>153</v>
      </c>
      <c r="B123" t="s">
        <v>132</v>
      </c>
      <c r="C123" t="s">
        <v>227</v>
      </c>
      <c r="D123" t="s">
        <v>14</v>
      </c>
      <c r="E123" t="s">
        <v>15</v>
      </c>
      <c r="F123" t="s">
        <v>23</v>
      </c>
      <c r="G123">
        <f>INDEX(Question_Bank!$J$3:$J$14,MATCH(D123,Question_Bank!$A$3:$A$14,0))</f>
        <v>0</v>
      </c>
      <c r="H123">
        <f>IF(F123=G123,1,0)</f>
        <v>0</v>
      </c>
      <c r="I123">
        <f>H123*INDEX(Question_Bank!$M$3:$M$14,MATCH(D123,Question_Bank!$A$3:$A$14,0))</f>
        <v>0</v>
      </c>
      <c r="J123">
        <f>SUMIFS($I$3:$I$566,$A$3:$A$566,A123)</f>
        <v>0</v>
      </c>
      <c r="K123" s="5">
        <f>J123/SUM(Question_Bank!$M$3:$M$14)</f>
        <v>0</v>
      </c>
      <c r="L123" s="5">
        <f>SUMIFS($I$3:$I$566,$A$3:$A$566,A123,$E$3:$E$566,E123)/SUMIFS(Question_Bank!$M$3:$M$14,Question_Bank!$B$3:$B$14,E123)</f>
        <v>0</v>
      </c>
      <c r="M123" t="s">
        <v>154</v>
      </c>
    </row>
    <row r="124" spans="1:13">
      <c r="A124" t="s">
        <v>153</v>
      </c>
      <c r="B124" t="s">
        <v>132</v>
      </c>
      <c r="C124" t="s">
        <v>227</v>
      </c>
      <c r="D124" t="s">
        <v>26</v>
      </c>
      <c r="E124" t="s">
        <v>15</v>
      </c>
      <c r="F124" t="s">
        <v>34</v>
      </c>
      <c r="G124">
        <f>INDEX(Question_Bank!$J$3:$J$14,MATCH(D124,Question_Bank!$A$3:$A$14,0))</f>
        <v>0</v>
      </c>
      <c r="H124">
        <f>IF(F124=G124,1,0)</f>
        <v>0</v>
      </c>
      <c r="I124">
        <f>H124*INDEX(Question_Bank!$M$3:$M$14,MATCH(D124,Question_Bank!$A$3:$A$14,0))</f>
        <v>0</v>
      </c>
      <c r="J124">
        <f>SUMIFS($I$3:$I$566,$A$3:$A$566,A124)</f>
        <v>0</v>
      </c>
      <c r="K124" s="5">
        <f>J124/SUM(Question_Bank!$M$3:$M$14)</f>
        <v>0</v>
      </c>
      <c r="L124" s="5">
        <f>SUMIFS($I$3:$I$566,$A$3:$A$566,A124,$E$3:$E$566,E124)/SUMIFS(Question_Bank!$M$3:$M$14,Question_Bank!$B$3:$B$14,E124)</f>
        <v>0</v>
      </c>
      <c r="M124" t="s">
        <v>154</v>
      </c>
    </row>
    <row r="125" spans="1:13">
      <c r="A125" t="s">
        <v>153</v>
      </c>
      <c r="B125" t="s">
        <v>132</v>
      </c>
      <c r="C125" t="s">
        <v>227</v>
      </c>
      <c r="D125" t="s">
        <v>37</v>
      </c>
      <c r="E125" t="s">
        <v>15</v>
      </c>
      <c r="F125" t="s">
        <v>20</v>
      </c>
      <c r="G125">
        <f>INDEX(Question_Bank!$J$3:$J$14,MATCH(D125,Question_Bank!$A$3:$A$14,0))</f>
        <v>0</v>
      </c>
      <c r="H125">
        <f>IF(F125=G125,1,0)</f>
        <v>0</v>
      </c>
      <c r="I125">
        <f>H125*INDEX(Question_Bank!$M$3:$M$14,MATCH(D125,Question_Bank!$A$3:$A$14,0))</f>
        <v>0</v>
      </c>
      <c r="J125">
        <f>SUMIFS($I$3:$I$566,$A$3:$A$566,A125)</f>
        <v>0</v>
      </c>
      <c r="K125" s="5">
        <f>J125/SUM(Question_Bank!$M$3:$M$14)</f>
        <v>0</v>
      </c>
      <c r="L125" s="5">
        <f>SUMIFS($I$3:$I$566,$A$3:$A$566,A125,$E$3:$E$566,E125)/SUMIFS(Question_Bank!$M$3:$M$14,Question_Bank!$B$3:$B$14,E125)</f>
        <v>0</v>
      </c>
      <c r="M125" t="s">
        <v>154</v>
      </c>
    </row>
    <row r="126" spans="1:13">
      <c r="A126" t="s">
        <v>153</v>
      </c>
      <c r="B126" t="s">
        <v>132</v>
      </c>
      <c r="C126" t="s">
        <v>227</v>
      </c>
      <c r="D126" t="s">
        <v>45</v>
      </c>
      <c r="E126" t="s">
        <v>46</v>
      </c>
      <c r="F126" t="s">
        <v>20</v>
      </c>
      <c r="G126">
        <f>INDEX(Question_Bank!$J$3:$J$14,MATCH(D126,Question_Bank!$A$3:$A$14,0))</f>
        <v>0</v>
      </c>
      <c r="H126">
        <f>IF(F126=G126,1,0)</f>
        <v>0</v>
      </c>
      <c r="I126">
        <f>H126*INDEX(Question_Bank!$M$3:$M$14,MATCH(D126,Question_Bank!$A$3:$A$14,0))</f>
        <v>0</v>
      </c>
      <c r="J126">
        <f>SUMIFS($I$3:$I$566,$A$3:$A$566,A126)</f>
        <v>0</v>
      </c>
      <c r="K126" s="5">
        <f>J126/SUM(Question_Bank!$M$3:$M$14)</f>
        <v>0</v>
      </c>
      <c r="L126" s="5">
        <f>SUMIFS($I$3:$I$566,$A$3:$A$566,A126,$E$3:$E$566,E126)/SUMIFS(Question_Bank!$M$3:$M$14,Question_Bank!$B$3:$B$14,E126)</f>
        <v>0</v>
      </c>
      <c r="M126" t="s">
        <v>154</v>
      </c>
    </row>
    <row r="127" spans="1:13">
      <c r="A127" t="s">
        <v>153</v>
      </c>
      <c r="B127" t="s">
        <v>132</v>
      </c>
      <c r="C127" t="s">
        <v>227</v>
      </c>
      <c r="D127" t="s">
        <v>54</v>
      </c>
      <c r="E127" t="s">
        <v>46</v>
      </c>
      <c r="F127" t="s">
        <v>23</v>
      </c>
      <c r="G127">
        <f>INDEX(Question_Bank!$J$3:$J$14,MATCH(D127,Question_Bank!$A$3:$A$14,0))</f>
        <v>0</v>
      </c>
      <c r="H127">
        <f>IF(F127=G127,1,0)</f>
        <v>0</v>
      </c>
      <c r="I127">
        <f>H127*INDEX(Question_Bank!$M$3:$M$14,MATCH(D127,Question_Bank!$A$3:$A$14,0))</f>
        <v>0</v>
      </c>
      <c r="J127">
        <f>SUMIFS($I$3:$I$566,$A$3:$A$566,A127)</f>
        <v>0</v>
      </c>
      <c r="K127" s="5">
        <f>J127/SUM(Question_Bank!$M$3:$M$14)</f>
        <v>0</v>
      </c>
      <c r="L127" s="5">
        <f>SUMIFS($I$3:$I$566,$A$3:$A$566,A127,$E$3:$E$566,E127)/SUMIFS(Question_Bank!$M$3:$M$14,Question_Bank!$B$3:$B$14,E127)</f>
        <v>0</v>
      </c>
      <c r="M127" t="s">
        <v>154</v>
      </c>
    </row>
    <row r="128" spans="1:13">
      <c r="A128" t="s">
        <v>153</v>
      </c>
      <c r="B128" t="s">
        <v>132</v>
      </c>
      <c r="C128" t="s">
        <v>227</v>
      </c>
      <c r="D128" t="s">
        <v>62</v>
      </c>
      <c r="E128" t="s">
        <v>46</v>
      </c>
      <c r="F128" t="s">
        <v>34</v>
      </c>
      <c r="G128">
        <f>INDEX(Question_Bank!$J$3:$J$14,MATCH(D128,Question_Bank!$A$3:$A$14,0))</f>
        <v>0</v>
      </c>
      <c r="H128">
        <f>IF(F128=G128,1,0)</f>
        <v>0</v>
      </c>
      <c r="I128">
        <f>H128*INDEX(Question_Bank!$M$3:$M$14,MATCH(D128,Question_Bank!$A$3:$A$14,0))</f>
        <v>0</v>
      </c>
      <c r="J128">
        <f>SUMIFS($I$3:$I$566,$A$3:$A$566,A128)</f>
        <v>0</v>
      </c>
      <c r="K128" s="5">
        <f>J128/SUM(Question_Bank!$M$3:$M$14)</f>
        <v>0</v>
      </c>
      <c r="L128" s="5">
        <f>SUMIFS($I$3:$I$566,$A$3:$A$566,A128,$E$3:$E$566,E128)/SUMIFS(Question_Bank!$M$3:$M$14,Question_Bank!$B$3:$B$14,E128)</f>
        <v>0</v>
      </c>
      <c r="M128" t="s">
        <v>154</v>
      </c>
    </row>
    <row r="129" spans="1:13">
      <c r="A129" t="s">
        <v>153</v>
      </c>
      <c r="B129" t="s">
        <v>132</v>
      </c>
      <c r="C129" t="s">
        <v>227</v>
      </c>
      <c r="D129" t="s">
        <v>70</v>
      </c>
      <c r="E129" t="s">
        <v>71</v>
      </c>
      <c r="F129" t="s">
        <v>20</v>
      </c>
      <c r="G129">
        <f>INDEX(Question_Bank!$J$3:$J$14,MATCH(D129,Question_Bank!$A$3:$A$14,0))</f>
        <v>0</v>
      </c>
      <c r="H129">
        <f>IF(F129=G129,1,0)</f>
        <v>0</v>
      </c>
      <c r="I129">
        <f>H129*INDEX(Question_Bank!$M$3:$M$14,MATCH(D129,Question_Bank!$A$3:$A$14,0))</f>
        <v>0</v>
      </c>
      <c r="J129">
        <f>SUMIFS($I$3:$I$566,$A$3:$A$566,A129)</f>
        <v>0</v>
      </c>
      <c r="K129" s="5">
        <f>J129/SUM(Question_Bank!$M$3:$M$14)</f>
        <v>0</v>
      </c>
      <c r="L129" s="5">
        <f>SUMIFS($I$3:$I$566,$A$3:$A$566,A129,$E$3:$E$566,E129)/SUMIFS(Question_Bank!$M$3:$M$14,Question_Bank!$B$3:$B$14,E129)</f>
        <v>0</v>
      </c>
      <c r="M129" t="s">
        <v>154</v>
      </c>
    </row>
    <row r="130" spans="1:13">
      <c r="A130" t="s">
        <v>153</v>
      </c>
      <c r="B130" t="s">
        <v>132</v>
      </c>
      <c r="C130" t="s">
        <v>227</v>
      </c>
      <c r="D130" t="s">
        <v>79</v>
      </c>
      <c r="E130" t="s">
        <v>71</v>
      </c>
      <c r="F130" t="s">
        <v>31</v>
      </c>
      <c r="G130">
        <f>INDEX(Question_Bank!$J$3:$J$14,MATCH(D130,Question_Bank!$A$3:$A$14,0))</f>
        <v>0</v>
      </c>
      <c r="H130">
        <f>IF(F130=G130,1,0)</f>
        <v>0</v>
      </c>
      <c r="I130">
        <f>H130*INDEX(Question_Bank!$M$3:$M$14,MATCH(D130,Question_Bank!$A$3:$A$14,0))</f>
        <v>0</v>
      </c>
      <c r="J130">
        <f>SUMIFS($I$3:$I$566,$A$3:$A$566,A130)</f>
        <v>0</v>
      </c>
      <c r="K130" s="5">
        <f>J130/SUM(Question_Bank!$M$3:$M$14)</f>
        <v>0</v>
      </c>
      <c r="L130" s="5">
        <f>SUMIFS($I$3:$I$566,$A$3:$A$566,A130,$E$3:$E$566,E130)/SUMIFS(Question_Bank!$M$3:$M$14,Question_Bank!$B$3:$B$14,E130)</f>
        <v>0</v>
      </c>
      <c r="M130" t="s">
        <v>154</v>
      </c>
    </row>
    <row r="131" spans="1:13">
      <c r="A131" t="s">
        <v>153</v>
      </c>
      <c r="B131" t="s">
        <v>132</v>
      </c>
      <c r="C131" t="s">
        <v>227</v>
      </c>
      <c r="D131" t="s">
        <v>87</v>
      </c>
      <c r="E131" t="s">
        <v>71</v>
      </c>
      <c r="F131" t="s">
        <v>23</v>
      </c>
      <c r="G131">
        <f>INDEX(Question_Bank!$J$3:$J$14,MATCH(D131,Question_Bank!$A$3:$A$14,0))</f>
        <v>0</v>
      </c>
      <c r="H131">
        <f>IF(F131=G131,1,0)</f>
        <v>0</v>
      </c>
      <c r="I131">
        <f>H131*INDEX(Question_Bank!$M$3:$M$14,MATCH(D131,Question_Bank!$A$3:$A$14,0))</f>
        <v>0</v>
      </c>
      <c r="J131">
        <f>SUMIFS($I$3:$I$566,$A$3:$A$566,A131)</f>
        <v>0</v>
      </c>
      <c r="K131" s="5">
        <f>J131/SUM(Question_Bank!$M$3:$M$14)</f>
        <v>0</v>
      </c>
      <c r="L131" s="5">
        <f>SUMIFS($I$3:$I$566,$A$3:$A$566,A131,$E$3:$E$566,E131)/SUMIFS(Question_Bank!$M$3:$M$14,Question_Bank!$B$3:$B$14,E131)</f>
        <v>0</v>
      </c>
      <c r="M131" t="s">
        <v>154</v>
      </c>
    </row>
    <row r="132" spans="1:13">
      <c r="A132" t="s">
        <v>153</v>
      </c>
      <c r="B132" t="s">
        <v>132</v>
      </c>
      <c r="C132" t="s">
        <v>227</v>
      </c>
      <c r="D132" t="s">
        <v>95</v>
      </c>
      <c r="E132" t="s">
        <v>96</v>
      </c>
      <c r="F132" t="s">
        <v>20</v>
      </c>
      <c r="G132">
        <f>INDEX(Question_Bank!$J$3:$J$14,MATCH(D132,Question_Bank!$A$3:$A$14,0))</f>
        <v>0</v>
      </c>
      <c r="H132">
        <f>IF(F132=G132,1,0)</f>
        <v>0</v>
      </c>
      <c r="I132">
        <f>H132*INDEX(Question_Bank!$M$3:$M$14,MATCH(D132,Question_Bank!$A$3:$A$14,0))</f>
        <v>0</v>
      </c>
      <c r="J132">
        <f>SUMIFS($I$3:$I$566,$A$3:$A$566,A132)</f>
        <v>0</v>
      </c>
      <c r="K132" s="5">
        <f>J132/SUM(Question_Bank!$M$3:$M$14)</f>
        <v>0</v>
      </c>
      <c r="L132" s="5">
        <f>SUMIFS($I$3:$I$566,$A$3:$A$566,A132,$E$3:$E$566,E132)/SUMIFS(Question_Bank!$M$3:$M$14,Question_Bank!$B$3:$B$14,E132)</f>
        <v>0</v>
      </c>
      <c r="M132" t="s">
        <v>154</v>
      </c>
    </row>
    <row r="133" spans="1:13">
      <c r="A133" t="s">
        <v>153</v>
      </c>
      <c r="B133" t="s">
        <v>132</v>
      </c>
      <c r="C133" t="s">
        <v>227</v>
      </c>
      <c r="D133" t="s">
        <v>104</v>
      </c>
      <c r="E133" t="s">
        <v>96</v>
      </c>
      <c r="F133" t="s">
        <v>20</v>
      </c>
      <c r="G133">
        <f>INDEX(Question_Bank!$J$3:$J$14,MATCH(D133,Question_Bank!$A$3:$A$14,0))</f>
        <v>0</v>
      </c>
      <c r="H133">
        <f>IF(F133=G133,1,0)</f>
        <v>0</v>
      </c>
      <c r="I133">
        <f>H133*INDEX(Question_Bank!$M$3:$M$14,MATCH(D133,Question_Bank!$A$3:$A$14,0))</f>
        <v>0</v>
      </c>
      <c r="J133">
        <f>SUMIFS($I$3:$I$566,$A$3:$A$566,A133)</f>
        <v>0</v>
      </c>
      <c r="K133" s="5">
        <f>J133/SUM(Question_Bank!$M$3:$M$14)</f>
        <v>0</v>
      </c>
      <c r="L133" s="5">
        <f>SUMIFS($I$3:$I$566,$A$3:$A$566,A133,$E$3:$E$566,E133)/SUMIFS(Question_Bank!$M$3:$M$14,Question_Bank!$B$3:$B$14,E133)</f>
        <v>0</v>
      </c>
      <c r="M133" t="s">
        <v>154</v>
      </c>
    </row>
    <row r="134" spans="1:13">
      <c r="A134" t="s">
        <v>153</v>
      </c>
      <c r="B134" t="s">
        <v>132</v>
      </c>
      <c r="C134" t="s">
        <v>227</v>
      </c>
      <c r="D134" t="s">
        <v>112</v>
      </c>
      <c r="E134" t="s">
        <v>96</v>
      </c>
      <c r="F134" t="s">
        <v>20</v>
      </c>
      <c r="G134">
        <f>INDEX(Question_Bank!$J$3:$J$14,MATCH(D134,Question_Bank!$A$3:$A$14,0))</f>
        <v>0</v>
      </c>
      <c r="H134">
        <f>IF(F134=G134,1,0)</f>
        <v>0</v>
      </c>
      <c r="I134">
        <f>H134*INDEX(Question_Bank!$M$3:$M$14,MATCH(D134,Question_Bank!$A$3:$A$14,0))</f>
        <v>0</v>
      </c>
      <c r="J134">
        <f>SUMIFS($I$3:$I$566,$A$3:$A$566,A134)</f>
        <v>0</v>
      </c>
      <c r="K134" s="5">
        <f>J134/SUM(Question_Bank!$M$3:$M$14)</f>
        <v>0</v>
      </c>
      <c r="L134" s="5">
        <f>SUMIFS($I$3:$I$566,$A$3:$A$566,A134,$E$3:$E$566,E134)/SUMIFS(Question_Bank!$M$3:$M$14,Question_Bank!$B$3:$B$14,E134)</f>
        <v>0</v>
      </c>
      <c r="M134" t="s">
        <v>154</v>
      </c>
    </row>
    <row r="135" spans="1:13">
      <c r="A135" t="s">
        <v>155</v>
      </c>
      <c r="B135" t="s">
        <v>132</v>
      </c>
      <c r="C135" t="s">
        <v>227</v>
      </c>
      <c r="D135" t="s">
        <v>14</v>
      </c>
      <c r="E135" t="s">
        <v>15</v>
      </c>
      <c r="F135" t="s">
        <v>23</v>
      </c>
      <c r="G135">
        <f>INDEX(Question_Bank!$J$3:$J$14,MATCH(D135,Question_Bank!$A$3:$A$14,0))</f>
        <v>0</v>
      </c>
      <c r="H135">
        <f>IF(F135=G135,1,0)</f>
        <v>0</v>
      </c>
      <c r="I135">
        <f>H135*INDEX(Question_Bank!$M$3:$M$14,MATCH(D135,Question_Bank!$A$3:$A$14,0))</f>
        <v>0</v>
      </c>
      <c r="J135">
        <f>SUMIFS($I$3:$I$566,$A$3:$A$566,A135)</f>
        <v>0</v>
      </c>
      <c r="K135" s="5">
        <f>J135/SUM(Question_Bank!$M$3:$M$14)</f>
        <v>0</v>
      </c>
      <c r="L135" s="5">
        <f>SUMIFS($I$3:$I$566,$A$3:$A$566,A135,$E$3:$E$566,E135)/SUMIFS(Question_Bank!$M$3:$M$14,Question_Bank!$B$3:$B$14,E135)</f>
        <v>0</v>
      </c>
      <c r="M135" t="s">
        <v>156</v>
      </c>
    </row>
    <row r="136" spans="1:13">
      <c r="A136" t="s">
        <v>155</v>
      </c>
      <c r="B136" t="s">
        <v>132</v>
      </c>
      <c r="C136" t="s">
        <v>227</v>
      </c>
      <c r="D136" t="s">
        <v>26</v>
      </c>
      <c r="E136" t="s">
        <v>15</v>
      </c>
      <c r="F136" t="s">
        <v>34</v>
      </c>
      <c r="G136">
        <f>INDEX(Question_Bank!$J$3:$J$14,MATCH(D136,Question_Bank!$A$3:$A$14,0))</f>
        <v>0</v>
      </c>
      <c r="H136">
        <f>IF(F136=G136,1,0)</f>
        <v>0</v>
      </c>
      <c r="I136">
        <f>H136*INDEX(Question_Bank!$M$3:$M$14,MATCH(D136,Question_Bank!$A$3:$A$14,0))</f>
        <v>0</v>
      </c>
      <c r="J136">
        <f>SUMIFS($I$3:$I$566,$A$3:$A$566,A136)</f>
        <v>0</v>
      </c>
      <c r="K136" s="5">
        <f>J136/SUM(Question_Bank!$M$3:$M$14)</f>
        <v>0</v>
      </c>
      <c r="L136" s="5">
        <f>SUMIFS($I$3:$I$566,$A$3:$A$566,A136,$E$3:$E$566,E136)/SUMIFS(Question_Bank!$M$3:$M$14,Question_Bank!$B$3:$B$14,E136)</f>
        <v>0</v>
      </c>
      <c r="M136" t="s">
        <v>156</v>
      </c>
    </row>
    <row r="137" spans="1:13">
      <c r="A137" t="s">
        <v>155</v>
      </c>
      <c r="B137" t="s">
        <v>132</v>
      </c>
      <c r="C137" t="s">
        <v>227</v>
      </c>
      <c r="D137" t="s">
        <v>37</v>
      </c>
      <c r="E137" t="s">
        <v>15</v>
      </c>
      <c r="F137" t="s">
        <v>34</v>
      </c>
      <c r="G137">
        <f>INDEX(Question_Bank!$J$3:$J$14,MATCH(D137,Question_Bank!$A$3:$A$14,0))</f>
        <v>0</v>
      </c>
      <c r="H137">
        <f>IF(F137=G137,1,0)</f>
        <v>0</v>
      </c>
      <c r="I137">
        <f>H137*INDEX(Question_Bank!$M$3:$M$14,MATCH(D137,Question_Bank!$A$3:$A$14,0))</f>
        <v>0</v>
      </c>
      <c r="J137">
        <f>SUMIFS($I$3:$I$566,$A$3:$A$566,A137)</f>
        <v>0</v>
      </c>
      <c r="K137" s="5">
        <f>J137/SUM(Question_Bank!$M$3:$M$14)</f>
        <v>0</v>
      </c>
      <c r="L137" s="5">
        <f>SUMIFS($I$3:$I$566,$A$3:$A$566,A137,$E$3:$E$566,E137)/SUMIFS(Question_Bank!$M$3:$M$14,Question_Bank!$B$3:$B$14,E137)</f>
        <v>0</v>
      </c>
      <c r="M137" t="s">
        <v>156</v>
      </c>
    </row>
    <row r="138" spans="1:13">
      <c r="A138" t="s">
        <v>155</v>
      </c>
      <c r="B138" t="s">
        <v>132</v>
      </c>
      <c r="C138" t="s">
        <v>227</v>
      </c>
      <c r="D138" t="s">
        <v>45</v>
      </c>
      <c r="E138" t="s">
        <v>46</v>
      </c>
      <c r="F138" t="s">
        <v>20</v>
      </c>
      <c r="G138">
        <f>INDEX(Question_Bank!$J$3:$J$14,MATCH(D138,Question_Bank!$A$3:$A$14,0))</f>
        <v>0</v>
      </c>
      <c r="H138">
        <f>IF(F138=G138,1,0)</f>
        <v>0</v>
      </c>
      <c r="I138">
        <f>H138*INDEX(Question_Bank!$M$3:$M$14,MATCH(D138,Question_Bank!$A$3:$A$14,0))</f>
        <v>0</v>
      </c>
      <c r="J138">
        <f>SUMIFS($I$3:$I$566,$A$3:$A$566,A138)</f>
        <v>0</v>
      </c>
      <c r="K138" s="5">
        <f>J138/SUM(Question_Bank!$M$3:$M$14)</f>
        <v>0</v>
      </c>
      <c r="L138" s="5">
        <f>SUMIFS($I$3:$I$566,$A$3:$A$566,A138,$E$3:$E$566,E138)/SUMIFS(Question_Bank!$M$3:$M$14,Question_Bank!$B$3:$B$14,E138)</f>
        <v>0</v>
      </c>
      <c r="M138" t="s">
        <v>156</v>
      </c>
    </row>
    <row r="139" spans="1:13">
      <c r="A139" t="s">
        <v>155</v>
      </c>
      <c r="B139" t="s">
        <v>132</v>
      </c>
      <c r="C139" t="s">
        <v>227</v>
      </c>
      <c r="D139" t="s">
        <v>54</v>
      </c>
      <c r="E139" t="s">
        <v>46</v>
      </c>
      <c r="F139" t="s">
        <v>23</v>
      </c>
      <c r="G139">
        <f>INDEX(Question_Bank!$J$3:$J$14,MATCH(D139,Question_Bank!$A$3:$A$14,0))</f>
        <v>0</v>
      </c>
      <c r="H139">
        <f>IF(F139=G139,1,0)</f>
        <v>0</v>
      </c>
      <c r="I139">
        <f>H139*INDEX(Question_Bank!$M$3:$M$14,MATCH(D139,Question_Bank!$A$3:$A$14,0))</f>
        <v>0</v>
      </c>
      <c r="J139">
        <f>SUMIFS($I$3:$I$566,$A$3:$A$566,A139)</f>
        <v>0</v>
      </c>
      <c r="K139" s="5">
        <f>J139/SUM(Question_Bank!$M$3:$M$14)</f>
        <v>0</v>
      </c>
      <c r="L139" s="5">
        <f>SUMIFS($I$3:$I$566,$A$3:$A$566,A139,$E$3:$E$566,E139)/SUMIFS(Question_Bank!$M$3:$M$14,Question_Bank!$B$3:$B$14,E139)</f>
        <v>0</v>
      </c>
      <c r="M139" t="s">
        <v>156</v>
      </c>
    </row>
    <row r="140" spans="1:13">
      <c r="A140" t="s">
        <v>155</v>
      </c>
      <c r="B140" t="s">
        <v>132</v>
      </c>
      <c r="C140" t="s">
        <v>227</v>
      </c>
      <c r="D140" t="s">
        <v>62</v>
      </c>
      <c r="E140" t="s">
        <v>46</v>
      </c>
      <c r="F140" t="s">
        <v>34</v>
      </c>
      <c r="G140">
        <f>INDEX(Question_Bank!$J$3:$J$14,MATCH(D140,Question_Bank!$A$3:$A$14,0))</f>
        <v>0</v>
      </c>
      <c r="H140">
        <f>IF(F140=G140,1,0)</f>
        <v>0</v>
      </c>
      <c r="I140">
        <f>H140*INDEX(Question_Bank!$M$3:$M$14,MATCH(D140,Question_Bank!$A$3:$A$14,0))</f>
        <v>0</v>
      </c>
      <c r="J140">
        <f>SUMIFS($I$3:$I$566,$A$3:$A$566,A140)</f>
        <v>0</v>
      </c>
      <c r="K140" s="5">
        <f>J140/SUM(Question_Bank!$M$3:$M$14)</f>
        <v>0</v>
      </c>
      <c r="L140" s="5">
        <f>SUMIFS($I$3:$I$566,$A$3:$A$566,A140,$E$3:$E$566,E140)/SUMIFS(Question_Bank!$M$3:$M$14,Question_Bank!$B$3:$B$14,E140)</f>
        <v>0</v>
      </c>
      <c r="M140" t="s">
        <v>156</v>
      </c>
    </row>
    <row r="141" spans="1:13">
      <c r="A141" t="s">
        <v>155</v>
      </c>
      <c r="B141" t="s">
        <v>132</v>
      </c>
      <c r="C141" t="s">
        <v>227</v>
      </c>
      <c r="D141" t="s">
        <v>70</v>
      </c>
      <c r="E141" t="s">
        <v>71</v>
      </c>
      <c r="F141" t="s">
        <v>20</v>
      </c>
      <c r="G141">
        <f>INDEX(Question_Bank!$J$3:$J$14,MATCH(D141,Question_Bank!$A$3:$A$14,0))</f>
        <v>0</v>
      </c>
      <c r="H141">
        <f>IF(F141=G141,1,0)</f>
        <v>0</v>
      </c>
      <c r="I141">
        <f>H141*INDEX(Question_Bank!$M$3:$M$14,MATCH(D141,Question_Bank!$A$3:$A$14,0))</f>
        <v>0</v>
      </c>
      <c r="J141">
        <f>SUMIFS($I$3:$I$566,$A$3:$A$566,A141)</f>
        <v>0</v>
      </c>
      <c r="K141" s="5">
        <f>J141/SUM(Question_Bank!$M$3:$M$14)</f>
        <v>0</v>
      </c>
      <c r="L141" s="5">
        <f>SUMIFS($I$3:$I$566,$A$3:$A$566,A141,$E$3:$E$566,E141)/SUMIFS(Question_Bank!$M$3:$M$14,Question_Bank!$B$3:$B$14,E141)</f>
        <v>0</v>
      </c>
      <c r="M141" t="s">
        <v>156</v>
      </c>
    </row>
    <row r="142" spans="1:13">
      <c r="A142" t="s">
        <v>155</v>
      </c>
      <c r="B142" t="s">
        <v>132</v>
      </c>
      <c r="C142" t="s">
        <v>227</v>
      </c>
      <c r="D142" t="s">
        <v>79</v>
      </c>
      <c r="E142" t="s">
        <v>71</v>
      </c>
      <c r="F142" t="s">
        <v>31</v>
      </c>
      <c r="G142">
        <f>INDEX(Question_Bank!$J$3:$J$14,MATCH(D142,Question_Bank!$A$3:$A$14,0))</f>
        <v>0</v>
      </c>
      <c r="H142">
        <f>IF(F142=G142,1,0)</f>
        <v>0</v>
      </c>
      <c r="I142">
        <f>H142*INDEX(Question_Bank!$M$3:$M$14,MATCH(D142,Question_Bank!$A$3:$A$14,0))</f>
        <v>0</v>
      </c>
      <c r="J142">
        <f>SUMIFS($I$3:$I$566,$A$3:$A$566,A142)</f>
        <v>0</v>
      </c>
      <c r="K142" s="5">
        <f>J142/SUM(Question_Bank!$M$3:$M$14)</f>
        <v>0</v>
      </c>
      <c r="L142" s="5">
        <f>SUMIFS($I$3:$I$566,$A$3:$A$566,A142,$E$3:$E$566,E142)/SUMIFS(Question_Bank!$M$3:$M$14,Question_Bank!$B$3:$B$14,E142)</f>
        <v>0</v>
      </c>
      <c r="M142" t="s">
        <v>156</v>
      </c>
    </row>
    <row r="143" spans="1:13">
      <c r="A143" t="s">
        <v>155</v>
      </c>
      <c r="B143" t="s">
        <v>132</v>
      </c>
      <c r="C143" t="s">
        <v>227</v>
      </c>
      <c r="D143" t="s">
        <v>87</v>
      </c>
      <c r="E143" t="s">
        <v>71</v>
      </c>
      <c r="F143" t="s">
        <v>20</v>
      </c>
      <c r="G143">
        <f>INDEX(Question_Bank!$J$3:$J$14,MATCH(D143,Question_Bank!$A$3:$A$14,0))</f>
        <v>0</v>
      </c>
      <c r="H143">
        <f>IF(F143=G143,1,0)</f>
        <v>0</v>
      </c>
      <c r="I143">
        <f>H143*INDEX(Question_Bank!$M$3:$M$14,MATCH(D143,Question_Bank!$A$3:$A$14,0))</f>
        <v>0</v>
      </c>
      <c r="J143">
        <f>SUMIFS($I$3:$I$566,$A$3:$A$566,A143)</f>
        <v>0</v>
      </c>
      <c r="K143" s="5">
        <f>J143/SUM(Question_Bank!$M$3:$M$14)</f>
        <v>0</v>
      </c>
      <c r="L143" s="5">
        <f>SUMIFS($I$3:$I$566,$A$3:$A$566,A143,$E$3:$E$566,E143)/SUMIFS(Question_Bank!$M$3:$M$14,Question_Bank!$B$3:$B$14,E143)</f>
        <v>0</v>
      </c>
      <c r="M143" t="s">
        <v>156</v>
      </c>
    </row>
    <row r="144" spans="1:13">
      <c r="A144" t="s">
        <v>155</v>
      </c>
      <c r="B144" t="s">
        <v>132</v>
      </c>
      <c r="C144" t="s">
        <v>227</v>
      </c>
      <c r="D144" t="s">
        <v>95</v>
      </c>
      <c r="E144" t="s">
        <v>96</v>
      </c>
      <c r="F144" t="s">
        <v>23</v>
      </c>
      <c r="G144">
        <f>INDEX(Question_Bank!$J$3:$J$14,MATCH(D144,Question_Bank!$A$3:$A$14,0))</f>
        <v>0</v>
      </c>
      <c r="H144">
        <f>IF(F144=G144,1,0)</f>
        <v>0</v>
      </c>
      <c r="I144">
        <f>H144*INDEX(Question_Bank!$M$3:$M$14,MATCH(D144,Question_Bank!$A$3:$A$14,0))</f>
        <v>0</v>
      </c>
      <c r="J144">
        <f>SUMIFS($I$3:$I$566,$A$3:$A$566,A144)</f>
        <v>0</v>
      </c>
      <c r="K144" s="5">
        <f>J144/SUM(Question_Bank!$M$3:$M$14)</f>
        <v>0</v>
      </c>
      <c r="L144" s="5">
        <f>SUMIFS($I$3:$I$566,$A$3:$A$566,A144,$E$3:$E$566,E144)/SUMIFS(Question_Bank!$M$3:$M$14,Question_Bank!$B$3:$B$14,E144)</f>
        <v>0</v>
      </c>
      <c r="M144" t="s">
        <v>156</v>
      </c>
    </row>
    <row r="145" spans="1:13">
      <c r="A145" t="s">
        <v>155</v>
      </c>
      <c r="B145" t="s">
        <v>132</v>
      </c>
      <c r="C145" t="s">
        <v>227</v>
      </c>
      <c r="D145" t="s">
        <v>104</v>
      </c>
      <c r="E145" t="s">
        <v>96</v>
      </c>
      <c r="F145" t="s">
        <v>31</v>
      </c>
      <c r="G145">
        <f>INDEX(Question_Bank!$J$3:$J$14,MATCH(D145,Question_Bank!$A$3:$A$14,0))</f>
        <v>0</v>
      </c>
      <c r="H145">
        <f>IF(F145=G145,1,0)</f>
        <v>0</v>
      </c>
      <c r="I145">
        <f>H145*INDEX(Question_Bank!$M$3:$M$14,MATCH(D145,Question_Bank!$A$3:$A$14,0))</f>
        <v>0</v>
      </c>
      <c r="J145">
        <f>SUMIFS($I$3:$I$566,$A$3:$A$566,A145)</f>
        <v>0</v>
      </c>
      <c r="K145" s="5">
        <f>J145/SUM(Question_Bank!$M$3:$M$14)</f>
        <v>0</v>
      </c>
      <c r="L145" s="5">
        <f>SUMIFS($I$3:$I$566,$A$3:$A$566,A145,$E$3:$E$566,E145)/SUMIFS(Question_Bank!$M$3:$M$14,Question_Bank!$B$3:$B$14,E145)</f>
        <v>0</v>
      </c>
      <c r="M145" t="s">
        <v>156</v>
      </c>
    </row>
    <row r="146" spans="1:13">
      <c r="A146" t="s">
        <v>155</v>
      </c>
      <c r="B146" t="s">
        <v>132</v>
      </c>
      <c r="C146" t="s">
        <v>227</v>
      </c>
      <c r="D146" t="s">
        <v>112</v>
      </c>
      <c r="E146" t="s">
        <v>96</v>
      </c>
      <c r="F146" t="s">
        <v>34</v>
      </c>
      <c r="G146">
        <f>INDEX(Question_Bank!$J$3:$J$14,MATCH(D146,Question_Bank!$A$3:$A$14,0))</f>
        <v>0</v>
      </c>
      <c r="H146">
        <f>IF(F146=G146,1,0)</f>
        <v>0</v>
      </c>
      <c r="I146">
        <f>H146*INDEX(Question_Bank!$M$3:$M$14,MATCH(D146,Question_Bank!$A$3:$A$14,0))</f>
        <v>0</v>
      </c>
      <c r="J146">
        <f>SUMIFS($I$3:$I$566,$A$3:$A$566,A146)</f>
        <v>0</v>
      </c>
      <c r="K146" s="5">
        <f>J146/SUM(Question_Bank!$M$3:$M$14)</f>
        <v>0</v>
      </c>
      <c r="L146" s="5">
        <f>SUMIFS($I$3:$I$566,$A$3:$A$566,A146,$E$3:$E$566,E146)/SUMIFS(Question_Bank!$M$3:$M$14,Question_Bank!$B$3:$B$14,E146)</f>
        <v>0</v>
      </c>
      <c r="M146" t="s">
        <v>156</v>
      </c>
    </row>
    <row r="147" spans="1:13">
      <c r="A147" t="s">
        <v>157</v>
      </c>
      <c r="B147" t="s">
        <v>132</v>
      </c>
      <c r="C147" t="s">
        <v>227</v>
      </c>
      <c r="D147" t="s">
        <v>14</v>
      </c>
      <c r="E147" t="s">
        <v>15</v>
      </c>
      <c r="F147" t="s">
        <v>23</v>
      </c>
      <c r="G147">
        <f>INDEX(Question_Bank!$J$3:$J$14,MATCH(D147,Question_Bank!$A$3:$A$14,0))</f>
        <v>0</v>
      </c>
      <c r="H147">
        <f>IF(F147=G147,1,0)</f>
        <v>0</v>
      </c>
      <c r="I147">
        <f>H147*INDEX(Question_Bank!$M$3:$M$14,MATCH(D147,Question_Bank!$A$3:$A$14,0))</f>
        <v>0</v>
      </c>
      <c r="J147">
        <f>SUMIFS($I$3:$I$566,$A$3:$A$566,A147)</f>
        <v>0</v>
      </c>
      <c r="K147" s="5">
        <f>J147/SUM(Question_Bank!$M$3:$M$14)</f>
        <v>0</v>
      </c>
      <c r="L147" s="5">
        <f>SUMIFS($I$3:$I$566,$A$3:$A$566,A147,$E$3:$E$566,E147)/SUMIFS(Question_Bank!$M$3:$M$14,Question_Bank!$B$3:$B$14,E147)</f>
        <v>0</v>
      </c>
      <c r="M147" t="s">
        <v>158</v>
      </c>
    </row>
    <row r="148" spans="1:13">
      <c r="A148" t="s">
        <v>157</v>
      </c>
      <c r="B148" t="s">
        <v>132</v>
      </c>
      <c r="C148" t="s">
        <v>227</v>
      </c>
      <c r="D148" t="s">
        <v>26</v>
      </c>
      <c r="E148" t="s">
        <v>15</v>
      </c>
      <c r="F148" t="s">
        <v>20</v>
      </c>
      <c r="G148">
        <f>INDEX(Question_Bank!$J$3:$J$14,MATCH(D148,Question_Bank!$A$3:$A$14,0))</f>
        <v>0</v>
      </c>
      <c r="H148">
        <f>IF(F148=G148,1,0)</f>
        <v>0</v>
      </c>
      <c r="I148">
        <f>H148*INDEX(Question_Bank!$M$3:$M$14,MATCH(D148,Question_Bank!$A$3:$A$14,0))</f>
        <v>0</v>
      </c>
      <c r="J148">
        <f>SUMIFS($I$3:$I$566,$A$3:$A$566,A148)</f>
        <v>0</v>
      </c>
      <c r="K148" s="5">
        <f>J148/SUM(Question_Bank!$M$3:$M$14)</f>
        <v>0</v>
      </c>
      <c r="L148" s="5">
        <f>SUMIFS($I$3:$I$566,$A$3:$A$566,A148,$E$3:$E$566,E148)/SUMIFS(Question_Bank!$M$3:$M$14,Question_Bank!$B$3:$B$14,E148)</f>
        <v>0</v>
      </c>
      <c r="M148" t="s">
        <v>158</v>
      </c>
    </row>
    <row r="149" spans="1:13">
      <c r="A149" t="s">
        <v>157</v>
      </c>
      <c r="B149" t="s">
        <v>132</v>
      </c>
      <c r="C149" t="s">
        <v>227</v>
      </c>
      <c r="D149" t="s">
        <v>37</v>
      </c>
      <c r="E149" t="s">
        <v>15</v>
      </c>
      <c r="F149" t="s">
        <v>20</v>
      </c>
      <c r="G149">
        <f>INDEX(Question_Bank!$J$3:$J$14,MATCH(D149,Question_Bank!$A$3:$A$14,0))</f>
        <v>0</v>
      </c>
      <c r="H149">
        <f>IF(F149=G149,1,0)</f>
        <v>0</v>
      </c>
      <c r="I149">
        <f>H149*INDEX(Question_Bank!$M$3:$M$14,MATCH(D149,Question_Bank!$A$3:$A$14,0))</f>
        <v>0</v>
      </c>
      <c r="J149">
        <f>SUMIFS($I$3:$I$566,$A$3:$A$566,A149)</f>
        <v>0</v>
      </c>
      <c r="K149" s="5">
        <f>J149/SUM(Question_Bank!$M$3:$M$14)</f>
        <v>0</v>
      </c>
      <c r="L149" s="5">
        <f>SUMIFS($I$3:$I$566,$A$3:$A$566,A149,$E$3:$E$566,E149)/SUMIFS(Question_Bank!$M$3:$M$14,Question_Bank!$B$3:$B$14,E149)</f>
        <v>0</v>
      </c>
      <c r="M149" t="s">
        <v>158</v>
      </c>
    </row>
    <row r="150" spans="1:13">
      <c r="A150" t="s">
        <v>157</v>
      </c>
      <c r="B150" t="s">
        <v>132</v>
      </c>
      <c r="C150" t="s">
        <v>227</v>
      </c>
      <c r="D150" t="s">
        <v>45</v>
      </c>
      <c r="E150" t="s">
        <v>46</v>
      </c>
      <c r="F150" t="s">
        <v>31</v>
      </c>
      <c r="G150">
        <f>INDEX(Question_Bank!$J$3:$J$14,MATCH(D150,Question_Bank!$A$3:$A$14,0))</f>
        <v>0</v>
      </c>
      <c r="H150">
        <f>IF(F150=G150,1,0)</f>
        <v>0</v>
      </c>
      <c r="I150">
        <f>H150*INDEX(Question_Bank!$M$3:$M$14,MATCH(D150,Question_Bank!$A$3:$A$14,0))</f>
        <v>0</v>
      </c>
      <c r="J150">
        <f>SUMIFS($I$3:$I$566,$A$3:$A$566,A150)</f>
        <v>0</v>
      </c>
      <c r="K150" s="5">
        <f>J150/SUM(Question_Bank!$M$3:$M$14)</f>
        <v>0</v>
      </c>
      <c r="L150" s="5">
        <f>SUMIFS($I$3:$I$566,$A$3:$A$566,A150,$E$3:$E$566,E150)/SUMIFS(Question_Bank!$M$3:$M$14,Question_Bank!$B$3:$B$14,E150)</f>
        <v>0</v>
      </c>
      <c r="M150" t="s">
        <v>158</v>
      </c>
    </row>
    <row r="151" spans="1:13">
      <c r="A151" t="s">
        <v>157</v>
      </c>
      <c r="B151" t="s">
        <v>132</v>
      </c>
      <c r="C151" t="s">
        <v>227</v>
      </c>
      <c r="D151" t="s">
        <v>54</v>
      </c>
      <c r="E151" t="s">
        <v>46</v>
      </c>
      <c r="F151" t="s">
        <v>23</v>
      </c>
      <c r="G151">
        <f>INDEX(Question_Bank!$J$3:$J$14,MATCH(D151,Question_Bank!$A$3:$A$14,0))</f>
        <v>0</v>
      </c>
      <c r="H151">
        <f>IF(F151=G151,1,0)</f>
        <v>0</v>
      </c>
      <c r="I151">
        <f>H151*INDEX(Question_Bank!$M$3:$M$14,MATCH(D151,Question_Bank!$A$3:$A$14,0))</f>
        <v>0</v>
      </c>
      <c r="J151">
        <f>SUMIFS($I$3:$I$566,$A$3:$A$566,A151)</f>
        <v>0</v>
      </c>
      <c r="K151" s="5">
        <f>J151/SUM(Question_Bank!$M$3:$M$14)</f>
        <v>0</v>
      </c>
      <c r="L151" s="5">
        <f>SUMIFS($I$3:$I$566,$A$3:$A$566,A151,$E$3:$E$566,E151)/SUMIFS(Question_Bank!$M$3:$M$14,Question_Bank!$B$3:$B$14,E151)</f>
        <v>0</v>
      </c>
      <c r="M151" t="s">
        <v>158</v>
      </c>
    </row>
    <row r="152" spans="1:13">
      <c r="A152" t="s">
        <v>157</v>
      </c>
      <c r="B152" t="s">
        <v>132</v>
      </c>
      <c r="C152" t="s">
        <v>227</v>
      </c>
      <c r="D152" t="s">
        <v>62</v>
      </c>
      <c r="E152" t="s">
        <v>46</v>
      </c>
      <c r="F152" t="s">
        <v>34</v>
      </c>
      <c r="G152">
        <f>INDEX(Question_Bank!$J$3:$J$14,MATCH(D152,Question_Bank!$A$3:$A$14,0))</f>
        <v>0</v>
      </c>
      <c r="H152">
        <f>IF(F152=G152,1,0)</f>
        <v>0</v>
      </c>
      <c r="I152">
        <f>H152*INDEX(Question_Bank!$M$3:$M$14,MATCH(D152,Question_Bank!$A$3:$A$14,0))</f>
        <v>0</v>
      </c>
      <c r="J152">
        <f>SUMIFS($I$3:$I$566,$A$3:$A$566,A152)</f>
        <v>0</v>
      </c>
      <c r="K152" s="5">
        <f>J152/SUM(Question_Bank!$M$3:$M$14)</f>
        <v>0</v>
      </c>
      <c r="L152" s="5">
        <f>SUMIFS($I$3:$I$566,$A$3:$A$566,A152,$E$3:$E$566,E152)/SUMIFS(Question_Bank!$M$3:$M$14,Question_Bank!$B$3:$B$14,E152)</f>
        <v>0</v>
      </c>
      <c r="M152" t="s">
        <v>158</v>
      </c>
    </row>
    <row r="153" spans="1:13">
      <c r="A153" t="s">
        <v>157</v>
      </c>
      <c r="B153" t="s">
        <v>132</v>
      </c>
      <c r="C153" t="s">
        <v>227</v>
      </c>
      <c r="D153" t="s">
        <v>70</v>
      </c>
      <c r="E153" t="s">
        <v>71</v>
      </c>
      <c r="F153" t="s">
        <v>23</v>
      </c>
      <c r="G153">
        <f>INDEX(Question_Bank!$J$3:$J$14,MATCH(D153,Question_Bank!$A$3:$A$14,0))</f>
        <v>0</v>
      </c>
      <c r="H153">
        <f>IF(F153=G153,1,0)</f>
        <v>0</v>
      </c>
      <c r="I153">
        <f>H153*INDEX(Question_Bank!$M$3:$M$14,MATCH(D153,Question_Bank!$A$3:$A$14,0))</f>
        <v>0</v>
      </c>
      <c r="J153">
        <f>SUMIFS($I$3:$I$566,$A$3:$A$566,A153)</f>
        <v>0</v>
      </c>
      <c r="K153" s="5">
        <f>J153/SUM(Question_Bank!$M$3:$M$14)</f>
        <v>0</v>
      </c>
      <c r="L153" s="5">
        <f>SUMIFS($I$3:$I$566,$A$3:$A$566,A153,$E$3:$E$566,E153)/SUMIFS(Question_Bank!$M$3:$M$14,Question_Bank!$B$3:$B$14,E153)</f>
        <v>0</v>
      </c>
      <c r="M153" t="s">
        <v>158</v>
      </c>
    </row>
    <row r="154" spans="1:13">
      <c r="A154" t="s">
        <v>157</v>
      </c>
      <c r="B154" t="s">
        <v>132</v>
      </c>
      <c r="C154" t="s">
        <v>227</v>
      </c>
      <c r="D154" t="s">
        <v>79</v>
      </c>
      <c r="E154" t="s">
        <v>71</v>
      </c>
      <c r="F154" t="s">
        <v>31</v>
      </c>
      <c r="G154">
        <f>INDEX(Question_Bank!$J$3:$J$14,MATCH(D154,Question_Bank!$A$3:$A$14,0))</f>
        <v>0</v>
      </c>
      <c r="H154">
        <f>IF(F154=G154,1,0)</f>
        <v>0</v>
      </c>
      <c r="I154">
        <f>H154*INDEX(Question_Bank!$M$3:$M$14,MATCH(D154,Question_Bank!$A$3:$A$14,0))</f>
        <v>0</v>
      </c>
      <c r="J154">
        <f>SUMIFS($I$3:$I$566,$A$3:$A$566,A154)</f>
        <v>0</v>
      </c>
      <c r="K154" s="5">
        <f>J154/SUM(Question_Bank!$M$3:$M$14)</f>
        <v>0</v>
      </c>
      <c r="L154" s="5">
        <f>SUMIFS($I$3:$I$566,$A$3:$A$566,A154,$E$3:$E$566,E154)/SUMIFS(Question_Bank!$M$3:$M$14,Question_Bank!$B$3:$B$14,E154)</f>
        <v>0</v>
      </c>
      <c r="M154" t="s">
        <v>158</v>
      </c>
    </row>
    <row r="155" spans="1:13">
      <c r="A155" t="s">
        <v>157</v>
      </c>
      <c r="B155" t="s">
        <v>132</v>
      </c>
      <c r="C155" t="s">
        <v>227</v>
      </c>
      <c r="D155" t="s">
        <v>87</v>
      </c>
      <c r="E155" t="s">
        <v>71</v>
      </c>
      <c r="F155" t="s">
        <v>23</v>
      </c>
      <c r="G155">
        <f>INDEX(Question_Bank!$J$3:$J$14,MATCH(D155,Question_Bank!$A$3:$A$14,0))</f>
        <v>0</v>
      </c>
      <c r="H155">
        <f>IF(F155=G155,1,0)</f>
        <v>0</v>
      </c>
      <c r="I155">
        <f>H155*INDEX(Question_Bank!$M$3:$M$14,MATCH(D155,Question_Bank!$A$3:$A$14,0))</f>
        <v>0</v>
      </c>
      <c r="J155">
        <f>SUMIFS($I$3:$I$566,$A$3:$A$566,A155)</f>
        <v>0</v>
      </c>
      <c r="K155" s="5">
        <f>J155/SUM(Question_Bank!$M$3:$M$14)</f>
        <v>0</v>
      </c>
      <c r="L155" s="5">
        <f>SUMIFS($I$3:$I$566,$A$3:$A$566,A155,$E$3:$E$566,E155)/SUMIFS(Question_Bank!$M$3:$M$14,Question_Bank!$B$3:$B$14,E155)</f>
        <v>0</v>
      </c>
      <c r="M155" t="s">
        <v>158</v>
      </c>
    </row>
    <row r="156" spans="1:13">
      <c r="A156" t="s">
        <v>157</v>
      </c>
      <c r="B156" t="s">
        <v>132</v>
      </c>
      <c r="C156" t="s">
        <v>227</v>
      </c>
      <c r="D156" t="s">
        <v>95</v>
      </c>
      <c r="E156" t="s">
        <v>96</v>
      </c>
      <c r="F156" t="s">
        <v>34</v>
      </c>
      <c r="G156">
        <f>INDEX(Question_Bank!$J$3:$J$14,MATCH(D156,Question_Bank!$A$3:$A$14,0))</f>
        <v>0</v>
      </c>
      <c r="H156">
        <f>IF(F156=G156,1,0)</f>
        <v>0</v>
      </c>
      <c r="I156">
        <f>H156*INDEX(Question_Bank!$M$3:$M$14,MATCH(D156,Question_Bank!$A$3:$A$14,0))</f>
        <v>0</v>
      </c>
      <c r="J156">
        <f>SUMIFS($I$3:$I$566,$A$3:$A$566,A156)</f>
        <v>0</v>
      </c>
      <c r="K156" s="5">
        <f>J156/SUM(Question_Bank!$M$3:$M$14)</f>
        <v>0</v>
      </c>
      <c r="L156" s="5">
        <f>SUMIFS($I$3:$I$566,$A$3:$A$566,A156,$E$3:$E$566,E156)/SUMIFS(Question_Bank!$M$3:$M$14,Question_Bank!$B$3:$B$14,E156)</f>
        <v>0</v>
      </c>
      <c r="M156" t="s">
        <v>158</v>
      </c>
    </row>
    <row r="157" spans="1:13">
      <c r="A157" t="s">
        <v>157</v>
      </c>
      <c r="B157" t="s">
        <v>132</v>
      </c>
      <c r="C157" t="s">
        <v>227</v>
      </c>
      <c r="D157" t="s">
        <v>104</v>
      </c>
      <c r="E157" t="s">
        <v>96</v>
      </c>
      <c r="F157" t="s">
        <v>20</v>
      </c>
      <c r="G157">
        <f>INDEX(Question_Bank!$J$3:$J$14,MATCH(D157,Question_Bank!$A$3:$A$14,0))</f>
        <v>0</v>
      </c>
      <c r="H157">
        <f>IF(F157=G157,1,0)</f>
        <v>0</v>
      </c>
      <c r="I157">
        <f>H157*INDEX(Question_Bank!$M$3:$M$14,MATCH(D157,Question_Bank!$A$3:$A$14,0))</f>
        <v>0</v>
      </c>
      <c r="J157">
        <f>SUMIFS($I$3:$I$566,$A$3:$A$566,A157)</f>
        <v>0</v>
      </c>
      <c r="K157" s="5">
        <f>J157/SUM(Question_Bank!$M$3:$M$14)</f>
        <v>0</v>
      </c>
      <c r="L157" s="5">
        <f>SUMIFS($I$3:$I$566,$A$3:$A$566,A157,$E$3:$E$566,E157)/SUMIFS(Question_Bank!$M$3:$M$14,Question_Bank!$B$3:$B$14,E157)</f>
        <v>0</v>
      </c>
      <c r="M157" t="s">
        <v>158</v>
      </c>
    </row>
    <row r="158" spans="1:13">
      <c r="A158" t="s">
        <v>157</v>
      </c>
      <c r="B158" t="s">
        <v>132</v>
      </c>
      <c r="C158" t="s">
        <v>227</v>
      </c>
      <c r="D158" t="s">
        <v>112</v>
      </c>
      <c r="E158" t="s">
        <v>96</v>
      </c>
      <c r="F158" t="s">
        <v>20</v>
      </c>
      <c r="G158">
        <f>INDEX(Question_Bank!$J$3:$J$14,MATCH(D158,Question_Bank!$A$3:$A$14,0))</f>
        <v>0</v>
      </c>
      <c r="H158">
        <f>IF(F158=G158,1,0)</f>
        <v>0</v>
      </c>
      <c r="I158">
        <f>H158*INDEX(Question_Bank!$M$3:$M$14,MATCH(D158,Question_Bank!$A$3:$A$14,0))</f>
        <v>0</v>
      </c>
      <c r="J158">
        <f>SUMIFS($I$3:$I$566,$A$3:$A$566,A158)</f>
        <v>0</v>
      </c>
      <c r="K158" s="5">
        <f>J158/SUM(Question_Bank!$M$3:$M$14)</f>
        <v>0</v>
      </c>
      <c r="L158" s="5">
        <f>SUMIFS($I$3:$I$566,$A$3:$A$566,A158,$E$3:$E$566,E158)/SUMIFS(Question_Bank!$M$3:$M$14,Question_Bank!$B$3:$B$14,E158)</f>
        <v>0</v>
      </c>
      <c r="M158" t="s">
        <v>158</v>
      </c>
    </row>
    <row r="159" spans="1:13">
      <c r="A159" t="s">
        <v>159</v>
      </c>
      <c r="B159" t="s">
        <v>132</v>
      </c>
      <c r="C159" t="s">
        <v>227</v>
      </c>
      <c r="D159" t="s">
        <v>14</v>
      </c>
      <c r="E159" t="s">
        <v>15</v>
      </c>
      <c r="F159" t="s">
        <v>23</v>
      </c>
      <c r="G159">
        <f>INDEX(Question_Bank!$J$3:$J$14,MATCH(D159,Question_Bank!$A$3:$A$14,0))</f>
        <v>0</v>
      </c>
      <c r="H159">
        <f>IF(F159=G159,1,0)</f>
        <v>0</v>
      </c>
      <c r="I159">
        <f>H159*INDEX(Question_Bank!$M$3:$M$14,MATCH(D159,Question_Bank!$A$3:$A$14,0))</f>
        <v>0</v>
      </c>
      <c r="J159">
        <f>SUMIFS($I$3:$I$566,$A$3:$A$566,A159)</f>
        <v>0</v>
      </c>
      <c r="K159" s="5">
        <f>J159/SUM(Question_Bank!$M$3:$M$14)</f>
        <v>0</v>
      </c>
      <c r="L159" s="5">
        <f>SUMIFS($I$3:$I$566,$A$3:$A$566,A159,$E$3:$E$566,E159)/SUMIFS(Question_Bank!$M$3:$M$14,Question_Bank!$B$3:$B$14,E159)</f>
        <v>0</v>
      </c>
      <c r="M159" t="s">
        <v>160</v>
      </c>
    </row>
    <row r="160" spans="1:13">
      <c r="A160" t="s">
        <v>159</v>
      </c>
      <c r="B160" t="s">
        <v>132</v>
      </c>
      <c r="C160" t="s">
        <v>227</v>
      </c>
      <c r="D160" t="s">
        <v>26</v>
      </c>
      <c r="E160" t="s">
        <v>15</v>
      </c>
      <c r="F160" t="s">
        <v>23</v>
      </c>
      <c r="G160">
        <f>INDEX(Question_Bank!$J$3:$J$14,MATCH(D160,Question_Bank!$A$3:$A$14,0))</f>
        <v>0</v>
      </c>
      <c r="H160">
        <f>IF(F160=G160,1,0)</f>
        <v>0</v>
      </c>
      <c r="I160">
        <f>H160*INDEX(Question_Bank!$M$3:$M$14,MATCH(D160,Question_Bank!$A$3:$A$14,0))</f>
        <v>0</v>
      </c>
      <c r="J160">
        <f>SUMIFS($I$3:$I$566,$A$3:$A$566,A160)</f>
        <v>0</v>
      </c>
      <c r="K160" s="5">
        <f>J160/SUM(Question_Bank!$M$3:$M$14)</f>
        <v>0</v>
      </c>
      <c r="L160" s="5">
        <f>SUMIFS($I$3:$I$566,$A$3:$A$566,A160,$E$3:$E$566,E160)/SUMIFS(Question_Bank!$M$3:$M$14,Question_Bank!$B$3:$B$14,E160)</f>
        <v>0</v>
      </c>
      <c r="M160" t="s">
        <v>160</v>
      </c>
    </row>
    <row r="161" spans="1:13">
      <c r="A161" t="s">
        <v>159</v>
      </c>
      <c r="B161" t="s">
        <v>132</v>
      </c>
      <c r="C161" t="s">
        <v>227</v>
      </c>
      <c r="D161" t="s">
        <v>37</v>
      </c>
      <c r="E161" t="s">
        <v>15</v>
      </c>
      <c r="F161" t="s">
        <v>20</v>
      </c>
      <c r="G161">
        <f>INDEX(Question_Bank!$J$3:$J$14,MATCH(D161,Question_Bank!$A$3:$A$14,0))</f>
        <v>0</v>
      </c>
      <c r="H161">
        <f>IF(F161=G161,1,0)</f>
        <v>0</v>
      </c>
      <c r="I161">
        <f>H161*INDEX(Question_Bank!$M$3:$M$14,MATCH(D161,Question_Bank!$A$3:$A$14,0))</f>
        <v>0</v>
      </c>
      <c r="J161">
        <f>SUMIFS($I$3:$I$566,$A$3:$A$566,A161)</f>
        <v>0</v>
      </c>
      <c r="K161" s="5">
        <f>J161/SUM(Question_Bank!$M$3:$M$14)</f>
        <v>0</v>
      </c>
      <c r="L161" s="5">
        <f>SUMIFS($I$3:$I$566,$A$3:$A$566,A161,$E$3:$E$566,E161)/SUMIFS(Question_Bank!$M$3:$M$14,Question_Bank!$B$3:$B$14,E161)</f>
        <v>0</v>
      </c>
      <c r="M161" t="s">
        <v>160</v>
      </c>
    </row>
    <row r="162" spans="1:13">
      <c r="A162" t="s">
        <v>159</v>
      </c>
      <c r="B162" t="s">
        <v>132</v>
      </c>
      <c r="C162" t="s">
        <v>227</v>
      </c>
      <c r="D162" t="s">
        <v>45</v>
      </c>
      <c r="E162" t="s">
        <v>46</v>
      </c>
      <c r="F162" t="s">
        <v>31</v>
      </c>
      <c r="G162">
        <f>INDEX(Question_Bank!$J$3:$J$14,MATCH(D162,Question_Bank!$A$3:$A$14,0))</f>
        <v>0</v>
      </c>
      <c r="H162">
        <f>IF(F162=G162,1,0)</f>
        <v>0</v>
      </c>
      <c r="I162">
        <f>H162*INDEX(Question_Bank!$M$3:$M$14,MATCH(D162,Question_Bank!$A$3:$A$14,0))</f>
        <v>0</v>
      </c>
      <c r="J162">
        <f>SUMIFS($I$3:$I$566,$A$3:$A$566,A162)</f>
        <v>0</v>
      </c>
      <c r="K162" s="5">
        <f>J162/SUM(Question_Bank!$M$3:$M$14)</f>
        <v>0</v>
      </c>
      <c r="L162" s="5">
        <f>SUMIFS($I$3:$I$566,$A$3:$A$566,A162,$E$3:$E$566,E162)/SUMIFS(Question_Bank!$M$3:$M$14,Question_Bank!$B$3:$B$14,E162)</f>
        <v>0</v>
      </c>
      <c r="M162" t="s">
        <v>160</v>
      </c>
    </row>
    <row r="163" spans="1:13">
      <c r="A163" t="s">
        <v>159</v>
      </c>
      <c r="B163" t="s">
        <v>132</v>
      </c>
      <c r="C163" t="s">
        <v>227</v>
      </c>
      <c r="D163" t="s">
        <v>54</v>
      </c>
      <c r="E163" t="s">
        <v>46</v>
      </c>
      <c r="F163" t="s">
        <v>23</v>
      </c>
      <c r="G163">
        <f>INDEX(Question_Bank!$J$3:$J$14,MATCH(D163,Question_Bank!$A$3:$A$14,0))</f>
        <v>0</v>
      </c>
      <c r="H163">
        <f>IF(F163=G163,1,0)</f>
        <v>0</v>
      </c>
      <c r="I163">
        <f>H163*INDEX(Question_Bank!$M$3:$M$14,MATCH(D163,Question_Bank!$A$3:$A$14,0))</f>
        <v>0</v>
      </c>
      <c r="J163">
        <f>SUMIFS($I$3:$I$566,$A$3:$A$566,A163)</f>
        <v>0</v>
      </c>
      <c r="K163" s="5">
        <f>J163/SUM(Question_Bank!$M$3:$M$14)</f>
        <v>0</v>
      </c>
      <c r="L163" s="5">
        <f>SUMIFS($I$3:$I$566,$A$3:$A$566,A163,$E$3:$E$566,E163)/SUMIFS(Question_Bank!$M$3:$M$14,Question_Bank!$B$3:$B$14,E163)</f>
        <v>0</v>
      </c>
      <c r="M163" t="s">
        <v>160</v>
      </c>
    </row>
    <row r="164" spans="1:13">
      <c r="A164" t="s">
        <v>159</v>
      </c>
      <c r="B164" t="s">
        <v>132</v>
      </c>
      <c r="C164" t="s">
        <v>227</v>
      </c>
      <c r="D164" t="s">
        <v>62</v>
      </c>
      <c r="E164" t="s">
        <v>46</v>
      </c>
      <c r="F164" t="s">
        <v>34</v>
      </c>
      <c r="G164">
        <f>INDEX(Question_Bank!$J$3:$J$14,MATCH(D164,Question_Bank!$A$3:$A$14,0))</f>
        <v>0</v>
      </c>
      <c r="H164">
        <f>IF(F164=G164,1,0)</f>
        <v>0</v>
      </c>
      <c r="I164">
        <f>H164*INDEX(Question_Bank!$M$3:$M$14,MATCH(D164,Question_Bank!$A$3:$A$14,0))</f>
        <v>0</v>
      </c>
      <c r="J164">
        <f>SUMIFS($I$3:$I$566,$A$3:$A$566,A164)</f>
        <v>0</v>
      </c>
      <c r="K164" s="5">
        <f>J164/SUM(Question_Bank!$M$3:$M$14)</f>
        <v>0</v>
      </c>
      <c r="L164" s="5">
        <f>SUMIFS($I$3:$I$566,$A$3:$A$566,A164,$E$3:$E$566,E164)/SUMIFS(Question_Bank!$M$3:$M$14,Question_Bank!$B$3:$B$14,E164)</f>
        <v>0</v>
      </c>
      <c r="M164" t="s">
        <v>160</v>
      </c>
    </row>
    <row r="165" spans="1:13">
      <c r="A165" t="s">
        <v>159</v>
      </c>
      <c r="B165" t="s">
        <v>132</v>
      </c>
      <c r="C165" t="s">
        <v>227</v>
      </c>
      <c r="D165" t="s">
        <v>70</v>
      </c>
      <c r="E165" t="s">
        <v>71</v>
      </c>
      <c r="F165" t="s">
        <v>34</v>
      </c>
      <c r="G165">
        <f>INDEX(Question_Bank!$J$3:$J$14,MATCH(D165,Question_Bank!$A$3:$A$14,0))</f>
        <v>0</v>
      </c>
      <c r="H165">
        <f>IF(F165=G165,1,0)</f>
        <v>0</v>
      </c>
      <c r="I165">
        <f>H165*INDEX(Question_Bank!$M$3:$M$14,MATCH(D165,Question_Bank!$A$3:$A$14,0))</f>
        <v>0</v>
      </c>
      <c r="J165">
        <f>SUMIFS($I$3:$I$566,$A$3:$A$566,A165)</f>
        <v>0</v>
      </c>
      <c r="K165" s="5">
        <f>J165/SUM(Question_Bank!$M$3:$M$14)</f>
        <v>0</v>
      </c>
      <c r="L165" s="5">
        <f>SUMIFS($I$3:$I$566,$A$3:$A$566,A165,$E$3:$E$566,E165)/SUMIFS(Question_Bank!$M$3:$M$14,Question_Bank!$B$3:$B$14,E165)</f>
        <v>0</v>
      </c>
      <c r="M165" t="s">
        <v>160</v>
      </c>
    </row>
    <row r="166" spans="1:13">
      <c r="A166" t="s">
        <v>159</v>
      </c>
      <c r="B166" t="s">
        <v>132</v>
      </c>
      <c r="C166" t="s">
        <v>227</v>
      </c>
      <c r="D166" t="s">
        <v>79</v>
      </c>
      <c r="E166" t="s">
        <v>71</v>
      </c>
      <c r="F166" t="s">
        <v>31</v>
      </c>
      <c r="G166">
        <f>INDEX(Question_Bank!$J$3:$J$14,MATCH(D166,Question_Bank!$A$3:$A$14,0))</f>
        <v>0</v>
      </c>
      <c r="H166">
        <f>IF(F166=G166,1,0)</f>
        <v>0</v>
      </c>
      <c r="I166">
        <f>H166*INDEX(Question_Bank!$M$3:$M$14,MATCH(D166,Question_Bank!$A$3:$A$14,0))</f>
        <v>0</v>
      </c>
      <c r="J166">
        <f>SUMIFS($I$3:$I$566,$A$3:$A$566,A166)</f>
        <v>0</v>
      </c>
      <c r="K166" s="5">
        <f>J166/SUM(Question_Bank!$M$3:$M$14)</f>
        <v>0</v>
      </c>
      <c r="L166" s="5">
        <f>SUMIFS($I$3:$I$566,$A$3:$A$566,A166,$E$3:$E$566,E166)/SUMIFS(Question_Bank!$M$3:$M$14,Question_Bank!$B$3:$B$14,E166)</f>
        <v>0</v>
      </c>
      <c r="M166" t="s">
        <v>160</v>
      </c>
    </row>
    <row r="167" spans="1:13">
      <c r="A167" t="s">
        <v>159</v>
      </c>
      <c r="B167" t="s">
        <v>132</v>
      </c>
      <c r="C167" t="s">
        <v>227</v>
      </c>
      <c r="D167" t="s">
        <v>87</v>
      </c>
      <c r="E167" t="s">
        <v>71</v>
      </c>
      <c r="F167" t="s">
        <v>23</v>
      </c>
      <c r="G167">
        <f>INDEX(Question_Bank!$J$3:$J$14,MATCH(D167,Question_Bank!$A$3:$A$14,0))</f>
        <v>0</v>
      </c>
      <c r="H167">
        <f>IF(F167=G167,1,0)</f>
        <v>0</v>
      </c>
      <c r="I167">
        <f>H167*INDEX(Question_Bank!$M$3:$M$14,MATCH(D167,Question_Bank!$A$3:$A$14,0))</f>
        <v>0</v>
      </c>
      <c r="J167">
        <f>SUMIFS($I$3:$I$566,$A$3:$A$566,A167)</f>
        <v>0</v>
      </c>
      <c r="K167" s="5">
        <f>J167/SUM(Question_Bank!$M$3:$M$14)</f>
        <v>0</v>
      </c>
      <c r="L167" s="5">
        <f>SUMIFS($I$3:$I$566,$A$3:$A$566,A167,$E$3:$E$566,E167)/SUMIFS(Question_Bank!$M$3:$M$14,Question_Bank!$B$3:$B$14,E167)</f>
        <v>0</v>
      </c>
      <c r="M167" t="s">
        <v>160</v>
      </c>
    </row>
    <row r="168" spans="1:13">
      <c r="A168" t="s">
        <v>159</v>
      </c>
      <c r="B168" t="s">
        <v>132</v>
      </c>
      <c r="C168" t="s">
        <v>227</v>
      </c>
      <c r="D168" t="s">
        <v>95</v>
      </c>
      <c r="E168" t="s">
        <v>96</v>
      </c>
      <c r="F168" t="s">
        <v>34</v>
      </c>
      <c r="G168">
        <f>INDEX(Question_Bank!$J$3:$J$14,MATCH(D168,Question_Bank!$A$3:$A$14,0))</f>
        <v>0</v>
      </c>
      <c r="H168">
        <f>IF(F168=G168,1,0)</f>
        <v>0</v>
      </c>
      <c r="I168">
        <f>H168*INDEX(Question_Bank!$M$3:$M$14,MATCH(D168,Question_Bank!$A$3:$A$14,0))</f>
        <v>0</v>
      </c>
      <c r="J168">
        <f>SUMIFS($I$3:$I$566,$A$3:$A$566,A168)</f>
        <v>0</v>
      </c>
      <c r="K168" s="5">
        <f>J168/SUM(Question_Bank!$M$3:$M$14)</f>
        <v>0</v>
      </c>
      <c r="L168" s="5">
        <f>SUMIFS($I$3:$I$566,$A$3:$A$566,A168,$E$3:$E$566,E168)/SUMIFS(Question_Bank!$M$3:$M$14,Question_Bank!$B$3:$B$14,E168)</f>
        <v>0</v>
      </c>
      <c r="M168" t="s">
        <v>160</v>
      </c>
    </row>
    <row r="169" spans="1:13">
      <c r="A169" t="s">
        <v>159</v>
      </c>
      <c r="B169" t="s">
        <v>132</v>
      </c>
      <c r="C169" t="s">
        <v>227</v>
      </c>
      <c r="D169" t="s">
        <v>104</v>
      </c>
      <c r="E169" t="s">
        <v>96</v>
      </c>
      <c r="F169" t="s">
        <v>20</v>
      </c>
      <c r="G169">
        <f>INDEX(Question_Bank!$J$3:$J$14,MATCH(D169,Question_Bank!$A$3:$A$14,0))</f>
        <v>0</v>
      </c>
      <c r="H169">
        <f>IF(F169=G169,1,0)</f>
        <v>0</v>
      </c>
      <c r="I169">
        <f>H169*INDEX(Question_Bank!$M$3:$M$14,MATCH(D169,Question_Bank!$A$3:$A$14,0))</f>
        <v>0</v>
      </c>
      <c r="J169">
        <f>SUMIFS($I$3:$I$566,$A$3:$A$566,A169)</f>
        <v>0</v>
      </c>
      <c r="K169" s="5">
        <f>J169/SUM(Question_Bank!$M$3:$M$14)</f>
        <v>0</v>
      </c>
      <c r="L169" s="5">
        <f>SUMIFS($I$3:$I$566,$A$3:$A$566,A169,$E$3:$E$566,E169)/SUMIFS(Question_Bank!$M$3:$M$14,Question_Bank!$B$3:$B$14,E169)</f>
        <v>0</v>
      </c>
      <c r="M169" t="s">
        <v>160</v>
      </c>
    </row>
    <row r="170" spans="1:13">
      <c r="A170" t="s">
        <v>159</v>
      </c>
      <c r="B170" t="s">
        <v>132</v>
      </c>
      <c r="C170" t="s">
        <v>227</v>
      </c>
      <c r="D170" t="s">
        <v>112</v>
      </c>
      <c r="E170" t="s">
        <v>96</v>
      </c>
      <c r="F170" t="s">
        <v>31</v>
      </c>
      <c r="G170">
        <f>INDEX(Question_Bank!$J$3:$J$14,MATCH(D170,Question_Bank!$A$3:$A$14,0))</f>
        <v>0</v>
      </c>
      <c r="H170">
        <f>IF(F170=G170,1,0)</f>
        <v>0</v>
      </c>
      <c r="I170">
        <f>H170*INDEX(Question_Bank!$M$3:$M$14,MATCH(D170,Question_Bank!$A$3:$A$14,0))</f>
        <v>0</v>
      </c>
      <c r="J170">
        <f>SUMIFS($I$3:$I$566,$A$3:$A$566,A170)</f>
        <v>0</v>
      </c>
      <c r="K170" s="5">
        <f>J170/SUM(Question_Bank!$M$3:$M$14)</f>
        <v>0</v>
      </c>
      <c r="L170" s="5">
        <f>SUMIFS($I$3:$I$566,$A$3:$A$566,A170,$E$3:$E$566,E170)/SUMIFS(Question_Bank!$M$3:$M$14,Question_Bank!$B$3:$B$14,E170)</f>
        <v>0</v>
      </c>
      <c r="M170" t="s">
        <v>160</v>
      </c>
    </row>
    <row r="171" spans="1:13">
      <c r="A171" t="s">
        <v>161</v>
      </c>
      <c r="B171" t="s">
        <v>132</v>
      </c>
      <c r="C171" t="s">
        <v>227</v>
      </c>
      <c r="D171" t="s">
        <v>14</v>
      </c>
      <c r="E171" t="s">
        <v>15</v>
      </c>
      <c r="F171" t="s">
        <v>34</v>
      </c>
      <c r="G171">
        <f>INDEX(Question_Bank!$J$3:$J$14,MATCH(D171,Question_Bank!$A$3:$A$14,0))</f>
        <v>0</v>
      </c>
      <c r="H171">
        <f>IF(F171=G171,1,0)</f>
        <v>0</v>
      </c>
      <c r="I171">
        <f>H171*INDEX(Question_Bank!$M$3:$M$14,MATCH(D171,Question_Bank!$A$3:$A$14,0))</f>
        <v>0</v>
      </c>
      <c r="J171">
        <f>SUMIFS($I$3:$I$566,$A$3:$A$566,A171)</f>
        <v>0</v>
      </c>
      <c r="K171" s="5">
        <f>J171/SUM(Question_Bank!$M$3:$M$14)</f>
        <v>0</v>
      </c>
      <c r="L171" s="5">
        <f>SUMIFS($I$3:$I$566,$A$3:$A$566,A171,$E$3:$E$566,E171)/SUMIFS(Question_Bank!$M$3:$M$14,Question_Bank!$B$3:$B$14,E171)</f>
        <v>0</v>
      </c>
      <c r="M171" t="s">
        <v>162</v>
      </c>
    </row>
    <row r="172" spans="1:13">
      <c r="A172" t="s">
        <v>161</v>
      </c>
      <c r="B172" t="s">
        <v>132</v>
      </c>
      <c r="C172" t="s">
        <v>227</v>
      </c>
      <c r="D172" t="s">
        <v>26</v>
      </c>
      <c r="E172" t="s">
        <v>15</v>
      </c>
      <c r="F172" t="s">
        <v>31</v>
      </c>
      <c r="G172">
        <f>INDEX(Question_Bank!$J$3:$J$14,MATCH(D172,Question_Bank!$A$3:$A$14,0))</f>
        <v>0</v>
      </c>
      <c r="H172">
        <f>IF(F172=G172,1,0)</f>
        <v>0</v>
      </c>
      <c r="I172">
        <f>H172*INDEX(Question_Bank!$M$3:$M$14,MATCH(D172,Question_Bank!$A$3:$A$14,0))</f>
        <v>0</v>
      </c>
      <c r="J172">
        <f>SUMIFS($I$3:$I$566,$A$3:$A$566,A172)</f>
        <v>0</v>
      </c>
      <c r="K172" s="5">
        <f>J172/SUM(Question_Bank!$M$3:$M$14)</f>
        <v>0</v>
      </c>
      <c r="L172" s="5">
        <f>SUMIFS($I$3:$I$566,$A$3:$A$566,A172,$E$3:$E$566,E172)/SUMIFS(Question_Bank!$M$3:$M$14,Question_Bank!$B$3:$B$14,E172)</f>
        <v>0</v>
      </c>
      <c r="M172" t="s">
        <v>162</v>
      </c>
    </row>
    <row r="173" spans="1:13">
      <c r="A173" t="s">
        <v>161</v>
      </c>
      <c r="B173" t="s">
        <v>132</v>
      </c>
      <c r="C173" t="s">
        <v>227</v>
      </c>
      <c r="D173" t="s">
        <v>37</v>
      </c>
      <c r="E173" t="s">
        <v>15</v>
      </c>
      <c r="F173" t="s">
        <v>20</v>
      </c>
      <c r="G173">
        <f>INDEX(Question_Bank!$J$3:$J$14,MATCH(D173,Question_Bank!$A$3:$A$14,0))</f>
        <v>0</v>
      </c>
      <c r="H173">
        <f>IF(F173=G173,1,0)</f>
        <v>0</v>
      </c>
      <c r="I173">
        <f>H173*INDEX(Question_Bank!$M$3:$M$14,MATCH(D173,Question_Bank!$A$3:$A$14,0))</f>
        <v>0</v>
      </c>
      <c r="J173">
        <f>SUMIFS($I$3:$I$566,$A$3:$A$566,A173)</f>
        <v>0</v>
      </c>
      <c r="K173" s="5">
        <f>J173/SUM(Question_Bank!$M$3:$M$14)</f>
        <v>0</v>
      </c>
      <c r="L173" s="5">
        <f>SUMIFS($I$3:$I$566,$A$3:$A$566,A173,$E$3:$E$566,E173)/SUMIFS(Question_Bank!$M$3:$M$14,Question_Bank!$B$3:$B$14,E173)</f>
        <v>0</v>
      </c>
      <c r="M173" t="s">
        <v>162</v>
      </c>
    </row>
    <row r="174" spans="1:13">
      <c r="A174" t="s">
        <v>161</v>
      </c>
      <c r="B174" t="s">
        <v>132</v>
      </c>
      <c r="C174" t="s">
        <v>227</v>
      </c>
      <c r="D174" t="s">
        <v>45</v>
      </c>
      <c r="E174" t="s">
        <v>46</v>
      </c>
      <c r="F174" t="s">
        <v>31</v>
      </c>
      <c r="G174">
        <f>INDEX(Question_Bank!$J$3:$J$14,MATCH(D174,Question_Bank!$A$3:$A$14,0))</f>
        <v>0</v>
      </c>
      <c r="H174">
        <f>IF(F174=G174,1,0)</f>
        <v>0</v>
      </c>
      <c r="I174">
        <f>H174*INDEX(Question_Bank!$M$3:$M$14,MATCH(D174,Question_Bank!$A$3:$A$14,0))</f>
        <v>0</v>
      </c>
      <c r="J174">
        <f>SUMIFS($I$3:$I$566,$A$3:$A$566,A174)</f>
        <v>0</v>
      </c>
      <c r="K174" s="5">
        <f>J174/SUM(Question_Bank!$M$3:$M$14)</f>
        <v>0</v>
      </c>
      <c r="L174" s="5">
        <f>SUMIFS($I$3:$I$566,$A$3:$A$566,A174,$E$3:$E$566,E174)/SUMIFS(Question_Bank!$M$3:$M$14,Question_Bank!$B$3:$B$14,E174)</f>
        <v>0</v>
      </c>
      <c r="M174" t="s">
        <v>162</v>
      </c>
    </row>
    <row r="175" spans="1:13">
      <c r="A175" t="s">
        <v>161</v>
      </c>
      <c r="B175" t="s">
        <v>132</v>
      </c>
      <c r="C175" t="s">
        <v>227</v>
      </c>
      <c r="D175" t="s">
        <v>54</v>
      </c>
      <c r="E175" t="s">
        <v>46</v>
      </c>
      <c r="F175" t="s">
        <v>31</v>
      </c>
      <c r="G175">
        <f>INDEX(Question_Bank!$J$3:$J$14,MATCH(D175,Question_Bank!$A$3:$A$14,0))</f>
        <v>0</v>
      </c>
      <c r="H175">
        <f>IF(F175=G175,1,0)</f>
        <v>0</v>
      </c>
      <c r="I175">
        <f>H175*INDEX(Question_Bank!$M$3:$M$14,MATCH(D175,Question_Bank!$A$3:$A$14,0))</f>
        <v>0</v>
      </c>
      <c r="J175">
        <f>SUMIFS($I$3:$I$566,$A$3:$A$566,A175)</f>
        <v>0</v>
      </c>
      <c r="K175" s="5">
        <f>J175/SUM(Question_Bank!$M$3:$M$14)</f>
        <v>0</v>
      </c>
      <c r="L175" s="5">
        <f>SUMIFS($I$3:$I$566,$A$3:$A$566,A175,$E$3:$E$566,E175)/SUMIFS(Question_Bank!$M$3:$M$14,Question_Bank!$B$3:$B$14,E175)</f>
        <v>0</v>
      </c>
      <c r="M175" t="s">
        <v>162</v>
      </c>
    </row>
    <row r="176" spans="1:13">
      <c r="A176" t="s">
        <v>161</v>
      </c>
      <c r="B176" t="s">
        <v>132</v>
      </c>
      <c r="C176" t="s">
        <v>227</v>
      </c>
      <c r="D176" t="s">
        <v>62</v>
      </c>
      <c r="E176" t="s">
        <v>46</v>
      </c>
      <c r="F176" t="s">
        <v>31</v>
      </c>
      <c r="G176">
        <f>INDEX(Question_Bank!$J$3:$J$14,MATCH(D176,Question_Bank!$A$3:$A$14,0))</f>
        <v>0</v>
      </c>
      <c r="H176">
        <f>IF(F176=G176,1,0)</f>
        <v>0</v>
      </c>
      <c r="I176">
        <f>H176*INDEX(Question_Bank!$M$3:$M$14,MATCH(D176,Question_Bank!$A$3:$A$14,0))</f>
        <v>0</v>
      </c>
      <c r="J176">
        <f>SUMIFS($I$3:$I$566,$A$3:$A$566,A176)</f>
        <v>0</v>
      </c>
      <c r="K176" s="5">
        <f>J176/SUM(Question_Bank!$M$3:$M$14)</f>
        <v>0</v>
      </c>
      <c r="L176" s="5">
        <f>SUMIFS($I$3:$I$566,$A$3:$A$566,A176,$E$3:$E$566,E176)/SUMIFS(Question_Bank!$M$3:$M$14,Question_Bank!$B$3:$B$14,E176)</f>
        <v>0</v>
      </c>
      <c r="M176" t="s">
        <v>162</v>
      </c>
    </row>
    <row r="177" spans="1:13">
      <c r="A177" t="s">
        <v>161</v>
      </c>
      <c r="B177" t="s">
        <v>132</v>
      </c>
      <c r="C177" t="s">
        <v>227</v>
      </c>
      <c r="D177" t="s">
        <v>70</v>
      </c>
      <c r="E177" t="s">
        <v>71</v>
      </c>
      <c r="F177" t="s">
        <v>23</v>
      </c>
      <c r="G177">
        <f>INDEX(Question_Bank!$J$3:$J$14,MATCH(D177,Question_Bank!$A$3:$A$14,0))</f>
        <v>0</v>
      </c>
      <c r="H177">
        <f>IF(F177=G177,1,0)</f>
        <v>0</v>
      </c>
      <c r="I177">
        <f>H177*INDEX(Question_Bank!$M$3:$M$14,MATCH(D177,Question_Bank!$A$3:$A$14,0))</f>
        <v>0</v>
      </c>
      <c r="J177">
        <f>SUMIFS($I$3:$I$566,$A$3:$A$566,A177)</f>
        <v>0</v>
      </c>
      <c r="K177" s="5">
        <f>J177/SUM(Question_Bank!$M$3:$M$14)</f>
        <v>0</v>
      </c>
      <c r="L177" s="5">
        <f>SUMIFS($I$3:$I$566,$A$3:$A$566,A177,$E$3:$E$566,E177)/SUMIFS(Question_Bank!$M$3:$M$14,Question_Bank!$B$3:$B$14,E177)</f>
        <v>0</v>
      </c>
      <c r="M177" t="s">
        <v>162</v>
      </c>
    </row>
    <row r="178" spans="1:13">
      <c r="A178" t="s">
        <v>161</v>
      </c>
      <c r="B178" t="s">
        <v>132</v>
      </c>
      <c r="C178" t="s">
        <v>227</v>
      </c>
      <c r="D178" t="s">
        <v>79</v>
      </c>
      <c r="E178" t="s">
        <v>71</v>
      </c>
      <c r="F178" t="s">
        <v>34</v>
      </c>
      <c r="G178">
        <f>INDEX(Question_Bank!$J$3:$J$14,MATCH(D178,Question_Bank!$A$3:$A$14,0))</f>
        <v>0</v>
      </c>
      <c r="H178">
        <f>IF(F178=G178,1,0)</f>
        <v>0</v>
      </c>
      <c r="I178">
        <f>H178*INDEX(Question_Bank!$M$3:$M$14,MATCH(D178,Question_Bank!$A$3:$A$14,0))</f>
        <v>0</v>
      </c>
      <c r="J178">
        <f>SUMIFS($I$3:$I$566,$A$3:$A$566,A178)</f>
        <v>0</v>
      </c>
      <c r="K178" s="5">
        <f>J178/SUM(Question_Bank!$M$3:$M$14)</f>
        <v>0</v>
      </c>
      <c r="L178" s="5">
        <f>SUMIFS($I$3:$I$566,$A$3:$A$566,A178,$E$3:$E$566,E178)/SUMIFS(Question_Bank!$M$3:$M$14,Question_Bank!$B$3:$B$14,E178)</f>
        <v>0</v>
      </c>
      <c r="M178" t="s">
        <v>162</v>
      </c>
    </row>
    <row r="179" spans="1:13">
      <c r="A179" t="s">
        <v>161</v>
      </c>
      <c r="B179" t="s">
        <v>132</v>
      </c>
      <c r="C179" t="s">
        <v>227</v>
      </c>
      <c r="D179" t="s">
        <v>87</v>
      </c>
      <c r="E179" t="s">
        <v>71</v>
      </c>
      <c r="F179" t="s">
        <v>23</v>
      </c>
      <c r="G179">
        <f>INDEX(Question_Bank!$J$3:$J$14,MATCH(D179,Question_Bank!$A$3:$A$14,0))</f>
        <v>0</v>
      </c>
      <c r="H179">
        <f>IF(F179=G179,1,0)</f>
        <v>0</v>
      </c>
      <c r="I179">
        <f>H179*INDEX(Question_Bank!$M$3:$M$14,MATCH(D179,Question_Bank!$A$3:$A$14,0))</f>
        <v>0</v>
      </c>
      <c r="J179">
        <f>SUMIFS($I$3:$I$566,$A$3:$A$566,A179)</f>
        <v>0</v>
      </c>
      <c r="K179" s="5">
        <f>J179/SUM(Question_Bank!$M$3:$M$14)</f>
        <v>0</v>
      </c>
      <c r="L179" s="5">
        <f>SUMIFS($I$3:$I$566,$A$3:$A$566,A179,$E$3:$E$566,E179)/SUMIFS(Question_Bank!$M$3:$M$14,Question_Bank!$B$3:$B$14,E179)</f>
        <v>0</v>
      </c>
      <c r="M179" t="s">
        <v>162</v>
      </c>
    </row>
    <row r="180" spans="1:13">
      <c r="A180" t="s">
        <v>161</v>
      </c>
      <c r="B180" t="s">
        <v>132</v>
      </c>
      <c r="C180" t="s">
        <v>227</v>
      </c>
      <c r="D180" t="s">
        <v>95</v>
      </c>
      <c r="E180" t="s">
        <v>96</v>
      </c>
      <c r="F180" t="s">
        <v>23</v>
      </c>
      <c r="G180">
        <f>INDEX(Question_Bank!$J$3:$J$14,MATCH(D180,Question_Bank!$A$3:$A$14,0))</f>
        <v>0</v>
      </c>
      <c r="H180">
        <f>IF(F180=G180,1,0)</f>
        <v>0</v>
      </c>
      <c r="I180">
        <f>H180*INDEX(Question_Bank!$M$3:$M$14,MATCH(D180,Question_Bank!$A$3:$A$14,0))</f>
        <v>0</v>
      </c>
      <c r="J180">
        <f>SUMIFS($I$3:$I$566,$A$3:$A$566,A180)</f>
        <v>0</v>
      </c>
      <c r="K180" s="5">
        <f>J180/SUM(Question_Bank!$M$3:$M$14)</f>
        <v>0</v>
      </c>
      <c r="L180" s="5">
        <f>SUMIFS($I$3:$I$566,$A$3:$A$566,A180,$E$3:$E$566,E180)/SUMIFS(Question_Bank!$M$3:$M$14,Question_Bank!$B$3:$B$14,E180)</f>
        <v>0</v>
      </c>
      <c r="M180" t="s">
        <v>162</v>
      </c>
    </row>
    <row r="181" spans="1:13">
      <c r="A181" t="s">
        <v>161</v>
      </c>
      <c r="B181" t="s">
        <v>132</v>
      </c>
      <c r="C181" t="s">
        <v>227</v>
      </c>
      <c r="D181" t="s">
        <v>104</v>
      </c>
      <c r="E181" t="s">
        <v>96</v>
      </c>
      <c r="F181" t="s">
        <v>20</v>
      </c>
      <c r="G181">
        <f>INDEX(Question_Bank!$J$3:$J$14,MATCH(D181,Question_Bank!$A$3:$A$14,0))</f>
        <v>0</v>
      </c>
      <c r="H181">
        <f>IF(F181=G181,1,0)</f>
        <v>0</v>
      </c>
      <c r="I181">
        <f>H181*INDEX(Question_Bank!$M$3:$M$14,MATCH(D181,Question_Bank!$A$3:$A$14,0))</f>
        <v>0</v>
      </c>
      <c r="J181">
        <f>SUMIFS($I$3:$I$566,$A$3:$A$566,A181)</f>
        <v>0</v>
      </c>
      <c r="K181" s="5">
        <f>J181/SUM(Question_Bank!$M$3:$M$14)</f>
        <v>0</v>
      </c>
      <c r="L181" s="5">
        <f>SUMIFS($I$3:$I$566,$A$3:$A$566,A181,$E$3:$E$566,E181)/SUMIFS(Question_Bank!$M$3:$M$14,Question_Bank!$B$3:$B$14,E181)</f>
        <v>0</v>
      </c>
      <c r="M181" t="s">
        <v>162</v>
      </c>
    </row>
    <row r="182" spans="1:13">
      <c r="A182" t="s">
        <v>161</v>
      </c>
      <c r="B182" t="s">
        <v>132</v>
      </c>
      <c r="C182" t="s">
        <v>227</v>
      </c>
      <c r="D182" t="s">
        <v>112</v>
      </c>
      <c r="E182" t="s">
        <v>96</v>
      </c>
      <c r="F182" t="s">
        <v>23</v>
      </c>
      <c r="G182">
        <f>INDEX(Question_Bank!$J$3:$J$14,MATCH(D182,Question_Bank!$A$3:$A$14,0))</f>
        <v>0</v>
      </c>
      <c r="H182">
        <f>IF(F182=G182,1,0)</f>
        <v>0</v>
      </c>
      <c r="I182">
        <f>H182*INDEX(Question_Bank!$M$3:$M$14,MATCH(D182,Question_Bank!$A$3:$A$14,0))</f>
        <v>0</v>
      </c>
      <c r="J182">
        <f>SUMIFS($I$3:$I$566,$A$3:$A$566,A182)</f>
        <v>0</v>
      </c>
      <c r="K182" s="5">
        <f>J182/SUM(Question_Bank!$M$3:$M$14)</f>
        <v>0</v>
      </c>
      <c r="L182" s="5">
        <f>SUMIFS($I$3:$I$566,$A$3:$A$566,A182,$E$3:$E$566,E182)/SUMIFS(Question_Bank!$M$3:$M$14,Question_Bank!$B$3:$B$14,E182)</f>
        <v>0</v>
      </c>
      <c r="M182" t="s">
        <v>162</v>
      </c>
    </row>
    <row r="183" spans="1:13">
      <c r="A183" t="s">
        <v>163</v>
      </c>
      <c r="B183" t="s">
        <v>132</v>
      </c>
      <c r="C183" t="s">
        <v>227</v>
      </c>
      <c r="D183" t="s">
        <v>14</v>
      </c>
      <c r="E183" t="s">
        <v>15</v>
      </c>
      <c r="F183" t="s">
        <v>34</v>
      </c>
      <c r="G183">
        <f>INDEX(Question_Bank!$J$3:$J$14,MATCH(D183,Question_Bank!$A$3:$A$14,0))</f>
        <v>0</v>
      </c>
      <c r="H183">
        <f>IF(F183=G183,1,0)</f>
        <v>0</v>
      </c>
      <c r="I183">
        <f>H183*INDEX(Question_Bank!$M$3:$M$14,MATCH(D183,Question_Bank!$A$3:$A$14,0))</f>
        <v>0</v>
      </c>
      <c r="J183">
        <f>SUMIFS($I$3:$I$566,$A$3:$A$566,A183)</f>
        <v>0</v>
      </c>
      <c r="K183" s="5">
        <f>J183/SUM(Question_Bank!$M$3:$M$14)</f>
        <v>0</v>
      </c>
      <c r="L183" s="5">
        <f>SUMIFS($I$3:$I$566,$A$3:$A$566,A183,$E$3:$E$566,E183)/SUMIFS(Question_Bank!$M$3:$M$14,Question_Bank!$B$3:$B$14,E183)</f>
        <v>0</v>
      </c>
      <c r="M183" t="s">
        <v>164</v>
      </c>
    </row>
    <row r="184" spans="1:13">
      <c r="A184" t="s">
        <v>163</v>
      </c>
      <c r="B184" t="s">
        <v>132</v>
      </c>
      <c r="C184" t="s">
        <v>227</v>
      </c>
      <c r="D184" t="s">
        <v>26</v>
      </c>
      <c r="E184" t="s">
        <v>15</v>
      </c>
      <c r="F184" t="s">
        <v>31</v>
      </c>
      <c r="G184">
        <f>INDEX(Question_Bank!$J$3:$J$14,MATCH(D184,Question_Bank!$A$3:$A$14,0))</f>
        <v>0</v>
      </c>
      <c r="H184">
        <f>IF(F184=G184,1,0)</f>
        <v>0</v>
      </c>
      <c r="I184">
        <f>H184*INDEX(Question_Bank!$M$3:$M$14,MATCH(D184,Question_Bank!$A$3:$A$14,0))</f>
        <v>0</v>
      </c>
      <c r="J184">
        <f>SUMIFS($I$3:$I$566,$A$3:$A$566,A184)</f>
        <v>0</v>
      </c>
      <c r="K184" s="5">
        <f>J184/SUM(Question_Bank!$M$3:$M$14)</f>
        <v>0</v>
      </c>
      <c r="L184" s="5">
        <f>SUMIFS($I$3:$I$566,$A$3:$A$566,A184,$E$3:$E$566,E184)/SUMIFS(Question_Bank!$M$3:$M$14,Question_Bank!$B$3:$B$14,E184)</f>
        <v>0</v>
      </c>
      <c r="M184" t="s">
        <v>164</v>
      </c>
    </row>
    <row r="185" spans="1:13">
      <c r="A185" t="s">
        <v>163</v>
      </c>
      <c r="B185" t="s">
        <v>132</v>
      </c>
      <c r="C185" t="s">
        <v>227</v>
      </c>
      <c r="D185" t="s">
        <v>37</v>
      </c>
      <c r="E185" t="s">
        <v>15</v>
      </c>
      <c r="F185" t="s">
        <v>34</v>
      </c>
      <c r="G185">
        <f>INDEX(Question_Bank!$J$3:$J$14,MATCH(D185,Question_Bank!$A$3:$A$14,0))</f>
        <v>0</v>
      </c>
      <c r="H185">
        <f>IF(F185=G185,1,0)</f>
        <v>0</v>
      </c>
      <c r="I185">
        <f>H185*INDEX(Question_Bank!$M$3:$M$14,MATCH(D185,Question_Bank!$A$3:$A$14,0))</f>
        <v>0</v>
      </c>
      <c r="J185">
        <f>SUMIFS($I$3:$I$566,$A$3:$A$566,A185)</f>
        <v>0</v>
      </c>
      <c r="K185" s="5">
        <f>J185/SUM(Question_Bank!$M$3:$M$14)</f>
        <v>0</v>
      </c>
      <c r="L185" s="5">
        <f>SUMIFS($I$3:$I$566,$A$3:$A$566,A185,$E$3:$E$566,E185)/SUMIFS(Question_Bank!$M$3:$M$14,Question_Bank!$B$3:$B$14,E185)</f>
        <v>0</v>
      </c>
      <c r="M185" t="s">
        <v>164</v>
      </c>
    </row>
    <row r="186" spans="1:13">
      <c r="A186" t="s">
        <v>163</v>
      </c>
      <c r="B186" t="s">
        <v>132</v>
      </c>
      <c r="C186" t="s">
        <v>227</v>
      </c>
      <c r="D186" t="s">
        <v>45</v>
      </c>
      <c r="E186" t="s">
        <v>46</v>
      </c>
      <c r="F186" t="s">
        <v>20</v>
      </c>
      <c r="G186">
        <f>INDEX(Question_Bank!$J$3:$J$14,MATCH(D186,Question_Bank!$A$3:$A$14,0))</f>
        <v>0</v>
      </c>
      <c r="H186">
        <f>IF(F186=G186,1,0)</f>
        <v>0</v>
      </c>
      <c r="I186">
        <f>H186*INDEX(Question_Bank!$M$3:$M$14,MATCH(D186,Question_Bank!$A$3:$A$14,0))</f>
        <v>0</v>
      </c>
      <c r="J186">
        <f>SUMIFS($I$3:$I$566,$A$3:$A$566,A186)</f>
        <v>0</v>
      </c>
      <c r="K186" s="5">
        <f>J186/SUM(Question_Bank!$M$3:$M$14)</f>
        <v>0</v>
      </c>
      <c r="L186" s="5">
        <f>SUMIFS($I$3:$I$566,$A$3:$A$566,A186,$E$3:$E$566,E186)/SUMIFS(Question_Bank!$M$3:$M$14,Question_Bank!$B$3:$B$14,E186)</f>
        <v>0</v>
      </c>
      <c r="M186" t="s">
        <v>164</v>
      </c>
    </row>
    <row r="187" spans="1:13">
      <c r="A187" t="s">
        <v>163</v>
      </c>
      <c r="B187" t="s">
        <v>132</v>
      </c>
      <c r="C187" t="s">
        <v>227</v>
      </c>
      <c r="D187" t="s">
        <v>54</v>
      </c>
      <c r="E187" t="s">
        <v>46</v>
      </c>
      <c r="F187" t="s">
        <v>34</v>
      </c>
      <c r="G187">
        <f>INDEX(Question_Bank!$J$3:$J$14,MATCH(D187,Question_Bank!$A$3:$A$14,0))</f>
        <v>0</v>
      </c>
      <c r="H187">
        <f>IF(F187=G187,1,0)</f>
        <v>0</v>
      </c>
      <c r="I187">
        <f>H187*INDEX(Question_Bank!$M$3:$M$14,MATCH(D187,Question_Bank!$A$3:$A$14,0))</f>
        <v>0</v>
      </c>
      <c r="J187">
        <f>SUMIFS($I$3:$I$566,$A$3:$A$566,A187)</f>
        <v>0</v>
      </c>
      <c r="K187" s="5">
        <f>J187/SUM(Question_Bank!$M$3:$M$14)</f>
        <v>0</v>
      </c>
      <c r="L187" s="5">
        <f>SUMIFS($I$3:$I$566,$A$3:$A$566,A187,$E$3:$E$566,E187)/SUMIFS(Question_Bank!$M$3:$M$14,Question_Bank!$B$3:$B$14,E187)</f>
        <v>0</v>
      </c>
      <c r="M187" t="s">
        <v>164</v>
      </c>
    </row>
    <row r="188" spans="1:13">
      <c r="A188" t="s">
        <v>163</v>
      </c>
      <c r="B188" t="s">
        <v>132</v>
      </c>
      <c r="C188" t="s">
        <v>227</v>
      </c>
      <c r="D188" t="s">
        <v>62</v>
      </c>
      <c r="E188" t="s">
        <v>46</v>
      </c>
      <c r="F188" t="s">
        <v>31</v>
      </c>
      <c r="G188">
        <f>INDEX(Question_Bank!$J$3:$J$14,MATCH(D188,Question_Bank!$A$3:$A$14,0))</f>
        <v>0</v>
      </c>
      <c r="H188">
        <f>IF(F188=G188,1,0)</f>
        <v>0</v>
      </c>
      <c r="I188">
        <f>H188*INDEX(Question_Bank!$M$3:$M$14,MATCH(D188,Question_Bank!$A$3:$A$14,0))</f>
        <v>0</v>
      </c>
      <c r="J188">
        <f>SUMIFS($I$3:$I$566,$A$3:$A$566,A188)</f>
        <v>0</v>
      </c>
      <c r="K188" s="5">
        <f>J188/SUM(Question_Bank!$M$3:$M$14)</f>
        <v>0</v>
      </c>
      <c r="L188" s="5">
        <f>SUMIFS($I$3:$I$566,$A$3:$A$566,A188,$E$3:$E$566,E188)/SUMIFS(Question_Bank!$M$3:$M$14,Question_Bank!$B$3:$B$14,E188)</f>
        <v>0</v>
      </c>
      <c r="M188" t="s">
        <v>164</v>
      </c>
    </row>
    <row r="189" spans="1:13">
      <c r="A189" t="s">
        <v>163</v>
      </c>
      <c r="B189" t="s">
        <v>132</v>
      </c>
      <c r="C189" t="s">
        <v>227</v>
      </c>
      <c r="D189" t="s">
        <v>70</v>
      </c>
      <c r="E189" t="s">
        <v>71</v>
      </c>
      <c r="F189" t="s">
        <v>31</v>
      </c>
      <c r="G189">
        <f>INDEX(Question_Bank!$J$3:$J$14,MATCH(D189,Question_Bank!$A$3:$A$14,0))</f>
        <v>0</v>
      </c>
      <c r="H189">
        <f>IF(F189=G189,1,0)</f>
        <v>0</v>
      </c>
      <c r="I189">
        <f>H189*INDEX(Question_Bank!$M$3:$M$14,MATCH(D189,Question_Bank!$A$3:$A$14,0))</f>
        <v>0</v>
      </c>
      <c r="J189">
        <f>SUMIFS($I$3:$I$566,$A$3:$A$566,A189)</f>
        <v>0</v>
      </c>
      <c r="K189" s="5">
        <f>J189/SUM(Question_Bank!$M$3:$M$14)</f>
        <v>0</v>
      </c>
      <c r="L189" s="5">
        <f>SUMIFS($I$3:$I$566,$A$3:$A$566,A189,$E$3:$E$566,E189)/SUMIFS(Question_Bank!$M$3:$M$14,Question_Bank!$B$3:$B$14,E189)</f>
        <v>0</v>
      </c>
      <c r="M189" t="s">
        <v>164</v>
      </c>
    </row>
    <row r="190" spans="1:13">
      <c r="A190" t="s">
        <v>163</v>
      </c>
      <c r="B190" t="s">
        <v>132</v>
      </c>
      <c r="C190" t="s">
        <v>227</v>
      </c>
      <c r="D190" t="s">
        <v>79</v>
      </c>
      <c r="E190" t="s">
        <v>71</v>
      </c>
      <c r="F190" t="s">
        <v>20</v>
      </c>
      <c r="G190">
        <f>INDEX(Question_Bank!$J$3:$J$14,MATCH(D190,Question_Bank!$A$3:$A$14,0))</f>
        <v>0</v>
      </c>
      <c r="H190">
        <f>IF(F190=G190,1,0)</f>
        <v>0</v>
      </c>
      <c r="I190">
        <f>H190*INDEX(Question_Bank!$M$3:$M$14,MATCH(D190,Question_Bank!$A$3:$A$14,0))</f>
        <v>0</v>
      </c>
      <c r="J190">
        <f>SUMIFS($I$3:$I$566,$A$3:$A$566,A190)</f>
        <v>0</v>
      </c>
      <c r="K190" s="5">
        <f>J190/SUM(Question_Bank!$M$3:$M$14)</f>
        <v>0</v>
      </c>
      <c r="L190" s="5">
        <f>SUMIFS($I$3:$I$566,$A$3:$A$566,A190,$E$3:$E$566,E190)/SUMIFS(Question_Bank!$M$3:$M$14,Question_Bank!$B$3:$B$14,E190)</f>
        <v>0</v>
      </c>
      <c r="M190" t="s">
        <v>164</v>
      </c>
    </row>
    <row r="191" spans="1:13">
      <c r="A191" t="s">
        <v>163</v>
      </c>
      <c r="B191" t="s">
        <v>132</v>
      </c>
      <c r="C191" t="s">
        <v>227</v>
      </c>
      <c r="D191" t="s">
        <v>87</v>
      </c>
      <c r="E191" t="s">
        <v>71</v>
      </c>
      <c r="F191" t="s">
        <v>34</v>
      </c>
      <c r="G191">
        <f>INDEX(Question_Bank!$J$3:$J$14,MATCH(D191,Question_Bank!$A$3:$A$14,0))</f>
        <v>0</v>
      </c>
      <c r="H191">
        <f>IF(F191=G191,1,0)</f>
        <v>0</v>
      </c>
      <c r="I191">
        <f>H191*INDEX(Question_Bank!$M$3:$M$14,MATCH(D191,Question_Bank!$A$3:$A$14,0))</f>
        <v>0</v>
      </c>
      <c r="J191">
        <f>SUMIFS($I$3:$I$566,$A$3:$A$566,A191)</f>
        <v>0</v>
      </c>
      <c r="K191" s="5">
        <f>J191/SUM(Question_Bank!$M$3:$M$14)</f>
        <v>0</v>
      </c>
      <c r="L191" s="5">
        <f>SUMIFS($I$3:$I$566,$A$3:$A$566,A191,$E$3:$E$566,E191)/SUMIFS(Question_Bank!$M$3:$M$14,Question_Bank!$B$3:$B$14,E191)</f>
        <v>0</v>
      </c>
      <c r="M191" t="s">
        <v>164</v>
      </c>
    </row>
    <row r="192" spans="1:13">
      <c r="A192" t="s">
        <v>163</v>
      </c>
      <c r="B192" t="s">
        <v>132</v>
      </c>
      <c r="C192" t="s">
        <v>227</v>
      </c>
      <c r="D192" t="s">
        <v>95</v>
      </c>
      <c r="E192" t="s">
        <v>96</v>
      </c>
      <c r="F192" t="s">
        <v>31</v>
      </c>
      <c r="G192">
        <f>INDEX(Question_Bank!$J$3:$J$14,MATCH(D192,Question_Bank!$A$3:$A$14,0))</f>
        <v>0</v>
      </c>
      <c r="H192">
        <f>IF(F192=G192,1,0)</f>
        <v>0</v>
      </c>
      <c r="I192">
        <f>H192*INDEX(Question_Bank!$M$3:$M$14,MATCH(D192,Question_Bank!$A$3:$A$14,0))</f>
        <v>0</v>
      </c>
      <c r="J192">
        <f>SUMIFS($I$3:$I$566,$A$3:$A$566,A192)</f>
        <v>0</v>
      </c>
      <c r="K192" s="5">
        <f>J192/SUM(Question_Bank!$M$3:$M$14)</f>
        <v>0</v>
      </c>
      <c r="L192" s="5">
        <f>SUMIFS($I$3:$I$566,$A$3:$A$566,A192,$E$3:$E$566,E192)/SUMIFS(Question_Bank!$M$3:$M$14,Question_Bank!$B$3:$B$14,E192)</f>
        <v>0</v>
      </c>
      <c r="M192" t="s">
        <v>164</v>
      </c>
    </row>
    <row r="193" spans="1:13">
      <c r="A193" t="s">
        <v>163</v>
      </c>
      <c r="B193" t="s">
        <v>132</v>
      </c>
      <c r="C193" t="s">
        <v>227</v>
      </c>
      <c r="D193" t="s">
        <v>104</v>
      </c>
      <c r="E193" t="s">
        <v>96</v>
      </c>
      <c r="F193" t="s">
        <v>34</v>
      </c>
      <c r="G193">
        <f>INDEX(Question_Bank!$J$3:$J$14,MATCH(D193,Question_Bank!$A$3:$A$14,0))</f>
        <v>0</v>
      </c>
      <c r="H193">
        <f>IF(F193=G193,1,0)</f>
        <v>0</v>
      </c>
      <c r="I193">
        <f>H193*INDEX(Question_Bank!$M$3:$M$14,MATCH(D193,Question_Bank!$A$3:$A$14,0))</f>
        <v>0</v>
      </c>
      <c r="J193">
        <f>SUMIFS($I$3:$I$566,$A$3:$A$566,A193)</f>
        <v>0</v>
      </c>
      <c r="K193" s="5">
        <f>J193/SUM(Question_Bank!$M$3:$M$14)</f>
        <v>0</v>
      </c>
      <c r="L193" s="5">
        <f>SUMIFS($I$3:$I$566,$A$3:$A$566,A193,$E$3:$E$566,E193)/SUMIFS(Question_Bank!$M$3:$M$14,Question_Bank!$B$3:$B$14,E193)</f>
        <v>0</v>
      </c>
      <c r="M193" t="s">
        <v>164</v>
      </c>
    </row>
    <row r="194" spans="1:13">
      <c r="A194" t="s">
        <v>163</v>
      </c>
      <c r="B194" t="s">
        <v>132</v>
      </c>
      <c r="C194" t="s">
        <v>227</v>
      </c>
      <c r="D194" t="s">
        <v>112</v>
      </c>
      <c r="E194" t="s">
        <v>96</v>
      </c>
      <c r="F194" t="s">
        <v>23</v>
      </c>
      <c r="G194">
        <f>INDEX(Question_Bank!$J$3:$J$14,MATCH(D194,Question_Bank!$A$3:$A$14,0))</f>
        <v>0</v>
      </c>
      <c r="H194">
        <f>IF(F194=G194,1,0)</f>
        <v>0</v>
      </c>
      <c r="I194">
        <f>H194*INDEX(Question_Bank!$M$3:$M$14,MATCH(D194,Question_Bank!$A$3:$A$14,0))</f>
        <v>0</v>
      </c>
      <c r="J194">
        <f>SUMIFS($I$3:$I$566,$A$3:$A$566,A194)</f>
        <v>0</v>
      </c>
      <c r="K194" s="5">
        <f>J194/SUM(Question_Bank!$M$3:$M$14)</f>
        <v>0</v>
      </c>
      <c r="L194" s="5">
        <f>SUMIFS($I$3:$I$566,$A$3:$A$566,A194,$E$3:$E$566,E194)/SUMIFS(Question_Bank!$M$3:$M$14,Question_Bank!$B$3:$B$14,E194)</f>
        <v>0</v>
      </c>
      <c r="M194" t="s">
        <v>164</v>
      </c>
    </row>
    <row r="195" spans="1:13">
      <c r="A195" t="s">
        <v>165</v>
      </c>
      <c r="B195" t="s">
        <v>132</v>
      </c>
      <c r="C195" t="s">
        <v>227</v>
      </c>
      <c r="D195" t="s">
        <v>14</v>
      </c>
      <c r="E195" t="s">
        <v>15</v>
      </c>
      <c r="F195" t="s">
        <v>31</v>
      </c>
      <c r="G195">
        <f>INDEX(Question_Bank!$J$3:$J$14,MATCH(D195,Question_Bank!$A$3:$A$14,0))</f>
        <v>0</v>
      </c>
      <c r="H195">
        <f>IF(F195=G195,1,0)</f>
        <v>0</v>
      </c>
      <c r="I195">
        <f>H195*INDEX(Question_Bank!$M$3:$M$14,MATCH(D195,Question_Bank!$A$3:$A$14,0))</f>
        <v>0</v>
      </c>
      <c r="J195">
        <f>SUMIFS($I$3:$I$566,$A$3:$A$566,A195)</f>
        <v>0</v>
      </c>
      <c r="K195" s="5">
        <f>J195/SUM(Question_Bank!$M$3:$M$14)</f>
        <v>0</v>
      </c>
      <c r="L195" s="5">
        <f>SUMIFS($I$3:$I$566,$A$3:$A$566,A195,$E$3:$E$566,E195)/SUMIFS(Question_Bank!$M$3:$M$14,Question_Bank!$B$3:$B$14,E195)</f>
        <v>0</v>
      </c>
      <c r="M195" t="s">
        <v>166</v>
      </c>
    </row>
    <row r="196" spans="1:13">
      <c r="A196" t="s">
        <v>165</v>
      </c>
      <c r="B196" t="s">
        <v>132</v>
      </c>
      <c r="C196" t="s">
        <v>227</v>
      </c>
      <c r="D196" t="s">
        <v>26</v>
      </c>
      <c r="E196" t="s">
        <v>15</v>
      </c>
      <c r="F196" t="s">
        <v>20</v>
      </c>
      <c r="G196">
        <f>INDEX(Question_Bank!$J$3:$J$14,MATCH(D196,Question_Bank!$A$3:$A$14,0))</f>
        <v>0</v>
      </c>
      <c r="H196">
        <f>IF(F196=G196,1,0)</f>
        <v>0</v>
      </c>
      <c r="I196">
        <f>H196*INDEX(Question_Bank!$M$3:$M$14,MATCH(D196,Question_Bank!$A$3:$A$14,0))</f>
        <v>0</v>
      </c>
      <c r="J196">
        <f>SUMIFS($I$3:$I$566,$A$3:$A$566,A196)</f>
        <v>0</v>
      </c>
      <c r="K196" s="5">
        <f>J196/SUM(Question_Bank!$M$3:$M$14)</f>
        <v>0</v>
      </c>
      <c r="L196" s="5">
        <f>SUMIFS($I$3:$I$566,$A$3:$A$566,A196,$E$3:$E$566,E196)/SUMIFS(Question_Bank!$M$3:$M$14,Question_Bank!$B$3:$B$14,E196)</f>
        <v>0</v>
      </c>
      <c r="M196" t="s">
        <v>166</v>
      </c>
    </row>
    <row r="197" spans="1:13">
      <c r="A197" t="s">
        <v>165</v>
      </c>
      <c r="B197" t="s">
        <v>132</v>
      </c>
      <c r="C197" t="s">
        <v>227</v>
      </c>
      <c r="D197" t="s">
        <v>37</v>
      </c>
      <c r="E197" t="s">
        <v>15</v>
      </c>
      <c r="F197" t="s">
        <v>20</v>
      </c>
      <c r="G197">
        <f>INDEX(Question_Bank!$J$3:$J$14,MATCH(D197,Question_Bank!$A$3:$A$14,0))</f>
        <v>0</v>
      </c>
      <c r="H197">
        <f>IF(F197=G197,1,0)</f>
        <v>0</v>
      </c>
      <c r="I197">
        <f>H197*INDEX(Question_Bank!$M$3:$M$14,MATCH(D197,Question_Bank!$A$3:$A$14,0))</f>
        <v>0</v>
      </c>
      <c r="J197">
        <f>SUMIFS($I$3:$I$566,$A$3:$A$566,A197)</f>
        <v>0</v>
      </c>
      <c r="K197" s="5">
        <f>J197/SUM(Question_Bank!$M$3:$M$14)</f>
        <v>0</v>
      </c>
      <c r="L197" s="5">
        <f>SUMIFS($I$3:$I$566,$A$3:$A$566,A197,$E$3:$E$566,E197)/SUMIFS(Question_Bank!$M$3:$M$14,Question_Bank!$B$3:$B$14,E197)</f>
        <v>0</v>
      </c>
      <c r="M197" t="s">
        <v>166</v>
      </c>
    </row>
    <row r="198" spans="1:13">
      <c r="A198" t="s">
        <v>165</v>
      </c>
      <c r="B198" t="s">
        <v>132</v>
      </c>
      <c r="C198" t="s">
        <v>227</v>
      </c>
      <c r="D198" t="s">
        <v>45</v>
      </c>
      <c r="E198" t="s">
        <v>46</v>
      </c>
      <c r="F198" t="s">
        <v>20</v>
      </c>
      <c r="G198">
        <f>INDEX(Question_Bank!$J$3:$J$14,MATCH(D198,Question_Bank!$A$3:$A$14,0))</f>
        <v>0</v>
      </c>
      <c r="H198">
        <f>IF(F198=G198,1,0)</f>
        <v>0</v>
      </c>
      <c r="I198">
        <f>H198*INDEX(Question_Bank!$M$3:$M$14,MATCH(D198,Question_Bank!$A$3:$A$14,0))</f>
        <v>0</v>
      </c>
      <c r="J198">
        <f>SUMIFS($I$3:$I$566,$A$3:$A$566,A198)</f>
        <v>0</v>
      </c>
      <c r="K198" s="5">
        <f>J198/SUM(Question_Bank!$M$3:$M$14)</f>
        <v>0</v>
      </c>
      <c r="L198" s="5">
        <f>SUMIFS($I$3:$I$566,$A$3:$A$566,A198,$E$3:$E$566,E198)/SUMIFS(Question_Bank!$M$3:$M$14,Question_Bank!$B$3:$B$14,E198)</f>
        <v>0</v>
      </c>
      <c r="M198" t="s">
        <v>166</v>
      </c>
    </row>
    <row r="199" spans="1:13">
      <c r="A199" t="s">
        <v>165</v>
      </c>
      <c r="B199" t="s">
        <v>132</v>
      </c>
      <c r="C199" t="s">
        <v>227</v>
      </c>
      <c r="D199" t="s">
        <v>54</v>
      </c>
      <c r="E199" t="s">
        <v>46</v>
      </c>
      <c r="F199" t="s">
        <v>34</v>
      </c>
      <c r="G199">
        <f>INDEX(Question_Bank!$J$3:$J$14,MATCH(D199,Question_Bank!$A$3:$A$14,0))</f>
        <v>0</v>
      </c>
      <c r="H199">
        <f>IF(F199=G199,1,0)</f>
        <v>0</v>
      </c>
      <c r="I199">
        <f>H199*INDEX(Question_Bank!$M$3:$M$14,MATCH(D199,Question_Bank!$A$3:$A$14,0))</f>
        <v>0</v>
      </c>
      <c r="J199">
        <f>SUMIFS($I$3:$I$566,$A$3:$A$566,A199)</f>
        <v>0</v>
      </c>
      <c r="K199" s="5">
        <f>J199/SUM(Question_Bank!$M$3:$M$14)</f>
        <v>0</v>
      </c>
      <c r="L199" s="5">
        <f>SUMIFS($I$3:$I$566,$A$3:$A$566,A199,$E$3:$E$566,E199)/SUMIFS(Question_Bank!$M$3:$M$14,Question_Bank!$B$3:$B$14,E199)</f>
        <v>0</v>
      </c>
      <c r="M199" t="s">
        <v>166</v>
      </c>
    </row>
    <row r="200" spans="1:13">
      <c r="A200" t="s">
        <v>165</v>
      </c>
      <c r="B200" t="s">
        <v>132</v>
      </c>
      <c r="C200" t="s">
        <v>227</v>
      </c>
      <c r="D200" t="s">
        <v>62</v>
      </c>
      <c r="E200" t="s">
        <v>46</v>
      </c>
      <c r="F200" t="s">
        <v>34</v>
      </c>
      <c r="G200">
        <f>INDEX(Question_Bank!$J$3:$J$14,MATCH(D200,Question_Bank!$A$3:$A$14,0))</f>
        <v>0</v>
      </c>
      <c r="H200">
        <f>IF(F200=G200,1,0)</f>
        <v>0</v>
      </c>
      <c r="I200">
        <f>H200*INDEX(Question_Bank!$M$3:$M$14,MATCH(D200,Question_Bank!$A$3:$A$14,0))</f>
        <v>0</v>
      </c>
      <c r="J200">
        <f>SUMIFS($I$3:$I$566,$A$3:$A$566,A200)</f>
        <v>0</v>
      </c>
      <c r="K200" s="5">
        <f>J200/SUM(Question_Bank!$M$3:$M$14)</f>
        <v>0</v>
      </c>
      <c r="L200" s="5">
        <f>SUMIFS($I$3:$I$566,$A$3:$A$566,A200,$E$3:$E$566,E200)/SUMIFS(Question_Bank!$M$3:$M$14,Question_Bank!$B$3:$B$14,E200)</f>
        <v>0</v>
      </c>
      <c r="M200" t="s">
        <v>166</v>
      </c>
    </row>
    <row r="201" spans="1:13">
      <c r="A201" t="s">
        <v>165</v>
      </c>
      <c r="B201" t="s">
        <v>132</v>
      </c>
      <c r="C201" t="s">
        <v>227</v>
      </c>
      <c r="D201" t="s">
        <v>70</v>
      </c>
      <c r="E201" t="s">
        <v>71</v>
      </c>
      <c r="F201" t="s">
        <v>20</v>
      </c>
      <c r="G201">
        <f>INDEX(Question_Bank!$J$3:$J$14,MATCH(D201,Question_Bank!$A$3:$A$14,0))</f>
        <v>0</v>
      </c>
      <c r="H201">
        <f>IF(F201=G201,1,0)</f>
        <v>0</v>
      </c>
      <c r="I201">
        <f>H201*INDEX(Question_Bank!$M$3:$M$14,MATCH(D201,Question_Bank!$A$3:$A$14,0))</f>
        <v>0</v>
      </c>
      <c r="J201">
        <f>SUMIFS($I$3:$I$566,$A$3:$A$566,A201)</f>
        <v>0</v>
      </c>
      <c r="K201" s="5">
        <f>J201/SUM(Question_Bank!$M$3:$M$14)</f>
        <v>0</v>
      </c>
      <c r="L201" s="5">
        <f>SUMIFS($I$3:$I$566,$A$3:$A$566,A201,$E$3:$E$566,E201)/SUMIFS(Question_Bank!$M$3:$M$14,Question_Bank!$B$3:$B$14,E201)</f>
        <v>0</v>
      </c>
      <c r="M201" t="s">
        <v>166</v>
      </c>
    </row>
    <row r="202" spans="1:13">
      <c r="A202" t="s">
        <v>165</v>
      </c>
      <c r="B202" t="s">
        <v>132</v>
      </c>
      <c r="C202" t="s">
        <v>227</v>
      </c>
      <c r="D202" t="s">
        <v>79</v>
      </c>
      <c r="E202" t="s">
        <v>71</v>
      </c>
      <c r="F202" t="s">
        <v>23</v>
      </c>
      <c r="G202">
        <f>INDEX(Question_Bank!$J$3:$J$14,MATCH(D202,Question_Bank!$A$3:$A$14,0))</f>
        <v>0</v>
      </c>
      <c r="H202">
        <f>IF(F202=G202,1,0)</f>
        <v>0</v>
      </c>
      <c r="I202">
        <f>H202*INDEX(Question_Bank!$M$3:$M$14,MATCH(D202,Question_Bank!$A$3:$A$14,0))</f>
        <v>0</v>
      </c>
      <c r="J202">
        <f>SUMIFS($I$3:$I$566,$A$3:$A$566,A202)</f>
        <v>0</v>
      </c>
      <c r="K202" s="5">
        <f>J202/SUM(Question_Bank!$M$3:$M$14)</f>
        <v>0</v>
      </c>
      <c r="L202" s="5">
        <f>SUMIFS($I$3:$I$566,$A$3:$A$566,A202,$E$3:$E$566,E202)/SUMIFS(Question_Bank!$M$3:$M$14,Question_Bank!$B$3:$B$14,E202)</f>
        <v>0</v>
      </c>
      <c r="M202" t="s">
        <v>166</v>
      </c>
    </row>
    <row r="203" spans="1:13">
      <c r="A203" t="s">
        <v>165</v>
      </c>
      <c r="B203" t="s">
        <v>132</v>
      </c>
      <c r="C203" t="s">
        <v>227</v>
      </c>
      <c r="D203" t="s">
        <v>87</v>
      </c>
      <c r="E203" t="s">
        <v>71</v>
      </c>
      <c r="F203" t="s">
        <v>34</v>
      </c>
      <c r="G203">
        <f>INDEX(Question_Bank!$J$3:$J$14,MATCH(D203,Question_Bank!$A$3:$A$14,0))</f>
        <v>0</v>
      </c>
      <c r="H203">
        <f>IF(F203=G203,1,0)</f>
        <v>0</v>
      </c>
      <c r="I203">
        <f>H203*INDEX(Question_Bank!$M$3:$M$14,MATCH(D203,Question_Bank!$A$3:$A$14,0))</f>
        <v>0</v>
      </c>
      <c r="J203">
        <f>SUMIFS($I$3:$I$566,$A$3:$A$566,A203)</f>
        <v>0</v>
      </c>
      <c r="K203" s="5">
        <f>J203/SUM(Question_Bank!$M$3:$M$14)</f>
        <v>0</v>
      </c>
      <c r="L203" s="5">
        <f>SUMIFS($I$3:$I$566,$A$3:$A$566,A203,$E$3:$E$566,E203)/SUMIFS(Question_Bank!$M$3:$M$14,Question_Bank!$B$3:$B$14,E203)</f>
        <v>0</v>
      </c>
      <c r="M203" t="s">
        <v>166</v>
      </c>
    </row>
    <row r="204" spans="1:13">
      <c r="A204" t="s">
        <v>165</v>
      </c>
      <c r="B204" t="s">
        <v>132</v>
      </c>
      <c r="C204" t="s">
        <v>227</v>
      </c>
      <c r="D204" t="s">
        <v>95</v>
      </c>
      <c r="E204" t="s">
        <v>96</v>
      </c>
      <c r="F204" t="s">
        <v>34</v>
      </c>
      <c r="G204">
        <f>INDEX(Question_Bank!$J$3:$J$14,MATCH(D204,Question_Bank!$A$3:$A$14,0))</f>
        <v>0</v>
      </c>
      <c r="H204">
        <f>IF(F204=G204,1,0)</f>
        <v>0</v>
      </c>
      <c r="I204">
        <f>H204*INDEX(Question_Bank!$M$3:$M$14,MATCH(D204,Question_Bank!$A$3:$A$14,0))</f>
        <v>0</v>
      </c>
      <c r="J204">
        <f>SUMIFS($I$3:$I$566,$A$3:$A$566,A204)</f>
        <v>0</v>
      </c>
      <c r="K204" s="5">
        <f>J204/SUM(Question_Bank!$M$3:$M$14)</f>
        <v>0</v>
      </c>
      <c r="L204" s="5">
        <f>SUMIFS($I$3:$I$566,$A$3:$A$566,A204,$E$3:$E$566,E204)/SUMIFS(Question_Bank!$M$3:$M$14,Question_Bank!$B$3:$B$14,E204)</f>
        <v>0</v>
      </c>
      <c r="M204" t="s">
        <v>166</v>
      </c>
    </row>
    <row r="205" spans="1:13">
      <c r="A205" t="s">
        <v>165</v>
      </c>
      <c r="B205" t="s">
        <v>132</v>
      </c>
      <c r="C205" t="s">
        <v>227</v>
      </c>
      <c r="D205" t="s">
        <v>104</v>
      </c>
      <c r="E205" t="s">
        <v>96</v>
      </c>
      <c r="F205" t="s">
        <v>20</v>
      </c>
      <c r="G205">
        <f>INDEX(Question_Bank!$J$3:$J$14,MATCH(D205,Question_Bank!$A$3:$A$14,0))</f>
        <v>0</v>
      </c>
      <c r="H205">
        <f>IF(F205=G205,1,0)</f>
        <v>0</v>
      </c>
      <c r="I205">
        <f>H205*INDEX(Question_Bank!$M$3:$M$14,MATCH(D205,Question_Bank!$A$3:$A$14,0))</f>
        <v>0</v>
      </c>
      <c r="J205">
        <f>SUMIFS($I$3:$I$566,$A$3:$A$566,A205)</f>
        <v>0</v>
      </c>
      <c r="K205" s="5">
        <f>J205/SUM(Question_Bank!$M$3:$M$14)</f>
        <v>0</v>
      </c>
      <c r="L205" s="5">
        <f>SUMIFS($I$3:$I$566,$A$3:$A$566,A205,$E$3:$E$566,E205)/SUMIFS(Question_Bank!$M$3:$M$14,Question_Bank!$B$3:$B$14,E205)</f>
        <v>0</v>
      </c>
      <c r="M205" t="s">
        <v>166</v>
      </c>
    </row>
    <row r="206" spans="1:13">
      <c r="A206" t="s">
        <v>165</v>
      </c>
      <c r="B206" t="s">
        <v>132</v>
      </c>
      <c r="C206" t="s">
        <v>227</v>
      </c>
      <c r="D206" t="s">
        <v>112</v>
      </c>
      <c r="E206" t="s">
        <v>96</v>
      </c>
      <c r="F206" t="s">
        <v>20</v>
      </c>
      <c r="G206">
        <f>INDEX(Question_Bank!$J$3:$J$14,MATCH(D206,Question_Bank!$A$3:$A$14,0))</f>
        <v>0</v>
      </c>
      <c r="H206">
        <f>IF(F206=G206,1,0)</f>
        <v>0</v>
      </c>
      <c r="I206">
        <f>H206*INDEX(Question_Bank!$M$3:$M$14,MATCH(D206,Question_Bank!$A$3:$A$14,0))</f>
        <v>0</v>
      </c>
      <c r="J206">
        <f>SUMIFS($I$3:$I$566,$A$3:$A$566,A206)</f>
        <v>0</v>
      </c>
      <c r="K206" s="5">
        <f>J206/SUM(Question_Bank!$M$3:$M$14)</f>
        <v>0</v>
      </c>
      <c r="L206" s="5">
        <f>SUMIFS($I$3:$I$566,$A$3:$A$566,A206,$E$3:$E$566,E206)/SUMIFS(Question_Bank!$M$3:$M$14,Question_Bank!$B$3:$B$14,E206)</f>
        <v>0</v>
      </c>
      <c r="M206" t="s">
        <v>166</v>
      </c>
    </row>
    <row r="207" spans="1:13">
      <c r="A207" t="s">
        <v>167</v>
      </c>
      <c r="B207" t="s">
        <v>132</v>
      </c>
      <c r="C207" t="s">
        <v>227</v>
      </c>
      <c r="D207" t="s">
        <v>14</v>
      </c>
      <c r="E207" t="s">
        <v>15</v>
      </c>
      <c r="F207" t="s">
        <v>23</v>
      </c>
      <c r="G207">
        <f>INDEX(Question_Bank!$J$3:$J$14,MATCH(D207,Question_Bank!$A$3:$A$14,0))</f>
        <v>0</v>
      </c>
      <c r="H207">
        <f>IF(F207=G207,1,0)</f>
        <v>0</v>
      </c>
      <c r="I207">
        <f>H207*INDEX(Question_Bank!$M$3:$M$14,MATCH(D207,Question_Bank!$A$3:$A$14,0))</f>
        <v>0</v>
      </c>
      <c r="J207">
        <f>SUMIFS($I$3:$I$566,$A$3:$A$566,A207)</f>
        <v>0</v>
      </c>
      <c r="K207" s="5">
        <f>J207/SUM(Question_Bank!$M$3:$M$14)</f>
        <v>0</v>
      </c>
      <c r="L207" s="5">
        <f>SUMIFS($I$3:$I$566,$A$3:$A$566,A207,$E$3:$E$566,E207)/SUMIFS(Question_Bank!$M$3:$M$14,Question_Bank!$B$3:$B$14,E207)</f>
        <v>0</v>
      </c>
      <c r="M207" t="s">
        <v>168</v>
      </c>
    </row>
    <row r="208" spans="1:13">
      <c r="A208" t="s">
        <v>167</v>
      </c>
      <c r="B208" t="s">
        <v>132</v>
      </c>
      <c r="C208" t="s">
        <v>227</v>
      </c>
      <c r="D208" t="s">
        <v>26</v>
      </c>
      <c r="E208" t="s">
        <v>15</v>
      </c>
      <c r="F208" t="s">
        <v>20</v>
      </c>
      <c r="G208">
        <f>INDEX(Question_Bank!$J$3:$J$14,MATCH(D208,Question_Bank!$A$3:$A$14,0))</f>
        <v>0</v>
      </c>
      <c r="H208">
        <f>IF(F208=G208,1,0)</f>
        <v>0</v>
      </c>
      <c r="I208">
        <f>H208*INDEX(Question_Bank!$M$3:$M$14,MATCH(D208,Question_Bank!$A$3:$A$14,0))</f>
        <v>0</v>
      </c>
      <c r="J208">
        <f>SUMIFS($I$3:$I$566,$A$3:$A$566,A208)</f>
        <v>0</v>
      </c>
      <c r="K208" s="5">
        <f>J208/SUM(Question_Bank!$M$3:$M$14)</f>
        <v>0</v>
      </c>
      <c r="L208" s="5">
        <f>SUMIFS($I$3:$I$566,$A$3:$A$566,A208,$E$3:$E$566,E208)/SUMIFS(Question_Bank!$M$3:$M$14,Question_Bank!$B$3:$B$14,E208)</f>
        <v>0</v>
      </c>
      <c r="M208" t="s">
        <v>168</v>
      </c>
    </row>
    <row r="209" spans="1:13">
      <c r="A209" t="s">
        <v>167</v>
      </c>
      <c r="B209" t="s">
        <v>132</v>
      </c>
      <c r="C209" t="s">
        <v>227</v>
      </c>
      <c r="D209" t="s">
        <v>37</v>
      </c>
      <c r="E209" t="s">
        <v>15</v>
      </c>
      <c r="F209" t="s">
        <v>34</v>
      </c>
      <c r="G209">
        <f>INDEX(Question_Bank!$J$3:$J$14,MATCH(D209,Question_Bank!$A$3:$A$14,0))</f>
        <v>0</v>
      </c>
      <c r="H209">
        <f>IF(F209=G209,1,0)</f>
        <v>0</v>
      </c>
      <c r="I209">
        <f>H209*INDEX(Question_Bank!$M$3:$M$14,MATCH(D209,Question_Bank!$A$3:$A$14,0))</f>
        <v>0</v>
      </c>
      <c r="J209">
        <f>SUMIFS($I$3:$I$566,$A$3:$A$566,A209)</f>
        <v>0</v>
      </c>
      <c r="K209" s="5">
        <f>J209/SUM(Question_Bank!$M$3:$M$14)</f>
        <v>0</v>
      </c>
      <c r="L209" s="5">
        <f>SUMIFS($I$3:$I$566,$A$3:$A$566,A209,$E$3:$E$566,E209)/SUMIFS(Question_Bank!$M$3:$M$14,Question_Bank!$B$3:$B$14,E209)</f>
        <v>0</v>
      </c>
      <c r="M209" t="s">
        <v>168</v>
      </c>
    </row>
    <row r="210" spans="1:13">
      <c r="A210" t="s">
        <v>167</v>
      </c>
      <c r="B210" t="s">
        <v>132</v>
      </c>
      <c r="C210" t="s">
        <v>227</v>
      </c>
      <c r="D210" t="s">
        <v>45</v>
      </c>
      <c r="E210" t="s">
        <v>46</v>
      </c>
      <c r="F210" t="s">
        <v>34</v>
      </c>
      <c r="G210">
        <f>INDEX(Question_Bank!$J$3:$J$14,MATCH(D210,Question_Bank!$A$3:$A$14,0))</f>
        <v>0</v>
      </c>
      <c r="H210">
        <f>IF(F210=G210,1,0)</f>
        <v>0</v>
      </c>
      <c r="I210">
        <f>H210*INDEX(Question_Bank!$M$3:$M$14,MATCH(D210,Question_Bank!$A$3:$A$14,0))</f>
        <v>0</v>
      </c>
      <c r="J210">
        <f>SUMIFS($I$3:$I$566,$A$3:$A$566,A210)</f>
        <v>0</v>
      </c>
      <c r="K210" s="5">
        <f>J210/SUM(Question_Bank!$M$3:$M$14)</f>
        <v>0</v>
      </c>
      <c r="L210" s="5">
        <f>SUMIFS($I$3:$I$566,$A$3:$A$566,A210,$E$3:$E$566,E210)/SUMIFS(Question_Bank!$M$3:$M$14,Question_Bank!$B$3:$B$14,E210)</f>
        <v>0</v>
      </c>
      <c r="M210" t="s">
        <v>168</v>
      </c>
    </row>
    <row r="211" spans="1:13">
      <c r="A211" t="s">
        <v>167</v>
      </c>
      <c r="B211" t="s">
        <v>132</v>
      </c>
      <c r="C211" t="s">
        <v>227</v>
      </c>
      <c r="D211" t="s">
        <v>54</v>
      </c>
      <c r="E211" t="s">
        <v>46</v>
      </c>
      <c r="F211" t="s">
        <v>31</v>
      </c>
      <c r="G211">
        <f>INDEX(Question_Bank!$J$3:$J$14,MATCH(D211,Question_Bank!$A$3:$A$14,0))</f>
        <v>0</v>
      </c>
      <c r="H211">
        <f>IF(F211=G211,1,0)</f>
        <v>0</v>
      </c>
      <c r="I211">
        <f>H211*INDEX(Question_Bank!$M$3:$M$14,MATCH(D211,Question_Bank!$A$3:$A$14,0))</f>
        <v>0</v>
      </c>
      <c r="J211">
        <f>SUMIFS($I$3:$I$566,$A$3:$A$566,A211)</f>
        <v>0</v>
      </c>
      <c r="K211" s="5">
        <f>J211/SUM(Question_Bank!$M$3:$M$14)</f>
        <v>0</v>
      </c>
      <c r="L211" s="5">
        <f>SUMIFS($I$3:$I$566,$A$3:$A$566,A211,$E$3:$E$566,E211)/SUMIFS(Question_Bank!$M$3:$M$14,Question_Bank!$B$3:$B$14,E211)</f>
        <v>0</v>
      </c>
      <c r="M211" t="s">
        <v>168</v>
      </c>
    </row>
    <row r="212" spans="1:13">
      <c r="A212" t="s">
        <v>167</v>
      </c>
      <c r="B212" t="s">
        <v>132</v>
      </c>
      <c r="C212" t="s">
        <v>227</v>
      </c>
      <c r="D212" t="s">
        <v>62</v>
      </c>
      <c r="E212" t="s">
        <v>46</v>
      </c>
      <c r="F212" t="s">
        <v>23</v>
      </c>
      <c r="G212">
        <f>INDEX(Question_Bank!$J$3:$J$14,MATCH(D212,Question_Bank!$A$3:$A$14,0))</f>
        <v>0</v>
      </c>
      <c r="H212">
        <f>IF(F212=G212,1,0)</f>
        <v>0</v>
      </c>
      <c r="I212">
        <f>H212*INDEX(Question_Bank!$M$3:$M$14,MATCH(D212,Question_Bank!$A$3:$A$14,0))</f>
        <v>0</v>
      </c>
      <c r="J212">
        <f>SUMIFS($I$3:$I$566,$A$3:$A$566,A212)</f>
        <v>0</v>
      </c>
      <c r="K212" s="5">
        <f>J212/SUM(Question_Bank!$M$3:$M$14)</f>
        <v>0</v>
      </c>
      <c r="L212" s="5">
        <f>SUMIFS($I$3:$I$566,$A$3:$A$566,A212,$E$3:$E$566,E212)/SUMIFS(Question_Bank!$M$3:$M$14,Question_Bank!$B$3:$B$14,E212)</f>
        <v>0</v>
      </c>
      <c r="M212" t="s">
        <v>168</v>
      </c>
    </row>
    <row r="213" spans="1:13">
      <c r="A213" t="s">
        <v>167</v>
      </c>
      <c r="B213" t="s">
        <v>132</v>
      </c>
      <c r="C213" t="s">
        <v>227</v>
      </c>
      <c r="D213" t="s">
        <v>70</v>
      </c>
      <c r="E213" t="s">
        <v>71</v>
      </c>
      <c r="F213" t="s">
        <v>23</v>
      </c>
      <c r="G213">
        <f>INDEX(Question_Bank!$J$3:$J$14,MATCH(D213,Question_Bank!$A$3:$A$14,0))</f>
        <v>0</v>
      </c>
      <c r="H213">
        <f>IF(F213=G213,1,0)</f>
        <v>0</v>
      </c>
      <c r="I213">
        <f>H213*INDEX(Question_Bank!$M$3:$M$14,MATCH(D213,Question_Bank!$A$3:$A$14,0))</f>
        <v>0</v>
      </c>
      <c r="J213">
        <f>SUMIFS($I$3:$I$566,$A$3:$A$566,A213)</f>
        <v>0</v>
      </c>
      <c r="K213" s="5">
        <f>J213/SUM(Question_Bank!$M$3:$M$14)</f>
        <v>0</v>
      </c>
      <c r="L213" s="5">
        <f>SUMIFS($I$3:$I$566,$A$3:$A$566,A213,$E$3:$E$566,E213)/SUMIFS(Question_Bank!$M$3:$M$14,Question_Bank!$B$3:$B$14,E213)</f>
        <v>0</v>
      </c>
      <c r="M213" t="s">
        <v>168</v>
      </c>
    </row>
    <row r="214" spans="1:13">
      <c r="A214" t="s">
        <v>167</v>
      </c>
      <c r="B214" t="s">
        <v>132</v>
      </c>
      <c r="C214" t="s">
        <v>227</v>
      </c>
      <c r="D214" t="s">
        <v>79</v>
      </c>
      <c r="E214" t="s">
        <v>71</v>
      </c>
      <c r="F214" t="s">
        <v>34</v>
      </c>
      <c r="G214">
        <f>INDEX(Question_Bank!$J$3:$J$14,MATCH(D214,Question_Bank!$A$3:$A$14,0))</f>
        <v>0</v>
      </c>
      <c r="H214">
        <f>IF(F214=G214,1,0)</f>
        <v>0</v>
      </c>
      <c r="I214">
        <f>H214*INDEX(Question_Bank!$M$3:$M$14,MATCH(D214,Question_Bank!$A$3:$A$14,0))</f>
        <v>0</v>
      </c>
      <c r="J214">
        <f>SUMIFS($I$3:$I$566,$A$3:$A$566,A214)</f>
        <v>0</v>
      </c>
      <c r="K214" s="5">
        <f>J214/SUM(Question_Bank!$M$3:$M$14)</f>
        <v>0</v>
      </c>
      <c r="L214" s="5">
        <f>SUMIFS($I$3:$I$566,$A$3:$A$566,A214,$E$3:$E$566,E214)/SUMIFS(Question_Bank!$M$3:$M$14,Question_Bank!$B$3:$B$14,E214)</f>
        <v>0</v>
      </c>
      <c r="M214" t="s">
        <v>168</v>
      </c>
    </row>
    <row r="215" spans="1:13">
      <c r="A215" t="s">
        <v>167</v>
      </c>
      <c r="B215" t="s">
        <v>132</v>
      </c>
      <c r="C215" t="s">
        <v>227</v>
      </c>
      <c r="D215" t="s">
        <v>87</v>
      </c>
      <c r="E215" t="s">
        <v>71</v>
      </c>
      <c r="F215" t="s">
        <v>20</v>
      </c>
      <c r="G215">
        <f>INDEX(Question_Bank!$J$3:$J$14,MATCH(D215,Question_Bank!$A$3:$A$14,0))</f>
        <v>0</v>
      </c>
      <c r="H215">
        <f>IF(F215=G215,1,0)</f>
        <v>0</v>
      </c>
      <c r="I215">
        <f>H215*INDEX(Question_Bank!$M$3:$M$14,MATCH(D215,Question_Bank!$A$3:$A$14,0))</f>
        <v>0</v>
      </c>
      <c r="J215">
        <f>SUMIFS($I$3:$I$566,$A$3:$A$566,A215)</f>
        <v>0</v>
      </c>
      <c r="K215" s="5">
        <f>J215/SUM(Question_Bank!$M$3:$M$14)</f>
        <v>0</v>
      </c>
      <c r="L215" s="5">
        <f>SUMIFS($I$3:$I$566,$A$3:$A$566,A215,$E$3:$E$566,E215)/SUMIFS(Question_Bank!$M$3:$M$14,Question_Bank!$B$3:$B$14,E215)</f>
        <v>0</v>
      </c>
      <c r="M215" t="s">
        <v>168</v>
      </c>
    </row>
    <row r="216" spans="1:13">
      <c r="A216" t="s">
        <v>167</v>
      </c>
      <c r="B216" t="s">
        <v>132</v>
      </c>
      <c r="C216" t="s">
        <v>227</v>
      </c>
      <c r="D216" t="s">
        <v>95</v>
      </c>
      <c r="E216" t="s">
        <v>96</v>
      </c>
      <c r="F216" t="s">
        <v>31</v>
      </c>
      <c r="G216">
        <f>INDEX(Question_Bank!$J$3:$J$14,MATCH(D216,Question_Bank!$A$3:$A$14,0))</f>
        <v>0</v>
      </c>
      <c r="H216">
        <f>IF(F216=G216,1,0)</f>
        <v>0</v>
      </c>
      <c r="I216">
        <f>H216*INDEX(Question_Bank!$M$3:$M$14,MATCH(D216,Question_Bank!$A$3:$A$14,0))</f>
        <v>0</v>
      </c>
      <c r="J216">
        <f>SUMIFS($I$3:$I$566,$A$3:$A$566,A216)</f>
        <v>0</v>
      </c>
      <c r="K216" s="5">
        <f>J216/SUM(Question_Bank!$M$3:$M$14)</f>
        <v>0</v>
      </c>
      <c r="L216" s="5">
        <f>SUMIFS($I$3:$I$566,$A$3:$A$566,A216,$E$3:$E$566,E216)/SUMIFS(Question_Bank!$M$3:$M$14,Question_Bank!$B$3:$B$14,E216)</f>
        <v>0</v>
      </c>
      <c r="M216" t="s">
        <v>168</v>
      </c>
    </row>
    <row r="217" spans="1:13">
      <c r="A217" t="s">
        <v>167</v>
      </c>
      <c r="B217" t="s">
        <v>132</v>
      </c>
      <c r="C217" t="s">
        <v>227</v>
      </c>
      <c r="D217" t="s">
        <v>104</v>
      </c>
      <c r="E217" t="s">
        <v>96</v>
      </c>
      <c r="F217" t="s">
        <v>23</v>
      </c>
      <c r="G217">
        <f>INDEX(Question_Bank!$J$3:$J$14,MATCH(D217,Question_Bank!$A$3:$A$14,0))</f>
        <v>0</v>
      </c>
      <c r="H217">
        <f>IF(F217=G217,1,0)</f>
        <v>0</v>
      </c>
      <c r="I217">
        <f>H217*INDEX(Question_Bank!$M$3:$M$14,MATCH(D217,Question_Bank!$A$3:$A$14,0))</f>
        <v>0</v>
      </c>
      <c r="J217">
        <f>SUMIFS($I$3:$I$566,$A$3:$A$566,A217)</f>
        <v>0</v>
      </c>
      <c r="K217" s="5">
        <f>J217/SUM(Question_Bank!$M$3:$M$14)</f>
        <v>0</v>
      </c>
      <c r="L217" s="5">
        <f>SUMIFS($I$3:$I$566,$A$3:$A$566,A217,$E$3:$E$566,E217)/SUMIFS(Question_Bank!$M$3:$M$14,Question_Bank!$B$3:$B$14,E217)</f>
        <v>0</v>
      </c>
      <c r="M217" t="s">
        <v>168</v>
      </c>
    </row>
    <row r="218" spans="1:13">
      <c r="A218" t="s">
        <v>167</v>
      </c>
      <c r="B218" t="s">
        <v>132</v>
      </c>
      <c r="C218" t="s">
        <v>227</v>
      </c>
      <c r="D218" t="s">
        <v>112</v>
      </c>
      <c r="E218" t="s">
        <v>96</v>
      </c>
      <c r="F218" t="s">
        <v>34</v>
      </c>
      <c r="G218">
        <f>INDEX(Question_Bank!$J$3:$J$14,MATCH(D218,Question_Bank!$A$3:$A$14,0))</f>
        <v>0</v>
      </c>
      <c r="H218">
        <f>IF(F218=G218,1,0)</f>
        <v>0</v>
      </c>
      <c r="I218">
        <f>H218*INDEX(Question_Bank!$M$3:$M$14,MATCH(D218,Question_Bank!$A$3:$A$14,0))</f>
        <v>0</v>
      </c>
      <c r="J218">
        <f>SUMIFS($I$3:$I$566,$A$3:$A$566,A218)</f>
        <v>0</v>
      </c>
      <c r="K218" s="5">
        <f>J218/SUM(Question_Bank!$M$3:$M$14)</f>
        <v>0</v>
      </c>
      <c r="L218" s="5">
        <f>SUMIFS($I$3:$I$566,$A$3:$A$566,A218,$E$3:$E$566,E218)/SUMIFS(Question_Bank!$M$3:$M$14,Question_Bank!$B$3:$B$14,E218)</f>
        <v>0</v>
      </c>
      <c r="M218" t="s">
        <v>168</v>
      </c>
    </row>
    <row r="219" spans="1:13">
      <c r="A219" t="s">
        <v>169</v>
      </c>
      <c r="B219" t="s">
        <v>132</v>
      </c>
      <c r="C219" t="s">
        <v>227</v>
      </c>
      <c r="D219" t="s">
        <v>14</v>
      </c>
      <c r="E219" t="s">
        <v>15</v>
      </c>
      <c r="F219" t="s">
        <v>23</v>
      </c>
      <c r="G219">
        <f>INDEX(Question_Bank!$J$3:$J$14,MATCH(D219,Question_Bank!$A$3:$A$14,0))</f>
        <v>0</v>
      </c>
      <c r="H219">
        <f>IF(F219=G219,1,0)</f>
        <v>0</v>
      </c>
      <c r="I219">
        <f>H219*INDEX(Question_Bank!$M$3:$M$14,MATCH(D219,Question_Bank!$A$3:$A$14,0))</f>
        <v>0</v>
      </c>
      <c r="J219">
        <f>SUMIFS($I$3:$I$566,$A$3:$A$566,A219)</f>
        <v>0</v>
      </c>
      <c r="K219" s="5">
        <f>J219/SUM(Question_Bank!$M$3:$M$14)</f>
        <v>0</v>
      </c>
      <c r="L219" s="5">
        <f>SUMIFS($I$3:$I$566,$A$3:$A$566,A219,$E$3:$E$566,E219)/SUMIFS(Question_Bank!$M$3:$M$14,Question_Bank!$B$3:$B$14,E219)</f>
        <v>0</v>
      </c>
      <c r="M219" t="s">
        <v>170</v>
      </c>
    </row>
    <row r="220" spans="1:13">
      <c r="A220" t="s">
        <v>169</v>
      </c>
      <c r="B220" t="s">
        <v>132</v>
      </c>
      <c r="C220" t="s">
        <v>227</v>
      </c>
      <c r="D220" t="s">
        <v>26</v>
      </c>
      <c r="E220" t="s">
        <v>15</v>
      </c>
      <c r="F220" t="s">
        <v>20</v>
      </c>
      <c r="G220">
        <f>INDEX(Question_Bank!$J$3:$J$14,MATCH(D220,Question_Bank!$A$3:$A$14,0))</f>
        <v>0</v>
      </c>
      <c r="H220">
        <f>IF(F220=G220,1,0)</f>
        <v>0</v>
      </c>
      <c r="I220">
        <f>H220*INDEX(Question_Bank!$M$3:$M$14,MATCH(D220,Question_Bank!$A$3:$A$14,0))</f>
        <v>0</v>
      </c>
      <c r="J220">
        <f>SUMIFS($I$3:$I$566,$A$3:$A$566,A220)</f>
        <v>0</v>
      </c>
      <c r="K220" s="5">
        <f>J220/SUM(Question_Bank!$M$3:$M$14)</f>
        <v>0</v>
      </c>
      <c r="L220" s="5">
        <f>SUMIFS($I$3:$I$566,$A$3:$A$566,A220,$E$3:$E$566,E220)/SUMIFS(Question_Bank!$M$3:$M$14,Question_Bank!$B$3:$B$14,E220)</f>
        <v>0</v>
      </c>
      <c r="M220" t="s">
        <v>170</v>
      </c>
    </row>
    <row r="221" spans="1:13">
      <c r="A221" t="s">
        <v>169</v>
      </c>
      <c r="B221" t="s">
        <v>132</v>
      </c>
      <c r="C221" t="s">
        <v>227</v>
      </c>
      <c r="D221" t="s">
        <v>37</v>
      </c>
      <c r="E221" t="s">
        <v>15</v>
      </c>
      <c r="F221" t="s">
        <v>34</v>
      </c>
      <c r="G221">
        <f>INDEX(Question_Bank!$J$3:$J$14,MATCH(D221,Question_Bank!$A$3:$A$14,0))</f>
        <v>0</v>
      </c>
      <c r="H221">
        <f>IF(F221=G221,1,0)</f>
        <v>0</v>
      </c>
      <c r="I221">
        <f>H221*INDEX(Question_Bank!$M$3:$M$14,MATCH(D221,Question_Bank!$A$3:$A$14,0))</f>
        <v>0</v>
      </c>
      <c r="J221">
        <f>SUMIFS($I$3:$I$566,$A$3:$A$566,A221)</f>
        <v>0</v>
      </c>
      <c r="K221" s="5">
        <f>J221/SUM(Question_Bank!$M$3:$M$14)</f>
        <v>0</v>
      </c>
      <c r="L221" s="5">
        <f>SUMIFS($I$3:$I$566,$A$3:$A$566,A221,$E$3:$E$566,E221)/SUMIFS(Question_Bank!$M$3:$M$14,Question_Bank!$B$3:$B$14,E221)</f>
        <v>0</v>
      </c>
      <c r="M221" t="s">
        <v>170</v>
      </c>
    </row>
    <row r="222" spans="1:13">
      <c r="A222" t="s">
        <v>169</v>
      </c>
      <c r="B222" t="s">
        <v>132</v>
      </c>
      <c r="C222" t="s">
        <v>227</v>
      </c>
      <c r="D222" t="s">
        <v>45</v>
      </c>
      <c r="E222" t="s">
        <v>46</v>
      </c>
      <c r="F222" t="s">
        <v>34</v>
      </c>
      <c r="G222">
        <f>INDEX(Question_Bank!$J$3:$J$14,MATCH(D222,Question_Bank!$A$3:$A$14,0))</f>
        <v>0</v>
      </c>
      <c r="H222">
        <f>IF(F222=G222,1,0)</f>
        <v>0</v>
      </c>
      <c r="I222">
        <f>H222*INDEX(Question_Bank!$M$3:$M$14,MATCH(D222,Question_Bank!$A$3:$A$14,0))</f>
        <v>0</v>
      </c>
      <c r="J222">
        <f>SUMIFS($I$3:$I$566,$A$3:$A$566,A222)</f>
        <v>0</v>
      </c>
      <c r="K222" s="5">
        <f>J222/SUM(Question_Bank!$M$3:$M$14)</f>
        <v>0</v>
      </c>
      <c r="L222" s="5">
        <f>SUMIFS($I$3:$I$566,$A$3:$A$566,A222,$E$3:$E$566,E222)/SUMIFS(Question_Bank!$M$3:$M$14,Question_Bank!$B$3:$B$14,E222)</f>
        <v>0</v>
      </c>
      <c r="M222" t="s">
        <v>170</v>
      </c>
    </row>
    <row r="223" spans="1:13">
      <c r="A223" t="s">
        <v>169</v>
      </c>
      <c r="B223" t="s">
        <v>132</v>
      </c>
      <c r="C223" t="s">
        <v>227</v>
      </c>
      <c r="D223" t="s">
        <v>54</v>
      </c>
      <c r="E223" t="s">
        <v>46</v>
      </c>
      <c r="F223" t="s">
        <v>23</v>
      </c>
      <c r="G223">
        <f>INDEX(Question_Bank!$J$3:$J$14,MATCH(D223,Question_Bank!$A$3:$A$14,0))</f>
        <v>0</v>
      </c>
      <c r="H223">
        <f>IF(F223=G223,1,0)</f>
        <v>0</v>
      </c>
      <c r="I223">
        <f>H223*INDEX(Question_Bank!$M$3:$M$14,MATCH(D223,Question_Bank!$A$3:$A$14,0))</f>
        <v>0</v>
      </c>
      <c r="J223">
        <f>SUMIFS($I$3:$I$566,$A$3:$A$566,A223)</f>
        <v>0</v>
      </c>
      <c r="K223" s="5">
        <f>J223/SUM(Question_Bank!$M$3:$M$14)</f>
        <v>0</v>
      </c>
      <c r="L223" s="5">
        <f>SUMIFS($I$3:$I$566,$A$3:$A$566,A223,$E$3:$E$566,E223)/SUMIFS(Question_Bank!$M$3:$M$14,Question_Bank!$B$3:$B$14,E223)</f>
        <v>0</v>
      </c>
      <c r="M223" t="s">
        <v>170</v>
      </c>
    </row>
    <row r="224" spans="1:13">
      <c r="A224" t="s">
        <v>169</v>
      </c>
      <c r="B224" t="s">
        <v>132</v>
      </c>
      <c r="C224" t="s">
        <v>227</v>
      </c>
      <c r="D224" t="s">
        <v>62</v>
      </c>
      <c r="E224" t="s">
        <v>46</v>
      </c>
      <c r="F224" t="s">
        <v>34</v>
      </c>
      <c r="G224">
        <f>INDEX(Question_Bank!$J$3:$J$14,MATCH(D224,Question_Bank!$A$3:$A$14,0))</f>
        <v>0</v>
      </c>
      <c r="H224">
        <f>IF(F224=G224,1,0)</f>
        <v>0</v>
      </c>
      <c r="I224">
        <f>H224*INDEX(Question_Bank!$M$3:$M$14,MATCH(D224,Question_Bank!$A$3:$A$14,0))</f>
        <v>0</v>
      </c>
      <c r="J224">
        <f>SUMIFS($I$3:$I$566,$A$3:$A$566,A224)</f>
        <v>0</v>
      </c>
      <c r="K224" s="5">
        <f>J224/SUM(Question_Bank!$M$3:$M$14)</f>
        <v>0</v>
      </c>
      <c r="L224" s="5">
        <f>SUMIFS($I$3:$I$566,$A$3:$A$566,A224,$E$3:$E$566,E224)/SUMIFS(Question_Bank!$M$3:$M$14,Question_Bank!$B$3:$B$14,E224)</f>
        <v>0</v>
      </c>
      <c r="M224" t="s">
        <v>170</v>
      </c>
    </row>
    <row r="225" spans="1:13">
      <c r="A225" t="s">
        <v>169</v>
      </c>
      <c r="B225" t="s">
        <v>132</v>
      </c>
      <c r="C225" t="s">
        <v>227</v>
      </c>
      <c r="D225" t="s">
        <v>70</v>
      </c>
      <c r="E225" t="s">
        <v>71</v>
      </c>
      <c r="F225" t="s">
        <v>20</v>
      </c>
      <c r="G225">
        <f>INDEX(Question_Bank!$J$3:$J$14,MATCH(D225,Question_Bank!$A$3:$A$14,0))</f>
        <v>0</v>
      </c>
      <c r="H225">
        <f>IF(F225=G225,1,0)</f>
        <v>0</v>
      </c>
      <c r="I225">
        <f>H225*INDEX(Question_Bank!$M$3:$M$14,MATCH(D225,Question_Bank!$A$3:$A$14,0))</f>
        <v>0</v>
      </c>
      <c r="J225">
        <f>SUMIFS($I$3:$I$566,$A$3:$A$566,A225)</f>
        <v>0</v>
      </c>
      <c r="K225" s="5">
        <f>J225/SUM(Question_Bank!$M$3:$M$14)</f>
        <v>0</v>
      </c>
      <c r="L225" s="5">
        <f>SUMIFS($I$3:$I$566,$A$3:$A$566,A225,$E$3:$E$566,E225)/SUMIFS(Question_Bank!$M$3:$M$14,Question_Bank!$B$3:$B$14,E225)</f>
        <v>0</v>
      </c>
      <c r="M225" t="s">
        <v>170</v>
      </c>
    </row>
    <row r="226" spans="1:13">
      <c r="A226" t="s">
        <v>169</v>
      </c>
      <c r="B226" t="s">
        <v>132</v>
      </c>
      <c r="C226" t="s">
        <v>227</v>
      </c>
      <c r="D226" t="s">
        <v>79</v>
      </c>
      <c r="E226" t="s">
        <v>71</v>
      </c>
      <c r="F226" t="s">
        <v>31</v>
      </c>
      <c r="G226">
        <f>INDEX(Question_Bank!$J$3:$J$14,MATCH(D226,Question_Bank!$A$3:$A$14,0))</f>
        <v>0</v>
      </c>
      <c r="H226">
        <f>IF(F226=G226,1,0)</f>
        <v>0</v>
      </c>
      <c r="I226">
        <f>H226*INDEX(Question_Bank!$M$3:$M$14,MATCH(D226,Question_Bank!$A$3:$A$14,0))</f>
        <v>0</v>
      </c>
      <c r="J226">
        <f>SUMIFS($I$3:$I$566,$A$3:$A$566,A226)</f>
        <v>0</v>
      </c>
      <c r="K226" s="5">
        <f>J226/SUM(Question_Bank!$M$3:$M$14)</f>
        <v>0</v>
      </c>
      <c r="L226" s="5">
        <f>SUMIFS($I$3:$I$566,$A$3:$A$566,A226,$E$3:$E$566,E226)/SUMIFS(Question_Bank!$M$3:$M$14,Question_Bank!$B$3:$B$14,E226)</f>
        <v>0</v>
      </c>
      <c r="M226" t="s">
        <v>170</v>
      </c>
    </row>
    <row r="227" spans="1:13">
      <c r="A227" t="s">
        <v>169</v>
      </c>
      <c r="B227" t="s">
        <v>132</v>
      </c>
      <c r="C227" t="s">
        <v>227</v>
      </c>
      <c r="D227" t="s">
        <v>87</v>
      </c>
      <c r="E227" t="s">
        <v>71</v>
      </c>
      <c r="F227" t="s">
        <v>23</v>
      </c>
      <c r="G227">
        <f>INDEX(Question_Bank!$J$3:$J$14,MATCH(D227,Question_Bank!$A$3:$A$14,0))</f>
        <v>0</v>
      </c>
      <c r="H227">
        <f>IF(F227=G227,1,0)</f>
        <v>0</v>
      </c>
      <c r="I227">
        <f>H227*INDEX(Question_Bank!$M$3:$M$14,MATCH(D227,Question_Bank!$A$3:$A$14,0))</f>
        <v>0</v>
      </c>
      <c r="J227">
        <f>SUMIFS($I$3:$I$566,$A$3:$A$566,A227)</f>
        <v>0</v>
      </c>
      <c r="K227" s="5">
        <f>J227/SUM(Question_Bank!$M$3:$M$14)</f>
        <v>0</v>
      </c>
      <c r="L227" s="5">
        <f>SUMIFS($I$3:$I$566,$A$3:$A$566,A227,$E$3:$E$566,E227)/SUMIFS(Question_Bank!$M$3:$M$14,Question_Bank!$B$3:$B$14,E227)</f>
        <v>0</v>
      </c>
      <c r="M227" t="s">
        <v>170</v>
      </c>
    </row>
    <row r="228" spans="1:13">
      <c r="A228" t="s">
        <v>169</v>
      </c>
      <c r="B228" t="s">
        <v>132</v>
      </c>
      <c r="C228" t="s">
        <v>227</v>
      </c>
      <c r="D228" t="s">
        <v>95</v>
      </c>
      <c r="E228" t="s">
        <v>96</v>
      </c>
      <c r="F228" t="s">
        <v>34</v>
      </c>
      <c r="G228">
        <f>INDEX(Question_Bank!$J$3:$J$14,MATCH(D228,Question_Bank!$A$3:$A$14,0))</f>
        <v>0</v>
      </c>
      <c r="H228">
        <f>IF(F228=G228,1,0)</f>
        <v>0</v>
      </c>
      <c r="I228">
        <f>H228*INDEX(Question_Bank!$M$3:$M$14,MATCH(D228,Question_Bank!$A$3:$A$14,0))</f>
        <v>0</v>
      </c>
      <c r="J228">
        <f>SUMIFS($I$3:$I$566,$A$3:$A$566,A228)</f>
        <v>0</v>
      </c>
      <c r="K228" s="5">
        <f>J228/SUM(Question_Bank!$M$3:$M$14)</f>
        <v>0</v>
      </c>
      <c r="L228" s="5">
        <f>SUMIFS($I$3:$I$566,$A$3:$A$566,A228,$E$3:$E$566,E228)/SUMIFS(Question_Bank!$M$3:$M$14,Question_Bank!$B$3:$B$14,E228)</f>
        <v>0</v>
      </c>
      <c r="M228" t="s">
        <v>170</v>
      </c>
    </row>
    <row r="229" spans="1:13">
      <c r="A229" t="s">
        <v>169</v>
      </c>
      <c r="B229" t="s">
        <v>132</v>
      </c>
      <c r="C229" t="s">
        <v>227</v>
      </c>
      <c r="D229" t="s">
        <v>104</v>
      </c>
      <c r="E229" t="s">
        <v>96</v>
      </c>
      <c r="F229" t="s">
        <v>20</v>
      </c>
      <c r="G229">
        <f>INDEX(Question_Bank!$J$3:$J$14,MATCH(D229,Question_Bank!$A$3:$A$14,0))</f>
        <v>0</v>
      </c>
      <c r="H229">
        <f>IF(F229=G229,1,0)</f>
        <v>0</v>
      </c>
      <c r="I229">
        <f>H229*INDEX(Question_Bank!$M$3:$M$14,MATCH(D229,Question_Bank!$A$3:$A$14,0))</f>
        <v>0</v>
      </c>
      <c r="J229">
        <f>SUMIFS($I$3:$I$566,$A$3:$A$566,A229)</f>
        <v>0</v>
      </c>
      <c r="K229" s="5">
        <f>J229/SUM(Question_Bank!$M$3:$M$14)</f>
        <v>0</v>
      </c>
      <c r="L229" s="5">
        <f>SUMIFS($I$3:$I$566,$A$3:$A$566,A229,$E$3:$E$566,E229)/SUMIFS(Question_Bank!$M$3:$M$14,Question_Bank!$B$3:$B$14,E229)</f>
        <v>0</v>
      </c>
      <c r="M229" t="s">
        <v>170</v>
      </c>
    </row>
    <row r="230" spans="1:13">
      <c r="A230" t="s">
        <v>169</v>
      </c>
      <c r="B230" t="s">
        <v>132</v>
      </c>
      <c r="C230" t="s">
        <v>227</v>
      </c>
      <c r="D230" t="s">
        <v>112</v>
      </c>
      <c r="E230" t="s">
        <v>96</v>
      </c>
      <c r="F230" t="s">
        <v>34</v>
      </c>
      <c r="G230">
        <f>INDEX(Question_Bank!$J$3:$J$14,MATCH(D230,Question_Bank!$A$3:$A$14,0))</f>
        <v>0</v>
      </c>
      <c r="H230">
        <f>IF(F230=G230,1,0)</f>
        <v>0</v>
      </c>
      <c r="I230">
        <f>H230*INDEX(Question_Bank!$M$3:$M$14,MATCH(D230,Question_Bank!$A$3:$A$14,0))</f>
        <v>0</v>
      </c>
      <c r="J230">
        <f>SUMIFS($I$3:$I$566,$A$3:$A$566,A230)</f>
        <v>0</v>
      </c>
      <c r="K230" s="5">
        <f>J230/SUM(Question_Bank!$M$3:$M$14)</f>
        <v>0</v>
      </c>
      <c r="L230" s="5">
        <f>SUMIFS($I$3:$I$566,$A$3:$A$566,A230,$E$3:$E$566,E230)/SUMIFS(Question_Bank!$M$3:$M$14,Question_Bank!$B$3:$B$14,E230)</f>
        <v>0</v>
      </c>
      <c r="M230" t="s">
        <v>170</v>
      </c>
    </row>
    <row r="231" spans="1:13">
      <c r="A231" t="s">
        <v>171</v>
      </c>
      <c r="B231" t="s">
        <v>132</v>
      </c>
      <c r="C231" t="s">
        <v>227</v>
      </c>
      <c r="D231" t="s">
        <v>14</v>
      </c>
      <c r="E231" t="s">
        <v>15</v>
      </c>
      <c r="F231" t="s">
        <v>23</v>
      </c>
      <c r="G231">
        <f>INDEX(Question_Bank!$J$3:$J$14,MATCH(D231,Question_Bank!$A$3:$A$14,0))</f>
        <v>0</v>
      </c>
      <c r="H231">
        <f>IF(F231=G231,1,0)</f>
        <v>0</v>
      </c>
      <c r="I231">
        <f>H231*INDEX(Question_Bank!$M$3:$M$14,MATCH(D231,Question_Bank!$A$3:$A$14,0))</f>
        <v>0</v>
      </c>
      <c r="J231">
        <f>SUMIFS($I$3:$I$566,$A$3:$A$566,A231)</f>
        <v>0</v>
      </c>
      <c r="K231" s="5">
        <f>J231/SUM(Question_Bank!$M$3:$M$14)</f>
        <v>0</v>
      </c>
      <c r="L231" s="5">
        <f>SUMIFS($I$3:$I$566,$A$3:$A$566,A231,$E$3:$E$566,E231)/SUMIFS(Question_Bank!$M$3:$M$14,Question_Bank!$B$3:$B$14,E231)</f>
        <v>0</v>
      </c>
      <c r="M231" t="s">
        <v>172</v>
      </c>
    </row>
    <row r="232" spans="1:13">
      <c r="A232" t="s">
        <v>171</v>
      </c>
      <c r="B232" t="s">
        <v>132</v>
      </c>
      <c r="C232" t="s">
        <v>227</v>
      </c>
      <c r="D232" t="s">
        <v>26</v>
      </c>
      <c r="E232" t="s">
        <v>15</v>
      </c>
      <c r="F232" t="s">
        <v>34</v>
      </c>
      <c r="G232">
        <f>INDEX(Question_Bank!$J$3:$J$14,MATCH(D232,Question_Bank!$A$3:$A$14,0))</f>
        <v>0</v>
      </c>
      <c r="H232">
        <f>IF(F232=G232,1,0)</f>
        <v>0</v>
      </c>
      <c r="I232">
        <f>H232*INDEX(Question_Bank!$M$3:$M$14,MATCH(D232,Question_Bank!$A$3:$A$14,0))</f>
        <v>0</v>
      </c>
      <c r="J232">
        <f>SUMIFS($I$3:$I$566,$A$3:$A$566,A232)</f>
        <v>0</v>
      </c>
      <c r="K232" s="5">
        <f>J232/SUM(Question_Bank!$M$3:$M$14)</f>
        <v>0</v>
      </c>
      <c r="L232" s="5">
        <f>SUMIFS($I$3:$I$566,$A$3:$A$566,A232,$E$3:$E$566,E232)/SUMIFS(Question_Bank!$M$3:$M$14,Question_Bank!$B$3:$B$14,E232)</f>
        <v>0</v>
      </c>
      <c r="M232" t="s">
        <v>172</v>
      </c>
    </row>
    <row r="233" spans="1:13">
      <c r="A233" t="s">
        <v>171</v>
      </c>
      <c r="B233" t="s">
        <v>132</v>
      </c>
      <c r="C233" t="s">
        <v>227</v>
      </c>
      <c r="D233" t="s">
        <v>37</v>
      </c>
      <c r="E233" t="s">
        <v>15</v>
      </c>
      <c r="F233" t="s">
        <v>34</v>
      </c>
      <c r="G233">
        <f>INDEX(Question_Bank!$J$3:$J$14,MATCH(D233,Question_Bank!$A$3:$A$14,0))</f>
        <v>0</v>
      </c>
      <c r="H233">
        <f>IF(F233=G233,1,0)</f>
        <v>0</v>
      </c>
      <c r="I233">
        <f>H233*INDEX(Question_Bank!$M$3:$M$14,MATCH(D233,Question_Bank!$A$3:$A$14,0))</f>
        <v>0</v>
      </c>
      <c r="J233">
        <f>SUMIFS($I$3:$I$566,$A$3:$A$566,A233)</f>
        <v>0</v>
      </c>
      <c r="K233" s="5">
        <f>J233/SUM(Question_Bank!$M$3:$M$14)</f>
        <v>0</v>
      </c>
      <c r="L233" s="5">
        <f>SUMIFS($I$3:$I$566,$A$3:$A$566,A233,$E$3:$E$566,E233)/SUMIFS(Question_Bank!$M$3:$M$14,Question_Bank!$B$3:$B$14,E233)</f>
        <v>0</v>
      </c>
      <c r="M233" t="s">
        <v>172</v>
      </c>
    </row>
    <row r="234" spans="1:13">
      <c r="A234" t="s">
        <v>171</v>
      </c>
      <c r="B234" t="s">
        <v>132</v>
      </c>
      <c r="C234" t="s">
        <v>227</v>
      </c>
      <c r="D234" t="s">
        <v>45</v>
      </c>
      <c r="E234" t="s">
        <v>46</v>
      </c>
      <c r="F234" t="s">
        <v>34</v>
      </c>
      <c r="G234">
        <f>INDEX(Question_Bank!$J$3:$J$14,MATCH(D234,Question_Bank!$A$3:$A$14,0))</f>
        <v>0</v>
      </c>
      <c r="H234">
        <f>IF(F234=G234,1,0)</f>
        <v>0</v>
      </c>
      <c r="I234">
        <f>H234*INDEX(Question_Bank!$M$3:$M$14,MATCH(D234,Question_Bank!$A$3:$A$14,0))</f>
        <v>0</v>
      </c>
      <c r="J234">
        <f>SUMIFS($I$3:$I$566,$A$3:$A$566,A234)</f>
        <v>0</v>
      </c>
      <c r="K234" s="5">
        <f>J234/SUM(Question_Bank!$M$3:$M$14)</f>
        <v>0</v>
      </c>
      <c r="L234" s="5">
        <f>SUMIFS($I$3:$I$566,$A$3:$A$566,A234,$E$3:$E$566,E234)/SUMIFS(Question_Bank!$M$3:$M$14,Question_Bank!$B$3:$B$14,E234)</f>
        <v>0</v>
      </c>
      <c r="M234" t="s">
        <v>172</v>
      </c>
    </row>
    <row r="235" spans="1:13">
      <c r="A235" t="s">
        <v>171</v>
      </c>
      <c r="B235" t="s">
        <v>132</v>
      </c>
      <c r="C235" t="s">
        <v>227</v>
      </c>
      <c r="D235" t="s">
        <v>54</v>
      </c>
      <c r="E235" t="s">
        <v>46</v>
      </c>
      <c r="F235" t="s">
        <v>34</v>
      </c>
      <c r="G235">
        <f>INDEX(Question_Bank!$J$3:$J$14,MATCH(D235,Question_Bank!$A$3:$A$14,0))</f>
        <v>0</v>
      </c>
      <c r="H235">
        <f>IF(F235=G235,1,0)</f>
        <v>0</v>
      </c>
      <c r="I235">
        <f>H235*INDEX(Question_Bank!$M$3:$M$14,MATCH(D235,Question_Bank!$A$3:$A$14,0))</f>
        <v>0</v>
      </c>
      <c r="J235">
        <f>SUMIFS($I$3:$I$566,$A$3:$A$566,A235)</f>
        <v>0</v>
      </c>
      <c r="K235" s="5">
        <f>J235/SUM(Question_Bank!$M$3:$M$14)</f>
        <v>0</v>
      </c>
      <c r="L235" s="5">
        <f>SUMIFS($I$3:$I$566,$A$3:$A$566,A235,$E$3:$E$566,E235)/SUMIFS(Question_Bank!$M$3:$M$14,Question_Bank!$B$3:$B$14,E235)</f>
        <v>0</v>
      </c>
      <c r="M235" t="s">
        <v>172</v>
      </c>
    </row>
    <row r="236" spans="1:13">
      <c r="A236" t="s">
        <v>171</v>
      </c>
      <c r="B236" t="s">
        <v>132</v>
      </c>
      <c r="C236" t="s">
        <v>227</v>
      </c>
      <c r="D236" t="s">
        <v>62</v>
      </c>
      <c r="E236" t="s">
        <v>46</v>
      </c>
      <c r="F236" t="s">
        <v>31</v>
      </c>
      <c r="G236">
        <f>INDEX(Question_Bank!$J$3:$J$14,MATCH(D236,Question_Bank!$A$3:$A$14,0))</f>
        <v>0</v>
      </c>
      <c r="H236">
        <f>IF(F236=G236,1,0)</f>
        <v>0</v>
      </c>
      <c r="I236">
        <f>H236*INDEX(Question_Bank!$M$3:$M$14,MATCH(D236,Question_Bank!$A$3:$A$14,0))</f>
        <v>0</v>
      </c>
      <c r="J236">
        <f>SUMIFS($I$3:$I$566,$A$3:$A$566,A236)</f>
        <v>0</v>
      </c>
      <c r="K236" s="5">
        <f>J236/SUM(Question_Bank!$M$3:$M$14)</f>
        <v>0</v>
      </c>
      <c r="L236" s="5">
        <f>SUMIFS($I$3:$I$566,$A$3:$A$566,A236,$E$3:$E$566,E236)/SUMIFS(Question_Bank!$M$3:$M$14,Question_Bank!$B$3:$B$14,E236)</f>
        <v>0</v>
      </c>
      <c r="M236" t="s">
        <v>172</v>
      </c>
    </row>
    <row r="237" spans="1:13">
      <c r="A237" t="s">
        <v>171</v>
      </c>
      <c r="B237" t="s">
        <v>132</v>
      </c>
      <c r="C237" t="s">
        <v>227</v>
      </c>
      <c r="D237" t="s">
        <v>70</v>
      </c>
      <c r="E237" t="s">
        <v>71</v>
      </c>
      <c r="F237" t="s">
        <v>20</v>
      </c>
      <c r="G237">
        <f>INDEX(Question_Bank!$J$3:$J$14,MATCH(D237,Question_Bank!$A$3:$A$14,0))</f>
        <v>0</v>
      </c>
      <c r="H237">
        <f>IF(F237=G237,1,0)</f>
        <v>0</v>
      </c>
      <c r="I237">
        <f>H237*INDEX(Question_Bank!$M$3:$M$14,MATCH(D237,Question_Bank!$A$3:$A$14,0))</f>
        <v>0</v>
      </c>
      <c r="J237">
        <f>SUMIFS($I$3:$I$566,$A$3:$A$566,A237)</f>
        <v>0</v>
      </c>
      <c r="K237" s="5">
        <f>J237/SUM(Question_Bank!$M$3:$M$14)</f>
        <v>0</v>
      </c>
      <c r="L237" s="5">
        <f>SUMIFS($I$3:$I$566,$A$3:$A$566,A237,$E$3:$E$566,E237)/SUMIFS(Question_Bank!$M$3:$M$14,Question_Bank!$B$3:$B$14,E237)</f>
        <v>0</v>
      </c>
      <c r="M237" t="s">
        <v>172</v>
      </c>
    </row>
    <row r="238" spans="1:13">
      <c r="A238" t="s">
        <v>171</v>
      </c>
      <c r="B238" t="s">
        <v>132</v>
      </c>
      <c r="C238" t="s">
        <v>227</v>
      </c>
      <c r="D238" t="s">
        <v>79</v>
      </c>
      <c r="E238" t="s">
        <v>71</v>
      </c>
      <c r="F238" t="s">
        <v>31</v>
      </c>
      <c r="G238">
        <f>INDEX(Question_Bank!$J$3:$J$14,MATCH(D238,Question_Bank!$A$3:$A$14,0))</f>
        <v>0</v>
      </c>
      <c r="H238">
        <f>IF(F238=G238,1,0)</f>
        <v>0</v>
      </c>
      <c r="I238">
        <f>H238*INDEX(Question_Bank!$M$3:$M$14,MATCH(D238,Question_Bank!$A$3:$A$14,0))</f>
        <v>0</v>
      </c>
      <c r="J238">
        <f>SUMIFS($I$3:$I$566,$A$3:$A$566,A238)</f>
        <v>0</v>
      </c>
      <c r="K238" s="5">
        <f>J238/SUM(Question_Bank!$M$3:$M$14)</f>
        <v>0</v>
      </c>
      <c r="L238" s="5">
        <f>SUMIFS($I$3:$I$566,$A$3:$A$566,A238,$E$3:$E$566,E238)/SUMIFS(Question_Bank!$M$3:$M$14,Question_Bank!$B$3:$B$14,E238)</f>
        <v>0</v>
      </c>
      <c r="M238" t="s">
        <v>172</v>
      </c>
    </row>
    <row r="239" spans="1:13">
      <c r="A239" t="s">
        <v>171</v>
      </c>
      <c r="B239" t="s">
        <v>132</v>
      </c>
      <c r="C239" t="s">
        <v>227</v>
      </c>
      <c r="D239" t="s">
        <v>87</v>
      </c>
      <c r="E239" t="s">
        <v>71</v>
      </c>
      <c r="F239" t="s">
        <v>34</v>
      </c>
      <c r="G239">
        <f>INDEX(Question_Bank!$J$3:$J$14,MATCH(D239,Question_Bank!$A$3:$A$14,0))</f>
        <v>0</v>
      </c>
      <c r="H239">
        <f>IF(F239=G239,1,0)</f>
        <v>0</v>
      </c>
      <c r="I239">
        <f>H239*INDEX(Question_Bank!$M$3:$M$14,MATCH(D239,Question_Bank!$A$3:$A$14,0))</f>
        <v>0</v>
      </c>
      <c r="J239">
        <f>SUMIFS($I$3:$I$566,$A$3:$A$566,A239)</f>
        <v>0</v>
      </c>
      <c r="K239" s="5">
        <f>J239/SUM(Question_Bank!$M$3:$M$14)</f>
        <v>0</v>
      </c>
      <c r="L239" s="5">
        <f>SUMIFS($I$3:$I$566,$A$3:$A$566,A239,$E$3:$E$566,E239)/SUMIFS(Question_Bank!$M$3:$M$14,Question_Bank!$B$3:$B$14,E239)</f>
        <v>0</v>
      </c>
      <c r="M239" t="s">
        <v>172</v>
      </c>
    </row>
    <row r="240" spans="1:13">
      <c r="A240" t="s">
        <v>171</v>
      </c>
      <c r="B240" t="s">
        <v>132</v>
      </c>
      <c r="C240" t="s">
        <v>227</v>
      </c>
      <c r="D240" t="s">
        <v>95</v>
      </c>
      <c r="E240" t="s">
        <v>96</v>
      </c>
      <c r="F240" t="s">
        <v>34</v>
      </c>
      <c r="G240">
        <f>INDEX(Question_Bank!$J$3:$J$14,MATCH(D240,Question_Bank!$A$3:$A$14,0))</f>
        <v>0</v>
      </c>
      <c r="H240">
        <f>IF(F240=G240,1,0)</f>
        <v>0</v>
      </c>
      <c r="I240">
        <f>H240*INDEX(Question_Bank!$M$3:$M$14,MATCH(D240,Question_Bank!$A$3:$A$14,0))</f>
        <v>0</v>
      </c>
      <c r="J240">
        <f>SUMIFS($I$3:$I$566,$A$3:$A$566,A240)</f>
        <v>0</v>
      </c>
      <c r="K240" s="5">
        <f>J240/SUM(Question_Bank!$M$3:$M$14)</f>
        <v>0</v>
      </c>
      <c r="L240" s="5">
        <f>SUMIFS($I$3:$I$566,$A$3:$A$566,A240,$E$3:$E$566,E240)/SUMIFS(Question_Bank!$M$3:$M$14,Question_Bank!$B$3:$B$14,E240)</f>
        <v>0</v>
      </c>
      <c r="M240" t="s">
        <v>172</v>
      </c>
    </row>
    <row r="241" spans="1:13">
      <c r="A241" t="s">
        <v>171</v>
      </c>
      <c r="B241" t="s">
        <v>132</v>
      </c>
      <c r="C241" t="s">
        <v>227</v>
      </c>
      <c r="D241" t="s">
        <v>104</v>
      </c>
      <c r="E241" t="s">
        <v>96</v>
      </c>
      <c r="F241" t="s">
        <v>34</v>
      </c>
      <c r="G241">
        <f>INDEX(Question_Bank!$J$3:$J$14,MATCH(D241,Question_Bank!$A$3:$A$14,0))</f>
        <v>0</v>
      </c>
      <c r="H241">
        <f>IF(F241=G241,1,0)</f>
        <v>0</v>
      </c>
      <c r="I241">
        <f>H241*INDEX(Question_Bank!$M$3:$M$14,MATCH(D241,Question_Bank!$A$3:$A$14,0))</f>
        <v>0</v>
      </c>
      <c r="J241">
        <f>SUMIFS($I$3:$I$566,$A$3:$A$566,A241)</f>
        <v>0</v>
      </c>
      <c r="K241" s="5">
        <f>J241/SUM(Question_Bank!$M$3:$M$14)</f>
        <v>0</v>
      </c>
      <c r="L241" s="5">
        <f>SUMIFS($I$3:$I$566,$A$3:$A$566,A241,$E$3:$E$566,E241)/SUMIFS(Question_Bank!$M$3:$M$14,Question_Bank!$B$3:$B$14,E241)</f>
        <v>0</v>
      </c>
      <c r="M241" t="s">
        <v>172</v>
      </c>
    </row>
    <row r="242" spans="1:13">
      <c r="A242" t="s">
        <v>171</v>
      </c>
      <c r="B242" t="s">
        <v>132</v>
      </c>
      <c r="C242" t="s">
        <v>227</v>
      </c>
      <c r="D242" t="s">
        <v>112</v>
      </c>
      <c r="E242" t="s">
        <v>96</v>
      </c>
      <c r="F242" t="s">
        <v>23</v>
      </c>
      <c r="G242">
        <f>INDEX(Question_Bank!$J$3:$J$14,MATCH(D242,Question_Bank!$A$3:$A$14,0))</f>
        <v>0</v>
      </c>
      <c r="H242">
        <f>IF(F242=G242,1,0)</f>
        <v>0</v>
      </c>
      <c r="I242">
        <f>H242*INDEX(Question_Bank!$M$3:$M$14,MATCH(D242,Question_Bank!$A$3:$A$14,0))</f>
        <v>0</v>
      </c>
      <c r="J242">
        <f>SUMIFS($I$3:$I$566,$A$3:$A$566,A242)</f>
        <v>0</v>
      </c>
      <c r="K242" s="5">
        <f>J242/SUM(Question_Bank!$M$3:$M$14)</f>
        <v>0</v>
      </c>
      <c r="L242" s="5">
        <f>SUMIFS($I$3:$I$566,$A$3:$A$566,A242,$E$3:$E$566,E242)/SUMIFS(Question_Bank!$M$3:$M$14,Question_Bank!$B$3:$B$14,E242)</f>
        <v>0</v>
      </c>
      <c r="M242" t="s">
        <v>172</v>
      </c>
    </row>
    <row r="243" spans="1:13">
      <c r="A243" t="s">
        <v>173</v>
      </c>
      <c r="B243" t="s">
        <v>132</v>
      </c>
      <c r="C243" t="s">
        <v>227</v>
      </c>
      <c r="D243" t="s">
        <v>14</v>
      </c>
      <c r="E243" t="s">
        <v>15</v>
      </c>
      <c r="F243" t="s">
        <v>31</v>
      </c>
      <c r="G243">
        <f>INDEX(Question_Bank!$J$3:$J$14,MATCH(D243,Question_Bank!$A$3:$A$14,0))</f>
        <v>0</v>
      </c>
      <c r="H243">
        <f>IF(F243=G243,1,0)</f>
        <v>0</v>
      </c>
      <c r="I243">
        <f>H243*INDEX(Question_Bank!$M$3:$M$14,MATCH(D243,Question_Bank!$A$3:$A$14,0))</f>
        <v>0</v>
      </c>
      <c r="J243">
        <f>SUMIFS($I$3:$I$566,$A$3:$A$566,A243)</f>
        <v>0</v>
      </c>
      <c r="K243" s="5">
        <f>J243/SUM(Question_Bank!$M$3:$M$14)</f>
        <v>0</v>
      </c>
      <c r="L243" s="5">
        <f>SUMIFS($I$3:$I$566,$A$3:$A$566,A243,$E$3:$E$566,E243)/SUMIFS(Question_Bank!$M$3:$M$14,Question_Bank!$B$3:$B$14,E243)</f>
        <v>0</v>
      </c>
      <c r="M243" t="s">
        <v>174</v>
      </c>
    </row>
    <row r="244" spans="1:13">
      <c r="A244" t="s">
        <v>173</v>
      </c>
      <c r="B244" t="s">
        <v>132</v>
      </c>
      <c r="C244" t="s">
        <v>227</v>
      </c>
      <c r="D244" t="s">
        <v>26</v>
      </c>
      <c r="E244" t="s">
        <v>15</v>
      </c>
      <c r="F244" t="s">
        <v>34</v>
      </c>
      <c r="G244">
        <f>INDEX(Question_Bank!$J$3:$J$14,MATCH(D244,Question_Bank!$A$3:$A$14,0))</f>
        <v>0</v>
      </c>
      <c r="H244">
        <f>IF(F244=G244,1,0)</f>
        <v>0</v>
      </c>
      <c r="I244">
        <f>H244*INDEX(Question_Bank!$M$3:$M$14,MATCH(D244,Question_Bank!$A$3:$A$14,0))</f>
        <v>0</v>
      </c>
      <c r="J244">
        <f>SUMIFS($I$3:$I$566,$A$3:$A$566,A244)</f>
        <v>0</v>
      </c>
      <c r="K244" s="5">
        <f>J244/SUM(Question_Bank!$M$3:$M$14)</f>
        <v>0</v>
      </c>
      <c r="L244" s="5">
        <f>SUMIFS($I$3:$I$566,$A$3:$A$566,A244,$E$3:$E$566,E244)/SUMIFS(Question_Bank!$M$3:$M$14,Question_Bank!$B$3:$B$14,E244)</f>
        <v>0</v>
      </c>
      <c r="M244" t="s">
        <v>174</v>
      </c>
    </row>
    <row r="245" spans="1:13">
      <c r="A245" t="s">
        <v>173</v>
      </c>
      <c r="B245" t="s">
        <v>132</v>
      </c>
      <c r="C245" t="s">
        <v>227</v>
      </c>
      <c r="D245" t="s">
        <v>37</v>
      </c>
      <c r="E245" t="s">
        <v>15</v>
      </c>
      <c r="F245" t="s">
        <v>20</v>
      </c>
      <c r="G245">
        <f>INDEX(Question_Bank!$J$3:$J$14,MATCH(D245,Question_Bank!$A$3:$A$14,0))</f>
        <v>0</v>
      </c>
      <c r="H245">
        <f>IF(F245=G245,1,0)</f>
        <v>0</v>
      </c>
      <c r="I245">
        <f>H245*INDEX(Question_Bank!$M$3:$M$14,MATCH(D245,Question_Bank!$A$3:$A$14,0))</f>
        <v>0</v>
      </c>
      <c r="J245">
        <f>SUMIFS($I$3:$I$566,$A$3:$A$566,A245)</f>
        <v>0</v>
      </c>
      <c r="K245" s="5">
        <f>J245/SUM(Question_Bank!$M$3:$M$14)</f>
        <v>0</v>
      </c>
      <c r="L245" s="5">
        <f>SUMIFS($I$3:$I$566,$A$3:$A$566,A245,$E$3:$E$566,E245)/SUMIFS(Question_Bank!$M$3:$M$14,Question_Bank!$B$3:$B$14,E245)</f>
        <v>0</v>
      </c>
      <c r="M245" t="s">
        <v>174</v>
      </c>
    </row>
    <row r="246" spans="1:13">
      <c r="A246" t="s">
        <v>173</v>
      </c>
      <c r="B246" t="s">
        <v>132</v>
      </c>
      <c r="C246" t="s">
        <v>227</v>
      </c>
      <c r="D246" t="s">
        <v>45</v>
      </c>
      <c r="E246" t="s">
        <v>46</v>
      </c>
      <c r="F246" t="s">
        <v>23</v>
      </c>
      <c r="G246">
        <f>INDEX(Question_Bank!$J$3:$J$14,MATCH(D246,Question_Bank!$A$3:$A$14,0))</f>
        <v>0</v>
      </c>
      <c r="H246">
        <f>IF(F246=G246,1,0)</f>
        <v>0</v>
      </c>
      <c r="I246">
        <f>H246*INDEX(Question_Bank!$M$3:$M$14,MATCH(D246,Question_Bank!$A$3:$A$14,0))</f>
        <v>0</v>
      </c>
      <c r="J246">
        <f>SUMIFS($I$3:$I$566,$A$3:$A$566,A246)</f>
        <v>0</v>
      </c>
      <c r="K246" s="5">
        <f>J246/SUM(Question_Bank!$M$3:$M$14)</f>
        <v>0</v>
      </c>
      <c r="L246" s="5">
        <f>SUMIFS($I$3:$I$566,$A$3:$A$566,A246,$E$3:$E$566,E246)/SUMIFS(Question_Bank!$M$3:$M$14,Question_Bank!$B$3:$B$14,E246)</f>
        <v>0</v>
      </c>
      <c r="M246" t="s">
        <v>174</v>
      </c>
    </row>
    <row r="247" spans="1:13">
      <c r="A247" t="s">
        <v>173</v>
      </c>
      <c r="B247" t="s">
        <v>132</v>
      </c>
      <c r="C247" t="s">
        <v>227</v>
      </c>
      <c r="D247" t="s">
        <v>54</v>
      </c>
      <c r="E247" t="s">
        <v>46</v>
      </c>
      <c r="F247" t="s">
        <v>20</v>
      </c>
      <c r="G247">
        <f>INDEX(Question_Bank!$J$3:$J$14,MATCH(D247,Question_Bank!$A$3:$A$14,0))</f>
        <v>0</v>
      </c>
      <c r="H247">
        <f>IF(F247=G247,1,0)</f>
        <v>0</v>
      </c>
      <c r="I247">
        <f>H247*INDEX(Question_Bank!$M$3:$M$14,MATCH(D247,Question_Bank!$A$3:$A$14,0))</f>
        <v>0</v>
      </c>
      <c r="J247">
        <f>SUMIFS($I$3:$I$566,$A$3:$A$566,A247)</f>
        <v>0</v>
      </c>
      <c r="K247" s="5">
        <f>J247/SUM(Question_Bank!$M$3:$M$14)</f>
        <v>0</v>
      </c>
      <c r="L247" s="5">
        <f>SUMIFS($I$3:$I$566,$A$3:$A$566,A247,$E$3:$E$566,E247)/SUMIFS(Question_Bank!$M$3:$M$14,Question_Bank!$B$3:$B$14,E247)</f>
        <v>0</v>
      </c>
      <c r="M247" t="s">
        <v>174</v>
      </c>
    </row>
    <row r="248" spans="1:13">
      <c r="A248" t="s">
        <v>173</v>
      </c>
      <c r="B248" t="s">
        <v>132</v>
      </c>
      <c r="C248" t="s">
        <v>227</v>
      </c>
      <c r="D248" t="s">
        <v>62</v>
      </c>
      <c r="E248" t="s">
        <v>46</v>
      </c>
      <c r="F248" t="s">
        <v>34</v>
      </c>
      <c r="G248">
        <f>INDEX(Question_Bank!$J$3:$J$14,MATCH(D248,Question_Bank!$A$3:$A$14,0))</f>
        <v>0</v>
      </c>
      <c r="H248">
        <f>IF(F248=G248,1,0)</f>
        <v>0</v>
      </c>
      <c r="I248">
        <f>H248*INDEX(Question_Bank!$M$3:$M$14,MATCH(D248,Question_Bank!$A$3:$A$14,0))</f>
        <v>0</v>
      </c>
      <c r="J248">
        <f>SUMIFS($I$3:$I$566,$A$3:$A$566,A248)</f>
        <v>0</v>
      </c>
      <c r="K248" s="5">
        <f>J248/SUM(Question_Bank!$M$3:$M$14)</f>
        <v>0</v>
      </c>
      <c r="L248" s="5">
        <f>SUMIFS($I$3:$I$566,$A$3:$A$566,A248,$E$3:$E$566,E248)/SUMIFS(Question_Bank!$M$3:$M$14,Question_Bank!$B$3:$B$14,E248)</f>
        <v>0</v>
      </c>
      <c r="M248" t="s">
        <v>174</v>
      </c>
    </row>
    <row r="249" spans="1:13">
      <c r="A249" t="s">
        <v>173</v>
      </c>
      <c r="B249" t="s">
        <v>132</v>
      </c>
      <c r="C249" t="s">
        <v>227</v>
      </c>
      <c r="D249" t="s">
        <v>70</v>
      </c>
      <c r="E249" t="s">
        <v>71</v>
      </c>
      <c r="F249" t="s">
        <v>23</v>
      </c>
      <c r="G249">
        <f>INDEX(Question_Bank!$J$3:$J$14,MATCH(D249,Question_Bank!$A$3:$A$14,0))</f>
        <v>0</v>
      </c>
      <c r="H249">
        <f>IF(F249=G249,1,0)</f>
        <v>0</v>
      </c>
      <c r="I249">
        <f>H249*INDEX(Question_Bank!$M$3:$M$14,MATCH(D249,Question_Bank!$A$3:$A$14,0))</f>
        <v>0</v>
      </c>
      <c r="J249">
        <f>SUMIFS($I$3:$I$566,$A$3:$A$566,A249)</f>
        <v>0</v>
      </c>
      <c r="K249" s="5">
        <f>J249/SUM(Question_Bank!$M$3:$M$14)</f>
        <v>0</v>
      </c>
      <c r="L249" s="5">
        <f>SUMIFS($I$3:$I$566,$A$3:$A$566,A249,$E$3:$E$566,E249)/SUMIFS(Question_Bank!$M$3:$M$14,Question_Bank!$B$3:$B$14,E249)</f>
        <v>0</v>
      </c>
      <c r="M249" t="s">
        <v>174</v>
      </c>
    </row>
    <row r="250" spans="1:13">
      <c r="A250" t="s">
        <v>173</v>
      </c>
      <c r="B250" t="s">
        <v>132</v>
      </c>
      <c r="C250" t="s">
        <v>227</v>
      </c>
      <c r="D250" t="s">
        <v>79</v>
      </c>
      <c r="E250" t="s">
        <v>71</v>
      </c>
      <c r="F250" t="s">
        <v>31</v>
      </c>
      <c r="G250">
        <f>INDEX(Question_Bank!$J$3:$J$14,MATCH(D250,Question_Bank!$A$3:$A$14,0))</f>
        <v>0</v>
      </c>
      <c r="H250">
        <f>IF(F250=G250,1,0)</f>
        <v>0</v>
      </c>
      <c r="I250">
        <f>H250*INDEX(Question_Bank!$M$3:$M$14,MATCH(D250,Question_Bank!$A$3:$A$14,0))</f>
        <v>0</v>
      </c>
      <c r="J250">
        <f>SUMIFS($I$3:$I$566,$A$3:$A$566,A250)</f>
        <v>0</v>
      </c>
      <c r="K250" s="5">
        <f>J250/SUM(Question_Bank!$M$3:$M$14)</f>
        <v>0</v>
      </c>
      <c r="L250" s="5">
        <f>SUMIFS($I$3:$I$566,$A$3:$A$566,A250,$E$3:$E$566,E250)/SUMIFS(Question_Bank!$M$3:$M$14,Question_Bank!$B$3:$B$14,E250)</f>
        <v>0</v>
      </c>
      <c r="M250" t="s">
        <v>174</v>
      </c>
    </row>
    <row r="251" spans="1:13">
      <c r="A251" t="s">
        <v>173</v>
      </c>
      <c r="B251" t="s">
        <v>132</v>
      </c>
      <c r="C251" t="s">
        <v>227</v>
      </c>
      <c r="D251" t="s">
        <v>87</v>
      </c>
      <c r="E251" t="s">
        <v>71</v>
      </c>
      <c r="F251" t="s">
        <v>23</v>
      </c>
      <c r="G251">
        <f>INDEX(Question_Bank!$J$3:$J$14,MATCH(D251,Question_Bank!$A$3:$A$14,0))</f>
        <v>0</v>
      </c>
      <c r="H251">
        <f>IF(F251=G251,1,0)</f>
        <v>0</v>
      </c>
      <c r="I251">
        <f>H251*INDEX(Question_Bank!$M$3:$M$14,MATCH(D251,Question_Bank!$A$3:$A$14,0))</f>
        <v>0</v>
      </c>
      <c r="J251">
        <f>SUMIFS($I$3:$I$566,$A$3:$A$566,A251)</f>
        <v>0</v>
      </c>
      <c r="K251" s="5">
        <f>J251/SUM(Question_Bank!$M$3:$M$14)</f>
        <v>0</v>
      </c>
      <c r="L251" s="5">
        <f>SUMIFS($I$3:$I$566,$A$3:$A$566,A251,$E$3:$E$566,E251)/SUMIFS(Question_Bank!$M$3:$M$14,Question_Bank!$B$3:$B$14,E251)</f>
        <v>0</v>
      </c>
      <c r="M251" t="s">
        <v>174</v>
      </c>
    </row>
    <row r="252" spans="1:13">
      <c r="A252" t="s">
        <v>173</v>
      </c>
      <c r="B252" t="s">
        <v>132</v>
      </c>
      <c r="C252" t="s">
        <v>227</v>
      </c>
      <c r="D252" t="s">
        <v>95</v>
      </c>
      <c r="E252" t="s">
        <v>96</v>
      </c>
      <c r="F252" t="s">
        <v>34</v>
      </c>
      <c r="G252">
        <f>INDEX(Question_Bank!$J$3:$J$14,MATCH(D252,Question_Bank!$A$3:$A$14,0))</f>
        <v>0</v>
      </c>
      <c r="H252">
        <f>IF(F252=G252,1,0)</f>
        <v>0</v>
      </c>
      <c r="I252">
        <f>H252*INDEX(Question_Bank!$M$3:$M$14,MATCH(D252,Question_Bank!$A$3:$A$14,0))</f>
        <v>0</v>
      </c>
      <c r="J252">
        <f>SUMIFS($I$3:$I$566,$A$3:$A$566,A252)</f>
        <v>0</v>
      </c>
      <c r="K252" s="5">
        <f>J252/SUM(Question_Bank!$M$3:$M$14)</f>
        <v>0</v>
      </c>
      <c r="L252" s="5">
        <f>SUMIFS($I$3:$I$566,$A$3:$A$566,A252,$E$3:$E$566,E252)/SUMIFS(Question_Bank!$M$3:$M$14,Question_Bank!$B$3:$B$14,E252)</f>
        <v>0</v>
      </c>
      <c r="M252" t="s">
        <v>174</v>
      </c>
    </row>
    <row r="253" spans="1:13">
      <c r="A253" t="s">
        <v>173</v>
      </c>
      <c r="B253" t="s">
        <v>132</v>
      </c>
      <c r="C253" t="s">
        <v>227</v>
      </c>
      <c r="D253" t="s">
        <v>104</v>
      </c>
      <c r="E253" t="s">
        <v>96</v>
      </c>
      <c r="F253" t="s">
        <v>20</v>
      </c>
      <c r="G253">
        <f>INDEX(Question_Bank!$J$3:$J$14,MATCH(D253,Question_Bank!$A$3:$A$14,0))</f>
        <v>0</v>
      </c>
      <c r="H253">
        <f>IF(F253=G253,1,0)</f>
        <v>0</v>
      </c>
      <c r="I253">
        <f>H253*INDEX(Question_Bank!$M$3:$M$14,MATCH(D253,Question_Bank!$A$3:$A$14,0))</f>
        <v>0</v>
      </c>
      <c r="J253">
        <f>SUMIFS($I$3:$I$566,$A$3:$A$566,A253)</f>
        <v>0</v>
      </c>
      <c r="K253" s="5">
        <f>J253/SUM(Question_Bank!$M$3:$M$14)</f>
        <v>0</v>
      </c>
      <c r="L253" s="5">
        <f>SUMIFS($I$3:$I$566,$A$3:$A$566,A253,$E$3:$E$566,E253)/SUMIFS(Question_Bank!$M$3:$M$14,Question_Bank!$B$3:$B$14,E253)</f>
        <v>0</v>
      </c>
      <c r="M253" t="s">
        <v>174</v>
      </c>
    </row>
    <row r="254" spans="1:13">
      <c r="A254" t="s">
        <v>173</v>
      </c>
      <c r="B254" t="s">
        <v>132</v>
      </c>
      <c r="C254" t="s">
        <v>227</v>
      </c>
      <c r="D254" t="s">
        <v>112</v>
      </c>
      <c r="E254" t="s">
        <v>96</v>
      </c>
      <c r="F254" t="s">
        <v>23</v>
      </c>
      <c r="G254">
        <f>INDEX(Question_Bank!$J$3:$J$14,MATCH(D254,Question_Bank!$A$3:$A$14,0))</f>
        <v>0</v>
      </c>
      <c r="H254">
        <f>IF(F254=G254,1,0)</f>
        <v>0</v>
      </c>
      <c r="I254">
        <f>H254*INDEX(Question_Bank!$M$3:$M$14,MATCH(D254,Question_Bank!$A$3:$A$14,0))</f>
        <v>0</v>
      </c>
      <c r="J254">
        <f>SUMIFS($I$3:$I$566,$A$3:$A$566,A254)</f>
        <v>0</v>
      </c>
      <c r="K254" s="5">
        <f>J254/SUM(Question_Bank!$M$3:$M$14)</f>
        <v>0</v>
      </c>
      <c r="L254" s="5">
        <f>SUMIFS($I$3:$I$566,$A$3:$A$566,A254,$E$3:$E$566,E254)/SUMIFS(Question_Bank!$M$3:$M$14,Question_Bank!$B$3:$B$14,E254)</f>
        <v>0</v>
      </c>
      <c r="M254" t="s">
        <v>174</v>
      </c>
    </row>
    <row r="255" spans="1:13">
      <c r="A255" t="s">
        <v>175</v>
      </c>
      <c r="B255" t="s">
        <v>132</v>
      </c>
      <c r="C255" t="s">
        <v>227</v>
      </c>
      <c r="D255" t="s">
        <v>14</v>
      </c>
      <c r="E255" t="s">
        <v>15</v>
      </c>
      <c r="F255" t="s">
        <v>23</v>
      </c>
      <c r="G255">
        <f>INDEX(Question_Bank!$J$3:$J$14,MATCH(D255,Question_Bank!$A$3:$A$14,0))</f>
        <v>0</v>
      </c>
      <c r="H255">
        <f>IF(F255=G255,1,0)</f>
        <v>0</v>
      </c>
      <c r="I255">
        <f>H255*INDEX(Question_Bank!$M$3:$M$14,MATCH(D255,Question_Bank!$A$3:$A$14,0))</f>
        <v>0</v>
      </c>
      <c r="J255">
        <f>SUMIFS($I$3:$I$566,$A$3:$A$566,A255)</f>
        <v>0</v>
      </c>
      <c r="K255" s="5">
        <f>J255/SUM(Question_Bank!$M$3:$M$14)</f>
        <v>0</v>
      </c>
      <c r="L255" s="5">
        <f>SUMIFS($I$3:$I$566,$A$3:$A$566,A255,$E$3:$E$566,E255)/SUMIFS(Question_Bank!$M$3:$M$14,Question_Bank!$B$3:$B$14,E255)</f>
        <v>0</v>
      </c>
      <c r="M255" t="s">
        <v>176</v>
      </c>
    </row>
    <row r="256" spans="1:13">
      <c r="A256" t="s">
        <v>175</v>
      </c>
      <c r="B256" t="s">
        <v>132</v>
      </c>
      <c r="C256" t="s">
        <v>227</v>
      </c>
      <c r="D256" t="s">
        <v>26</v>
      </c>
      <c r="E256" t="s">
        <v>15</v>
      </c>
      <c r="F256" t="s">
        <v>20</v>
      </c>
      <c r="G256">
        <f>INDEX(Question_Bank!$J$3:$J$14,MATCH(D256,Question_Bank!$A$3:$A$14,0))</f>
        <v>0</v>
      </c>
      <c r="H256">
        <f>IF(F256=G256,1,0)</f>
        <v>0</v>
      </c>
      <c r="I256">
        <f>H256*INDEX(Question_Bank!$M$3:$M$14,MATCH(D256,Question_Bank!$A$3:$A$14,0))</f>
        <v>0</v>
      </c>
      <c r="J256">
        <f>SUMIFS($I$3:$I$566,$A$3:$A$566,A256)</f>
        <v>0</v>
      </c>
      <c r="K256" s="5">
        <f>J256/SUM(Question_Bank!$M$3:$M$14)</f>
        <v>0</v>
      </c>
      <c r="L256" s="5">
        <f>SUMIFS($I$3:$I$566,$A$3:$A$566,A256,$E$3:$E$566,E256)/SUMIFS(Question_Bank!$M$3:$M$14,Question_Bank!$B$3:$B$14,E256)</f>
        <v>0</v>
      </c>
      <c r="M256" t="s">
        <v>176</v>
      </c>
    </row>
    <row r="257" spans="1:13">
      <c r="A257" t="s">
        <v>175</v>
      </c>
      <c r="B257" t="s">
        <v>132</v>
      </c>
      <c r="C257" t="s">
        <v>227</v>
      </c>
      <c r="D257" t="s">
        <v>37</v>
      </c>
      <c r="E257" t="s">
        <v>15</v>
      </c>
      <c r="F257" t="s">
        <v>20</v>
      </c>
      <c r="G257">
        <f>INDEX(Question_Bank!$J$3:$J$14,MATCH(D257,Question_Bank!$A$3:$A$14,0))</f>
        <v>0</v>
      </c>
      <c r="H257">
        <f>IF(F257=G257,1,0)</f>
        <v>0</v>
      </c>
      <c r="I257">
        <f>H257*INDEX(Question_Bank!$M$3:$M$14,MATCH(D257,Question_Bank!$A$3:$A$14,0))</f>
        <v>0</v>
      </c>
      <c r="J257">
        <f>SUMIFS($I$3:$I$566,$A$3:$A$566,A257)</f>
        <v>0</v>
      </c>
      <c r="K257" s="5">
        <f>J257/SUM(Question_Bank!$M$3:$M$14)</f>
        <v>0</v>
      </c>
      <c r="L257" s="5">
        <f>SUMIFS($I$3:$I$566,$A$3:$A$566,A257,$E$3:$E$566,E257)/SUMIFS(Question_Bank!$M$3:$M$14,Question_Bank!$B$3:$B$14,E257)</f>
        <v>0</v>
      </c>
      <c r="M257" t="s">
        <v>176</v>
      </c>
    </row>
    <row r="258" spans="1:13">
      <c r="A258" t="s">
        <v>175</v>
      </c>
      <c r="B258" t="s">
        <v>132</v>
      </c>
      <c r="C258" t="s">
        <v>227</v>
      </c>
      <c r="D258" t="s">
        <v>45</v>
      </c>
      <c r="E258" t="s">
        <v>46</v>
      </c>
      <c r="F258" t="s">
        <v>34</v>
      </c>
      <c r="G258">
        <f>INDEX(Question_Bank!$J$3:$J$14,MATCH(D258,Question_Bank!$A$3:$A$14,0))</f>
        <v>0</v>
      </c>
      <c r="H258">
        <f>IF(F258=G258,1,0)</f>
        <v>0</v>
      </c>
      <c r="I258">
        <f>H258*INDEX(Question_Bank!$M$3:$M$14,MATCH(D258,Question_Bank!$A$3:$A$14,0))</f>
        <v>0</v>
      </c>
      <c r="J258">
        <f>SUMIFS($I$3:$I$566,$A$3:$A$566,A258)</f>
        <v>0</v>
      </c>
      <c r="K258" s="5">
        <f>J258/SUM(Question_Bank!$M$3:$M$14)</f>
        <v>0</v>
      </c>
      <c r="L258" s="5">
        <f>SUMIFS($I$3:$I$566,$A$3:$A$566,A258,$E$3:$E$566,E258)/SUMIFS(Question_Bank!$M$3:$M$14,Question_Bank!$B$3:$B$14,E258)</f>
        <v>0</v>
      </c>
      <c r="M258" t="s">
        <v>176</v>
      </c>
    </row>
    <row r="259" spans="1:13">
      <c r="A259" t="s">
        <v>175</v>
      </c>
      <c r="B259" t="s">
        <v>132</v>
      </c>
      <c r="C259" t="s">
        <v>227</v>
      </c>
      <c r="D259" t="s">
        <v>54</v>
      </c>
      <c r="E259" t="s">
        <v>46</v>
      </c>
      <c r="F259" t="s">
        <v>34</v>
      </c>
      <c r="G259">
        <f>INDEX(Question_Bank!$J$3:$J$14,MATCH(D259,Question_Bank!$A$3:$A$14,0))</f>
        <v>0</v>
      </c>
      <c r="H259">
        <f>IF(F259=G259,1,0)</f>
        <v>0</v>
      </c>
      <c r="I259">
        <f>H259*INDEX(Question_Bank!$M$3:$M$14,MATCH(D259,Question_Bank!$A$3:$A$14,0))</f>
        <v>0</v>
      </c>
      <c r="J259">
        <f>SUMIFS($I$3:$I$566,$A$3:$A$566,A259)</f>
        <v>0</v>
      </c>
      <c r="K259" s="5">
        <f>J259/SUM(Question_Bank!$M$3:$M$14)</f>
        <v>0</v>
      </c>
      <c r="L259" s="5">
        <f>SUMIFS($I$3:$I$566,$A$3:$A$566,A259,$E$3:$E$566,E259)/SUMIFS(Question_Bank!$M$3:$M$14,Question_Bank!$B$3:$B$14,E259)</f>
        <v>0</v>
      </c>
      <c r="M259" t="s">
        <v>176</v>
      </c>
    </row>
    <row r="260" spans="1:13">
      <c r="A260" t="s">
        <v>175</v>
      </c>
      <c r="B260" t="s">
        <v>132</v>
      </c>
      <c r="C260" t="s">
        <v>227</v>
      </c>
      <c r="D260" t="s">
        <v>62</v>
      </c>
      <c r="E260" t="s">
        <v>46</v>
      </c>
      <c r="F260" t="s">
        <v>23</v>
      </c>
      <c r="G260">
        <f>INDEX(Question_Bank!$J$3:$J$14,MATCH(D260,Question_Bank!$A$3:$A$14,0))</f>
        <v>0</v>
      </c>
      <c r="H260">
        <f>IF(F260=G260,1,0)</f>
        <v>0</v>
      </c>
      <c r="I260">
        <f>H260*INDEX(Question_Bank!$M$3:$M$14,MATCH(D260,Question_Bank!$A$3:$A$14,0))</f>
        <v>0</v>
      </c>
      <c r="J260">
        <f>SUMIFS($I$3:$I$566,$A$3:$A$566,A260)</f>
        <v>0</v>
      </c>
      <c r="K260" s="5">
        <f>J260/SUM(Question_Bank!$M$3:$M$14)</f>
        <v>0</v>
      </c>
      <c r="L260" s="5">
        <f>SUMIFS($I$3:$I$566,$A$3:$A$566,A260,$E$3:$E$566,E260)/SUMIFS(Question_Bank!$M$3:$M$14,Question_Bank!$B$3:$B$14,E260)</f>
        <v>0</v>
      </c>
      <c r="M260" t="s">
        <v>176</v>
      </c>
    </row>
    <row r="261" spans="1:13">
      <c r="A261" t="s">
        <v>175</v>
      </c>
      <c r="B261" t="s">
        <v>132</v>
      </c>
      <c r="C261" t="s">
        <v>227</v>
      </c>
      <c r="D261" t="s">
        <v>70</v>
      </c>
      <c r="E261" t="s">
        <v>71</v>
      </c>
      <c r="F261" t="s">
        <v>23</v>
      </c>
      <c r="G261">
        <f>INDEX(Question_Bank!$J$3:$J$14,MATCH(D261,Question_Bank!$A$3:$A$14,0))</f>
        <v>0</v>
      </c>
      <c r="H261">
        <f>IF(F261=G261,1,0)</f>
        <v>0</v>
      </c>
      <c r="I261">
        <f>H261*INDEX(Question_Bank!$M$3:$M$14,MATCH(D261,Question_Bank!$A$3:$A$14,0))</f>
        <v>0</v>
      </c>
      <c r="J261">
        <f>SUMIFS($I$3:$I$566,$A$3:$A$566,A261)</f>
        <v>0</v>
      </c>
      <c r="K261" s="5">
        <f>J261/SUM(Question_Bank!$M$3:$M$14)</f>
        <v>0</v>
      </c>
      <c r="L261" s="5">
        <f>SUMIFS($I$3:$I$566,$A$3:$A$566,A261,$E$3:$E$566,E261)/SUMIFS(Question_Bank!$M$3:$M$14,Question_Bank!$B$3:$B$14,E261)</f>
        <v>0</v>
      </c>
      <c r="M261" t="s">
        <v>176</v>
      </c>
    </row>
    <row r="262" spans="1:13">
      <c r="A262" t="s">
        <v>175</v>
      </c>
      <c r="B262" t="s">
        <v>132</v>
      </c>
      <c r="C262" t="s">
        <v>227</v>
      </c>
      <c r="D262" t="s">
        <v>79</v>
      </c>
      <c r="E262" t="s">
        <v>71</v>
      </c>
      <c r="F262" t="s">
        <v>34</v>
      </c>
      <c r="G262">
        <f>INDEX(Question_Bank!$J$3:$J$14,MATCH(D262,Question_Bank!$A$3:$A$14,0))</f>
        <v>0</v>
      </c>
      <c r="H262">
        <f>IF(F262=G262,1,0)</f>
        <v>0</v>
      </c>
      <c r="I262">
        <f>H262*INDEX(Question_Bank!$M$3:$M$14,MATCH(D262,Question_Bank!$A$3:$A$14,0))</f>
        <v>0</v>
      </c>
      <c r="J262">
        <f>SUMIFS($I$3:$I$566,$A$3:$A$566,A262)</f>
        <v>0</v>
      </c>
      <c r="K262" s="5">
        <f>J262/SUM(Question_Bank!$M$3:$M$14)</f>
        <v>0</v>
      </c>
      <c r="L262" s="5">
        <f>SUMIFS($I$3:$I$566,$A$3:$A$566,A262,$E$3:$E$566,E262)/SUMIFS(Question_Bank!$M$3:$M$14,Question_Bank!$B$3:$B$14,E262)</f>
        <v>0</v>
      </c>
      <c r="M262" t="s">
        <v>176</v>
      </c>
    </row>
    <row r="263" spans="1:13">
      <c r="A263" t="s">
        <v>175</v>
      </c>
      <c r="B263" t="s">
        <v>132</v>
      </c>
      <c r="C263" t="s">
        <v>227</v>
      </c>
      <c r="D263" t="s">
        <v>87</v>
      </c>
      <c r="E263" t="s">
        <v>71</v>
      </c>
      <c r="F263" t="s">
        <v>23</v>
      </c>
      <c r="G263">
        <f>INDEX(Question_Bank!$J$3:$J$14,MATCH(D263,Question_Bank!$A$3:$A$14,0))</f>
        <v>0</v>
      </c>
      <c r="H263">
        <f>IF(F263=G263,1,0)</f>
        <v>0</v>
      </c>
      <c r="I263">
        <f>H263*INDEX(Question_Bank!$M$3:$M$14,MATCH(D263,Question_Bank!$A$3:$A$14,0))</f>
        <v>0</v>
      </c>
      <c r="J263">
        <f>SUMIFS($I$3:$I$566,$A$3:$A$566,A263)</f>
        <v>0</v>
      </c>
      <c r="K263" s="5">
        <f>J263/SUM(Question_Bank!$M$3:$M$14)</f>
        <v>0</v>
      </c>
      <c r="L263" s="5">
        <f>SUMIFS($I$3:$I$566,$A$3:$A$566,A263,$E$3:$E$566,E263)/SUMIFS(Question_Bank!$M$3:$M$14,Question_Bank!$B$3:$B$14,E263)</f>
        <v>0</v>
      </c>
      <c r="M263" t="s">
        <v>176</v>
      </c>
    </row>
    <row r="264" spans="1:13">
      <c r="A264" t="s">
        <v>175</v>
      </c>
      <c r="B264" t="s">
        <v>132</v>
      </c>
      <c r="C264" t="s">
        <v>227</v>
      </c>
      <c r="D264" t="s">
        <v>95</v>
      </c>
      <c r="E264" t="s">
        <v>96</v>
      </c>
      <c r="F264" t="s">
        <v>34</v>
      </c>
      <c r="G264">
        <f>INDEX(Question_Bank!$J$3:$J$14,MATCH(D264,Question_Bank!$A$3:$A$14,0))</f>
        <v>0</v>
      </c>
      <c r="H264">
        <f>IF(F264=G264,1,0)</f>
        <v>0</v>
      </c>
      <c r="I264">
        <f>H264*INDEX(Question_Bank!$M$3:$M$14,MATCH(D264,Question_Bank!$A$3:$A$14,0))</f>
        <v>0</v>
      </c>
      <c r="J264">
        <f>SUMIFS($I$3:$I$566,$A$3:$A$566,A264)</f>
        <v>0</v>
      </c>
      <c r="K264" s="5">
        <f>J264/SUM(Question_Bank!$M$3:$M$14)</f>
        <v>0</v>
      </c>
      <c r="L264" s="5">
        <f>SUMIFS($I$3:$I$566,$A$3:$A$566,A264,$E$3:$E$566,E264)/SUMIFS(Question_Bank!$M$3:$M$14,Question_Bank!$B$3:$B$14,E264)</f>
        <v>0</v>
      </c>
      <c r="M264" t="s">
        <v>176</v>
      </c>
    </row>
    <row r="265" spans="1:13">
      <c r="A265" t="s">
        <v>175</v>
      </c>
      <c r="B265" t="s">
        <v>132</v>
      </c>
      <c r="C265" t="s">
        <v>227</v>
      </c>
      <c r="D265" t="s">
        <v>104</v>
      </c>
      <c r="E265" t="s">
        <v>96</v>
      </c>
      <c r="F265" t="s">
        <v>34</v>
      </c>
      <c r="G265">
        <f>INDEX(Question_Bank!$J$3:$J$14,MATCH(D265,Question_Bank!$A$3:$A$14,0))</f>
        <v>0</v>
      </c>
      <c r="H265">
        <f>IF(F265=G265,1,0)</f>
        <v>0</v>
      </c>
      <c r="I265">
        <f>H265*INDEX(Question_Bank!$M$3:$M$14,MATCH(D265,Question_Bank!$A$3:$A$14,0))</f>
        <v>0</v>
      </c>
      <c r="J265">
        <f>SUMIFS($I$3:$I$566,$A$3:$A$566,A265)</f>
        <v>0</v>
      </c>
      <c r="K265" s="5">
        <f>J265/SUM(Question_Bank!$M$3:$M$14)</f>
        <v>0</v>
      </c>
      <c r="L265" s="5">
        <f>SUMIFS($I$3:$I$566,$A$3:$A$566,A265,$E$3:$E$566,E265)/SUMIFS(Question_Bank!$M$3:$M$14,Question_Bank!$B$3:$B$14,E265)</f>
        <v>0</v>
      </c>
      <c r="M265" t="s">
        <v>176</v>
      </c>
    </row>
    <row r="266" spans="1:13">
      <c r="A266" t="s">
        <v>175</v>
      </c>
      <c r="B266" t="s">
        <v>132</v>
      </c>
      <c r="C266" t="s">
        <v>227</v>
      </c>
      <c r="D266" t="s">
        <v>112</v>
      </c>
      <c r="E266" t="s">
        <v>96</v>
      </c>
      <c r="F266" t="s">
        <v>34</v>
      </c>
      <c r="G266">
        <f>INDEX(Question_Bank!$J$3:$J$14,MATCH(D266,Question_Bank!$A$3:$A$14,0))</f>
        <v>0</v>
      </c>
      <c r="H266">
        <f>IF(F266=G266,1,0)</f>
        <v>0</v>
      </c>
      <c r="I266">
        <f>H266*INDEX(Question_Bank!$M$3:$M$14,MATCH(D266,Question_Bank!$A$3:$A$14,0))</f>
        <v>0</v>
      </c>
      <c r="J266">
        <f>SUMIFS($I$3:$I$566,$A$3:$A$566,A266)</f>
        <v>0</v>
      </c>
      <c r="K266" s="5">
        <f>J266/SUM(Question_Bank!$M$3:$M$14)</f>
        <v>0</v>
      </c>
      <c r="L266" s="5">
        <f>SUMIFS($I$3:$I$566,$A$3:$A$566,A266,$E$3:$E$566,E266)/SUMIFS(Question_Bank!$M$3:$M$14,Question_Bank!$B$3:$B$14,E266)</f>
        <v>0</v>
      </c>
      <c r="M266" t="s">
        <v>176</v>
      </c>
    </row>
    <row r="267" spans="1:13">
      <c r="A267" t="s">
        <v>177</v>
      </c>
      <c r="B267" t="s">
        <v>132</v>
      </c>
      <c r="C267" t="s">
        <v>227</v>
      </c>
      <c r="D267" t="s">
        <v>14</v>
      </c>
      <c r="E267" t="s">
        <v>15</v>
      </c>
      <c r="F267" t="s">
        <v>23</v>
      </c>
      <c r="G267">
        <f>INDEX(Question_Bank!$J$3:$J$14,MATCH(D267,Question_Bank!$A$3:$A$14,0))</f>
        <v>0</v>
      </c>
      <c r="H267">
        <f>IF(F267=G267,1,0)</f>
        <v>0</v>
      </c>
      <c r="I267">
        <f>H267*INDEX(Question_Bank!$M$3:$M$14,MATCH(D267,Question_Bank!$A$3:$A$14,0))</f>
        <v>0</v>
      </c>
      <c r="J267">
        <f>SUMIFS($I$3:$I$566,$A$3:$A$566,A267)</f>
        <v>0</v>
      </c>
      <c r="K267" s="5">
        <f>J267/SUM(Question_Bank!$M$3:$M$14)</f>
        <v>0</v>
      </c>
      <c r="L267" s="5">
        <f>SUMIFS($I$3:$I$566,$A$3:$A$566,A267,$E$3:$E$566,E267)/SUMIFS(Question_Bank!$M$3:$M$14,Question_Bank!$B$3:$B$14,E267)</f>
        <v>0</v>
      </c>
      <c r="M267" t="s">
        <v>178</v>
      </c>
    </row>
    <row r="268" spans="1:13">
      <c r="A268" t="s">
        <v>177</v>
      </c>
      <c r="B268" t="s">
        <v>132</v>
      </c>
      <c r="C268" t="s">
        <v>227</v>
      </c>
      <c r="D268" t="s">
        <v>26</v>
      </c>
      <c r="E268" t="s">
        <v>15</v>
      </c>
      <c r="F268" t="s">
        <v>23</v>
      </c>
      <c r="G268">
        <f>INDEX(Question_Bank!$J$3:$J$14,MATCH(D268,Question_Bank!$A$3:$A$14,0))</f>
        <v>0</v>
      </c>
      <c r="H268">
        <f>IF(F268=G268,1,0)</f>
        <v>0</v>
      </c>
      <c r="I268">
        <f>H268*INDEX(Question_Bank!$M$3:$M$14,MATCH(D268,Question_Bank!$A$3:$A$14,0))</f>
        <v>0</v>
      </c>
      <c r="J268">
        <f>SUMIFS($I$3:$I$566,$A$3:$A$566,A268)</f>
        <v>0</v>
      </c>
      <c r="K268" s="5">
        <f>J268/SUM(Question_Bank!$M$3:$M$14)</f>
        <v>0</v>
      </c>
      <c r="L268" s="5">
        <f>SUMIFS($I$3:$I$566,$A$3:$A$566,A268,$E$3:$E$566,E268)/SUMIFS(Question_Bank!$M$3:$M$14,Question_Bank!$B$3:$B$14,E268)</f>
        <v>0</v>
      </c>
      <c r="M268" t="s">
        <v>178</v>
      </c>
    </row>
    <row r="269" spans="1:13">
      <c r="A269" t="s">
        <v>177</v>
      </c>
      <c r="B269" t="s">
        <v>132</v>
      </c>
      <c r="C269" t="s">
        <v>227</v>
      </c>
      <c r="D269" t="s">
        <v>37</v>
      </c>
      <c r="E269" t="s">
        <v>15</v>
      </c>
      <c r="F269" t="s">
        <v>20</v>
      </c>
      <c r="G269">
        <f>INDEX(Question_Bank!$J$3:$J$14,MATCH(D269,Question_Bank!$A$3:$A$14,0))</f>
        <v>0</v>
      </c>
      <c r="H269">
        <f>IF(F269=G269,1,0)</f>
        <v>0</v>
      </c>
      <c r="I269">
        <f>H269*INDEX(Question_Bank!$M$3:$M$14,MATCH(D269,Question_Bank!$A$3:$A$14,0))</f>
        <v>0</v>
      </c>
      <c r="J269">
        <f>SUMIFS($I$3:$I$566,$A$3:$A$566,A269)</f>
        <v>0</v>
      </c>
      <c r="K269" s="5">
        <f>J269/SUM(Question_Bank!$M$3:$M$14)</f>
        <v>0</v>
      </c>
      <c r="L269" s="5">
        <f>SUMIFS($I$3:$I$566,$A$3:$A$566,A269,$E$3:$E$566,E269)/SUMIFS(Question_Bank!$M$3:$M$14,Question_Bank!$B$3:$B$14,E269)</f>
        <v>0</v>
      </c>
      <c r="M269" t="s">
        <v>178</v>
      </c>
    </row>
    <row r="270" spans="1:13">
      <c r="A270" t="s">
        <v>177</v>
      </c>
      <c r="B270" t="s">
        <v>132</v>
      </c>
      <c r="C270" t="s">
        <v>227</v>
      </c>
      <c r="D270" t="s">
        <v>45</v>
      </c>
      <c r="E270" t="s">
        <v>46</v>
      </c>
      <c r="F270" t="s">
        <v>31</v>
      </c>
      <c r="G270">
        <f>INDEX(Question_Bank!$J$3:$J$14,MATCH(D270,Question_Bank!$A$3:$A$14,0))</f>
        <v>0</v>
      </c>
      <c r="H270">
        <f>IF(F270=G270,1,0)</f>
        <v>0</v>
      </c>
      <c r="I270">
        <f>H270*INDEX(Question_Bank!$M$3:$M$14,MATCH(D270,Question_Bank!$A$3:$A$14,0))</f>
        <v>0</v>
      </c>
      <c r="J270">
        <f>SUMIFS($I$3:$I$566,$A$3:$A$566,A270)</f>
        <v>0</v>
      </c>
      <c r="K270" s="5">
        <f>J270/SUM(Question_Bank!$M$3:$M$14)</f>
        <v>0</v>
      </c>
      <c r="L270" s="5">
        <f>SUMIFS($I$3:$I$566,$A$3:$A$566,A270,$E$3:$E$566,E270)/SUMIFS(Question_Bank!$M$3:$M$14,Question_Bank!$B$3:$B$14,E270)</f>
        <v>0</v>
      </c>
      <c r="M270" t="s">
        <v>178</v>
      </c>
    </row>
    <row r="271" spans="1:13">
      <c r="A271" t="s">
        <v>177</v>
      </c>
      <c r="B271" t="s">
        <v>132</v>
      </c>
      <c r="C271" t="s">
        <v>227</v>
      </c>
      <c r="D271" t="s">
        <v>54</v>
      </c>
      <c r="E271" t="s">
        <v>46</v>
      </c>
      <c r="F271" t="s">
        <v>23</v>
      </c>
      <c r="G271">
        <f>INDEX(Question_Bank!$J$3:$J$14,MATCH(D271,Question_Bank!$A$3:$A$14,0))</f>
        <v>0</v>
      </c>
      <c r="H271">
        <f>IF(F271=G271,1,0)</f>
        <v>0</v>
      </c>
      <c r="I271">
        <f>H271*INDEX(Question_Bank!$M$3:$M$14,MATCH(D271,Question_Bank!$A$3:$A$14,0))</f>
        <v>0</v>
      </c>
      <c r="J271">
        <f>SUMIFS($I$3:$I$566,$A$3:$A$566,A271)</f>
        <v>0</v>
      </c>
      <c r="K271" s="5">
        <f>J271/SUM(Question_Bank!$M$3:$M$14)</f>
        <v>0</v>
      </c>
      <c r="L271" s="5">
        <f>SUMIFS($I$3:$I$566,$A$3:$A$566,A271,$E$3:$E$566,E271)/SUMIFS(Question_Bank!$M$3:$M$14,Question_Bank!$B$3:$B$14,E271)</f>
        <v>0</v>
      </c>
      <c r="M271" t="s">
        <v>178</v>
      </c>
    </row>
    <row r="272" spans="1:13">
      <c r="A272" t="s">
        <v>177</v>
      </c>
      <c r="B272" t="s">
        <v>132</v>
      </c>
      <c r="C272" t="s">
        <v>227</v>
      </c>
      <c r="D272" t="s">
        <v>62</v>
      </c>
      <c r="E272" t="s">
        <v>46</v>
      </c>
      <c r="F272" t="s">
        <v>34</v>
      </c>
      <c r="G272">
        <f>INDEX(Question_Bank!$J$3:$J$14,MATCH(D272,Question_Bank!$A$3:$A$14,0))</f>
        <v>0</v>
      </c>
      <c r="H272">
        <f>IF(F272=G272,1,0)</f>
        <v>0</v>
      </c>
      <c r="I272">
        <f>H272*INDEX(Question_Bank!$M$3:$M$14,MATCH(D272,Question_Bank!$A$3:$A$14,0))</f>
        <v>0</v>
      </c>
      <c r="J272">
        <f>SUMIFS($I$3:$I$566,$A$3:$A$566,A272)</f>
        <v>0</v>
      </c>
      <c r="K272" s="5">
        <f>J272/SUM(Question_Bank!$M$3:$M$14)</f>
        <v>0</v>
      </c>
      <c r="L272" s="5">
        <f>SUMIFS($I$3:$I$566,$A$3:$A$566,A272,$E$3:$E$566,E272)/SUMIFS(Question_Bank!$M$3:$M$14,Question_Bank!$B$3:$B$14,E272)</f>
        <v>0</v>
      </c>
      <c r="M272" t="s">
        <v>178</v>
      </c>
    </row>
    <row r="273" spans="1:13">
      <c r="A273" t="s">
        <v>177</v>
      </c>
      <c r="B273" t="s">
        <v>132</v>
      </c>
      <c r="C273" t="s">
        <v>227</v>
      </c>
      <c r="D273" t="s">
        <v>70</v>
      </c>
      <c r="E273" t="s">
        <v>71</v>
      </c>
      <c r="F273" t="s">
        <v>23</v>
      </c>
      <c r="G273">
        <f>INDEX(Question_Bank!$J$3:$J$14,MATCH(D273,Question_Bank!$A$3:$A$14,0))</f>
        <v>0</v>
      </c>
      <c r="H273">
        <f>IF(F273=G273,1,0)</f>
        <v>0</v>
      </c>
      <c r="I273">
        <f>H273*INDEX(Question_Bank!$M$3:$M$14,MATCH(D273,Question_Bank!$A$3:$A$14,0))</f>
        <v>0</v>
      </c>
      <c r="J273">
        <f>SUMIFS($I$3:$I$566,$A$3:$A$566,A273)</f>
        <v>0</v>
      </c>
      <c r="K273" s="5">
        <f>J273/SUM(Question_Bank!$M$3:$M$14)</f>
        <v>0</v>
      </c>
      <c r="L273" s="5">
        <f>SUMIFS($I$3:$I$566,$A$3:$A$566,A273,$E$3:$E$566,E273)/SUMIFS(Question_Bank!$M$3:$M$14,Question_Bank!$B$3:$B$14,E273)</f>
        <v>0</v>
      </c>
      <c r="M273" t="s">
        <v>178</v>
      </c>
    </row>
    <row r="274" spans="1:13">
      <c r="A274" t="s">
        <v>177</v>
      </c>
      <c r="B274" t="s">
        <v>132</v>
      </c>
      <c r="C274" t="s">
        <v>227</v>
      </c>
      <c r="D274" t="s">
        <v>79</v>
      </c>
      <c r="E274" t="s">
        <v>71</v>
      </c>
      <c r="F274" t="s">
        <v>34</v>
      </c>
      <c r="G274">
        <f>INDEX(Question_Bank!$J$3:$J$14,MATCH(D274,Question_Bank!$A$3:$A$14,0))</f>
        <v>0</v>
      </c>
      <c r="H274">
        <f>IF(F274=G274,1,0)</f>
        <v>0</v>
      </c>
      <c r="I274">
        <f>H274*INDEX(Question_Bank!$M$3:$M$14,MATCH(D274,Question_Bank!$A$3:$A$14,0))</f>
        <v>0</v>
      </c>
      <c r="J274">
        <f>SUMIFS($I$3:$I$566,$A$3:$A$566,A274)</f>
        <v>0</v>
      </c>
      <c r="K274" s="5">
        <f>J274/SUM(Question_Bank!$M$3:$M$14)</f>
        <v>0</v>
      </c>
      <c r="L274" s="5">
        <f>SUMIFS($I$3:$I$566,$A$3:$A$566,A274,$E$3:$E$566,E274)/SUMIFS(Question_Bank!$M$3:$M$14,Question_Bank!$B$3:$B$14,E274)</f>
        <v>0</v>
      </c>
      <c r="M274" t="s">
        <v>178</v>
      </c>
    </row>
    <row r="275" spans="1:13">
      <c r="A275" t="s">
        <v>177</v>
      </c>
      <c r="B275" t="s">
        <v>132</v>
      </c>
      <c r="C275" t="s">
        <v>227</v>
      </c>
      <c r="D275" t="s">
        <v>87</v>
      </c>
      <c r="E275" t="s">
        <v>71</v>
      </c>
      <c r="F275" t="s">
        <v>23</v>
      </c>
      <c r="G275">
        <f>INDEX(Question_Bank!$J$3:$J$14,MATCH(D275,Question_Bank!$A$3:$A$14,0))</f>
        <v>0</v>
      </c>
      <c r="H275">
        <f>IF(F275=G275,1,0)</f>
        <v>0</v>
      </c>
      <c r="I275">
        <f>H275*INDEX(Question_Bank!$M$3:$M$14,MATCH(D275,Question_Bank!$A$3:$A$14,0))</f>
        <v>0</v>
      </c>
      <c r="J275">
        <f>SUMIFS($I$3:$I$566,$A$3:$A$566,A275)</f>
        <v>0</v>
      </c>
      <c r="K275" s="5">
        <f>J275/SUM(Question_Bank!$M$3:$M$14)</f>
        <v>0</v>
      </c>
      <c r="L275" s="5">
        <f>SUMIFS($I$3:$I$566,$A$3:$A$566,A275,$E$3:$E$566,E275)/SUMIFS(Question_Bank!$M$3:$M$14,Question_Bank!$B$3:$B$14,E275)</f>
        <v>0</v>
      </c>
      <c r="M275" t="s">
        <v>178</v>
      </c>
    </row>
    <row r="276" spans="1:13">
      <c r="A276" t="s">
        <v>177</v>
      </c>
      <c r="B276" t="s">
        <v>132</v>
      </c>
      <c r="C276" t="s">
        <v>227</v>
      </c>
      <c r="D276" t="s">
        <v>95</v>
      </c>
      <c r="E276" t="s">
        <v>96</v>
      </c>
      <c r="F276" t="s">
        <v>23</v>
      </c>
      <c r="G276">
        <f>INDEX(Question_Bank!$J$3:$J$14,MATCH(D276,Question_Bank!$A$3:$A$14,0))</f>
        <v>0</v>
      </c>
      <c r="H276">
        <f>IF(F276=G276,1,0)</f>
        <v>0</v>
      </c>
      <c r="I276">
        <f>H276*INDEX(Question_Bank!$M$3:$M$14,MATCH(D276,Question_Bank!$A$3:$A$14,0))</f>
        <v>0</v>
      </c>
      <c r="J276">
        <f>SUMIFS($I$3:$I$566,$A$3:$A$566,A276)</f>
        <v>0</v>
      </c>
      <c r="K276" s="5">
        <f>J276/SUM(Question_Bank!$M$3:$M$14)</f>
        <v>0</v>
      </c>
      <c r="L276" s="5">
        <f>SUMIFS($I$3:$I$566,$A$3:$A$566,A276,$E$3:$E$566,E276)/SUMIFS(Question_Bank!$M$3:$M$14,Question_Bank!$B$3:$B$14,E276)</f>
        <v>0</v>
      </c>
      <c r="M276" t="s">
        <v>178</v>
      </c>
    </row>
    <row r="277" spans="1:13">
      <c r="A277" t="s">
        <v>177</v>
      </c>
      <c r="B277" t="s">
        <v>132</v>
      </c>
      <c r="C277" t="s">
        <v>227</v>
      </c>
      <c r="D277" t="s">
        <v>104</v>
      </c>
      <c r="E277" t="s">
        <v>96</v>
      </c>
      <c r="F277" t="s">
        <v>31</v>
      </c>
      <c r="G277">
        <f>INDEX(Question_Bank!$J$3:$J$14,MATCH(D277,Question_Bank!$A$3:$A$14,0))</f>
        <v>0</v>
      </c>
      <c r="H277">
        <f>IF(F277=G277,1,0)</f>
        <v>0</v>
      </c>
      <c r="I277">
        <f>H277*INDEX(Question_Bank!$M$3:$M$14,MATCH(D277,Question_Bank!$A$3:$A$14,0))</f>
        <v>0</v>
      </c>
      <c r="J277">
        <f>SUMIFS($I$3:$I$566,$A$3:$A$566,A277)</f>
        <v>0</v>
      </c>
      <c r="K277" s="5">
        <f>J277/SUM(Question_Bank!$M$3:$M$14)</f>
        <v>0</v>
      </c>
      <c r="L277" s="5">
        <f>SUMIFS($I$3:$I$566,$A$3:$A$566,A277,$E$3:$E$566,E277)/SUMIFS(Question_Bank!$M$3:$M$14,Question_Bank!$B$3:$B$14,E277)</f>
        <v>0</v>
      </c>
      <c r="M277" t="s">
        <v>178</v>
      </c>
    </row>
    <row r="278" spans="1:13">
      <c r="A278" t="s">
        <v>177</v>
      </c>
      <c r="B278" t="s">
        <v>132</v>
      </c>
      <c r="C278" t="s">
        <v>227</v>
      </c>
      <c r="D278" t="s">
        <v>112</v>
      </c>
      <c r="E278" t="s">
        <v>96</v>
      </c>
      <c r="F278" t="s">
        <v>31</v>
      </c>
      <c r="G278">
        <f>INDEX(Question_Bank!$J$3:$J$14,MATCH(D278,Question_Bank!$A$3:$A$14,0))</f>
        <v>0</v>
      </c>
      <c r="H278">
        <f>IF(F278=G278,1,0)</f>
        <v>0</v>
      </c>
      <c r="I278">
        <f>H278*INDEX(Question_Bank!$M$3:$M$14,MATCH(D278,Question_Bank!$A$3:$A$14,0))</f>
        <v>0</v>
      </c>
      <c r="J278">
        <f>SUMIFS($I$3:$I$566,$A$3:$A$566,A278)</f>
        <v>0</v>
      </c>
      <c r="K278" s="5">
        <f>J278/SUM(Question_Bank!$M$3:$M$14)</f>
        <v>0</v>
      </c>
      <c r="L278" s="5">
        <f>SUMIFS($I$3:$I$566,$A$3:$A$566,A278,$E$3:$E$566,E278)/SUMIFS(Question_Bank!$M$3:$M$14,Question_Bank!$B$3:$B$14,E278)</f>
        <v>0</v>
      </c>
      <c r="M278" t="s">
        <v>178</v>
      </c>
    </row>
    <row r="279" spans="1:13">
      <c r="A279" t="s">
        <v>179</v>
      </c>
      <c r="B279" t="s">
        <v>132</v>
      </c>
      <c r="C279" t="s">
        <v>227</v>
      </c>
      <c r="D279" t="s">
        <v>14</v>
      </c>
      <c r="E279" t="s">
        <v>15</v>
      </c>
      <c r="F279" t="s">
        <v>23</v>
      </c>
      <c r="G279">
        <f>INDEX(Question_Bank!$J$3:$J$14,MATCH(D279,Question_Bank!$A$3:$A$14,0))</f>
        <v>0</v>
      </c>
      <c r="H279">
        <f>IF(F279=G279,1,0)</f>
        <v>0</v>
      </c>
      <c r="I279">
        <f>H279*INDEX(Question_Bank!$M$3:$M$14,MATCH(D279,Question_Bank!$A$3:$A$14,0))</f>
        <v>0</v>
      </c>
      <c r="J279">
        <f>SUMIFS($I$3:$I$566,$A$3:$A$566,A279)</f>
        <v>0</v>
      </c>
      <c r="K279" s="5">
        <f>J279/SUM(Question_Bank!$M$3:$M$14)</f>
        <v>0</v>
      </c>
      <c r="L279" s="5">
        <f>SUMIFS($I$3:$I$566,$A$3:$A$566,A279,$E$3:$E$566,E279)/SUMIFS(Question_Bank!$M$3:$M$14,Question_Bank!$B$3:$B$14,E279)</f>
        <v>0</v>
      </c>
      <c r="M279" t="s">
        <v>180</v>
      </c>
    </row>
    <row r="280" spans="1:13">
      <c r="A280" t="s">
        <v>179</v>
      </c>
      <c r="B280" t="s">
        <v>132</v>
      </c>
      <c r="C280" t="s">
        <v>227</v>
      </c>
      <c r="D280" t="s">
        <v>26</v>
      </c>
      <c r="E280" t="s">
        <v>15</v>
      </c>
      <c r="F280" t="s">
        <v>31</v>
      </c>
      <c r="G280">
        <f>INDEX(Question_Bank!$J$3:$J$14,MATCH(D280,Question_Bank!$A$3:$A$14,0))</f>
        <v>0</v>
      </c>
      <c r="H280">
        <f>IF(F280=G280,1,0)</f>
        <v>0</v>
      </c>
      <c r="I280">
        <f>H280*INDEX(Question_Bank!$M$3:$M$14,MATCH(D280,Question_Bank!$A$3:$A$14,0))</f>
        <v>0</v>
      </c>
      <c r="J280">
        <f>SUMIFS($I$3:$I$566,$A$3:$A$566,A280)</f>
        <v>0</v>
      </c>
      <c r="K280" s="5">
        <f>J280/SUM(Question_Bank!$M$3:$M$14)</f>
        <v>0</v>
      </c>
      <c r="L280" s="5">
        <f>SUMIFS($I$3:$I$566,$A$3:$A$566,A280,$E$3:$E$566,E280)/SUMIFS(Question_Bank!$M$3:$M$14,Question_Bank!$B$3:$B$14,E280)</f>
        <v>0</v>
      </c>
      <c r="M280" t="s">
        <v>180</v>
      </c>
    </row>
    <row r="281" spans="1:13">
      <c r="A281" t="s">
        <v>179</v>
      </c>
      <c r="B281" t="s">
        <v>132</v>
      </c>
      <c r="C281" t="s">
        <v>227</v>
      </c>
      <c r="D281" t="s">
        <v>37</v>
      </c>
      <c r="E281" t="s">
        <v>15</v>
      </c>
      <c r="F281" t="s">
        <v>34</v>
      </c>
      <c r="G281">
        <f>INDEX(Question_Bank!$J$3:$J$14,MATCH(D281,Question_Bank!$A$3:$A$14,0))</f>
        <v>0</v>
      </c>
      <c r="H281">
        <f>IF(F281=G281,1,0)</f>
        <v>0</v>
      </c>
      <c r="I281">
        <f>H281*INDEX(Question_Bank!$M$3:$M$14,MATCH(D281,Question_Bank!$A$3:$A$14,0))</f>
        <v>0</v>
      </c>
      <c r="J281">
        <f>SUMIFS($I$3:$I$566,$A$3:$A$566,A281)</f>
        <v>0</v>
      </c>
      <c r="K281" s="5">
        <f>J281/SUM(Question_Bank!$M$3:$M$14)</f>
        <v>0</v>
      </c>
      <c r="L281" s="5">
        <f>SUMIFS($I$3:$I$566,$A$3:$A$566,A281,$E$3:$E$566,E281)/SUMIFS(Question_Bank!$M$3:$M$14,Question_Bank!$B$3:$B$14,E281)</f>
        <v>0</v>
      </c>
      <c r="M281" t="s">
        <v>180</v>
      </c>
    </row>
    <row r="282" spans="1:13">
      <c r="A282" t="s">
        <v>179</v>
      </c>
      <c r="B282" t="s">
        <v>132</v>
      </c>
      <c r="C282" t="s">
        <v>227</v>
      </c>
      <c r="D282" t="s">
        <v>45</v>
      </c>
      <c r="E282" t="s">
        <v>46</v>
      </c>
      <c r="F282" t="s">
        <v>34</v>
      </c>
      <c r="G282">
        <f>INDEX(Question_Bank!$J$3:$J$14,MATCH(D282,Question_Bank!$A$3:$A$14,0))</f>
        <v>0</v>
      </c>
      <c r="H282">
        <f>IF(F282=G282,1,0)</f>
        <v>0</v>
      </c>
      <c r="I282">
        <f>H282*INDEX(Question_Bank!$M$3:$M$14,MATCH(D282,Question_Bank!$A$3:$A$14,0))</f>
        <v>0</v>
      </c>
      <c r="J282">
        <f>SUMIFS($I$3:$I$566,$A$3:$A$566,A282)</f>
        <v>0</v>
      </c>
      <c r="K282" s="5">
        <f>J282/SUM(Question_Bank!$M$3:$M$14)</f>
        <v>0</v>
      </c>
      <c r="L282" s="5">
        <f>SUMIFS($I$3:$I$566,$A$3:$A$566,A282,$E$3:$E$566,E282)/SUMIFS(Question_Bank!$M$3:$M$14,Question_Bank!$B$3:$B$14,E282)</f>
        <v>0</v>
      </c>
      <c r="M282" t="s">
        <v>180</v>
      </c>
    </row>
    <row r="283" spans="1:13">
      <c r="A283" t="s">
        <v>179</v>
      </c>
      <c r="B283" t="s">
        <v>132</v>
      </c>
      <c r="C283" t="s">
        <v>227</v>
      </c>
      <c r="D283" t="s">
        <v>54</v>
      </c>
      <c r="E283" t="s">
        <v>46</v>
      </c>
      <c r="F283" t="s">
        <v>31</v>
      </c>
      <c r="G283">
        <f>INDEX(Question_Bank!$J$3:$J$14,MATCH(D283,Question_Bank!$A$3:$A$14,0))</f>
        <v>0</v>
      </c>
      <c r="H283">
        <f>IF(F283=G283,1,0)</f>
        <v>0</v>
      </c>
      <c r="I283">
        <f>H283*INDEX(Question_Bank!$M$3:$M$14,MATCH(D283,Question_Bank!$A$3:$A$14,0))</f>
        <v>0</v>
      </c>
      <c r="J283">
        <f>SUMIFS($I$3:$I$566,$A$3:$A$566,A283)</f>
        <v>0</v>
      </c>
      <c r="K283" s="5">
        <f>J283/SUM(Question_Bank!$M$3:$M$14)</f>
        <v>0</v>
      </c>
      <c r="L283" s="5">
        <f>SUMIFS($I$3:$I$566,$A$3:$A$566,A283,$E$3:$E$566,E283)/SUMIFS(Question_Bank!$M$3:$M$14,Question_Bank!$B$3:$B$14,E283)</f>
        <v>0</v>
      </c>
      <c r="M283" t="s">
        <v>180</v>
      </c>
    </row>
    <row r="284" spans="1:13">
      <c r="A284" t="s">
        <v>179</v>
      </c>
      <c r="B284" t="s">
        <v>132</v>
      </c>
      <c r="C284" t="s">
        <v>227</v>
      </c>
      <c r="D284" t="s">
        <v>62</v>
      </c>
      <c r="E284" t="s">
        <v>46</v>
      </c>
      <c r="F284" t="s">
        <v>34</v>
      </c>
      <c r="G284">
        <f>INDEX(Question_Bank!$J$3:$J$14,MATCH(D284,Question_Bank!$A$3:$A$14,0))</f>
        <v>0</v>
      </c>
      <c r="H284">
        <f>IF(F284=G284,1,0)</f>
        <v>0</v>
      </c>
      <c r="I284">
        <f>H284*INDEX(Question_Bank!$M$3:$M$14,MATCH(D284,Question_Bank!$A$3:$A$14,0))</f>
        <v>0</v>
      </c>
      <c r="J284">
        <f>SUMIFS($I$3:$I$566,$A$3:$A$566,A284)</f>
        <v>0</v>
      </c>
      <c r="K284" s="5">
        <f>J284/SUM(Question_Bank!$M$3:$M$14)</f>
        <v>0</v>
      </c>
      <c r="L284" s="5">
        <f>SUMIFS($I$3:$I$566,$A$3:$A$566,A284,$E$3:$E$566,E284)/SUMIFS(Question_Bank!$M$3:$M$14,Question_Bank!$B$3:$B$14,E284)</f>
        <v>0</v>
      </c>
      <c r="M284" t="s">
        <v>180</v>
      </c>
    </row>
    <row r="285" spans="1:13">
      <c r="A285" t="s">
        <v>179</v>
      </c>
      <c r="B285" t="s">
        <v>132</v>
      </c>
      <c r="C285" t="s">
        <v>227</v>
      </c>
      <c r="D285" t="s">
        <v>70</v>
      </c>
      <c r="E285" t="s">
        <v>71</v>
      </c>
      <c r="F285" t="s">
        <v>31</v>
      </c>
      <c r="G285">
        <f>INDEX(Question_Bank!$J$3:$J$14,MATCH(D285,Question_Bank!$A$3:$A$14,0))</f>
        <v>0</v>
      </c>
      <c r="H285">
        <f>IF(F285=G285,1,0)</f>
        <v>0</v>
      </c>
      <c r="I285">
        <f>H285*INDEX(Question_Bank!$M$3:$M$14,MATCH(D285,Question_Bank!$A$3:$A$14,0))</f>
        <v>0</v>
      </c>
      <c r="J285">
        <f>SUMIFS($I$3:$I$566,$A$3:$A$566,A285)</f>
        <v>0</v>
      </c>
      <c r="K285" s="5">
        <f>J285/SUM(Question_Bank!$M$3:$M$14)</f>
        <v>0</v>
      </c>
      <c r="L285" s="5">
        <f>SUMIFS($I$3:$I$566,$A$3:$A$566,A285,$E$3:$E$566,E285)/SUMIFS(Question_Bank!$M$3:$M$14,Question_Bank!$B$3:$B$14,E285)</f>
        <v>0</v>
      </c>
      <c r="M285" t="s">
        <v>180</v>
      </c>
    </row>
    <row r="286" spans="1:13">
      <c r="A286" t="s">
        <v>179</v>
      </c>
      <c r="B286" t="s">
        <v>132</v>
      </c>
      <c r="C286" t="s">
        <v>227</v>
      </c>
      <c r="D286" t="s">
        <v>79</v>
      </c>
      <c r="E286" t="s">
        <v>71</v>
      </c>
      <c r="F286" t="s">
        <v>34</v>
      </c>
      <c r="G286">
        <f>INDEX(Question_Bank!$J$3:$J$14,MATCH(D286,Question_Bank!$A$3:$A$14,0))</f>
        <v>0</v>
      </c>
      <c r="H286">
        <f>IF(F286=G286,1,0)</f>
        <v>0</v>
      </c>
      <c r="I286">
        <f>H286*INDEX(Question_Bank!$M$3:$M$14,MATCH(D286,Question_Bank!$A$3:$A$14,0))</f>
        <v>0</v>
      </c>
      <c r="J286">
        <f>SUMIFS($I$3:$I$566,$A$3:$A$566,A286)</f>
        <v>0</v>
      </c>
      <c r="K286" s="5">
        <f>J286/SUM(Question_Bank!$M$3:$M$14)</f>
        <v>0</v>
      </c>
      <c r="L286" s="5">
        <f>SUMIFS($I$3:$I$566,$A$3:$A$566,A286,$E$3:$E$566,E286)/SUMIFS(Question_Bank!$M$3:$M$14,Question_Bank!$B$3:$B$14,E286)</f>
        <v>0</v>
      </c>
      <c r="M286" t="s">
        <v>180</v>
      </c>
    </row>
    <row r="287" spans="1:13">
      <c r="A287" t="s">
        <v>179</v>
      </c>
      <c r="B287" t="s">
        <v>132</v>
      </c>
      <c r="C287" t="s">
        <v>227</v>
      </c>
      <c r="D287" t="s">
        <v>87</v>
      </c>
      <c r="E287" t="s">
        <v>71</v>
      </c>
      <c r="F287" t="s">
        <v>20</v>
      </c>
      <c r="G287">
        <f>INDEX(Question_Bank!$J$3:$J$14,MATCH(D287,Question_Bank!$A$3:$A$14,0))</f>
        <v>0</v>
      </c>
      <c r="H287">
        <f>IF(F287=G287,1,0)</f>
        <v>0</v>
      </c>
      <c r="I287">
        <f>H287*INDEX(Question_Bank!$M$3:$M$14,MATCH(D287,Question_Bank!$A$3:$A$14,0))</f>
        <v>0</v>
      </c>
      <c r="J287">
        <f>SUMIFS($I$3:$I$566,$A$3:$A$566,A287)</f>
        <v>0</v>
      </c>
      <c r="K287" s="5">
        <f>J287/SUM(Question_Bank!$M$3:$M$14)</f>
        <v>0</v>
      </c>
      <c r="L287" s="5">
        <f>SUMIFS($I$3:$I$566,$A$3:$A$566,A287,$E$3:$E$566,E287)/SUMIFS(Question_Bank!$M$3:$M$14,Question_Bank!$B$3:$B$14,E287)</f>
        <v>0</v>
      </c>
      <c r="M287" t="s">
        <v>180</v>
      </c>
    </row>
    <row r="288" spans="1:13">
      <c r="A288" t="s">
        <v>179</v>
      </c>
      <c r="B288" t="s">
        <v>132</v>
      </c>
      <c r="C288" t="s">
        <v>227</v>
      </c>
      <c r="D288" t="s">
        <v>95</v>
      </c>
      <c r="E288" t="s">
        <v>96</v>
      </c>
      <c r="F288" t="s">
        <v>34</v>
      </c>
      <c r="G288">
        <f>INDEX(Question_Bank!$J$3:$J$14,MATCH(D288,Question_Bank!$A$3:$A$14,0))</f>
        <v>0</v>
      </c>
      <c r="H288">
        <f>IF(F288=G288,1,0)</f>
        <v>0</v>
      </c>
      <c r="I288">
        <f>H288*INDEX(Question_Bank!$M$3:$M$14,MATCH(D288,Question_Bank!$A$3:$A$14,0))</f>
        <v>0</v>
      </c>
      <c r="J288">
        <f>SUMIFS($I$3:$I$566,$A$3:$A$566,A288)</f>
        <v>0</v>
      </c>
      <c r="K288" s="5">
        <f>J288/SUM(Question_Bank!$M$3:$M$14)</f>
        <v>0</v>
      </c>
      <c r="L288" s="5">
        <f>SUMIFS($I$3:$I$566,$A$3:$A$566,A288,$E$3:$E$566,E288)/SUMIFS(Question_Bank!$M$3:$M$14,Question_Bank!$B$3:$B$14,E288)</f>
        <v>0</v>
      </c>
      <c r="M288" t="s">
        <v>180</v>
      </c>
    </row>
    <row r="289" spans="1:13">
      <c r="A289" t="s">
        <v>179</v>
      </c>
      <c r="B289" t="s">
        <v>132</v>
      </c>
      <c r="C289" t="s">
        <v>227</v>
      </c>
      <c r="D289" t="s">
        <v>104</v>
      </c>
      <c r="E289" t="s">
        <v>96</v>
      </c>
      <c r="F289" t="s">
        <v>20</v>
      </c>
      <c r="G289">
        <f>INDEX(Question_Bank!$J$3:$J$14,MATCH(D289,Question_Bank!$A$3:$A$14,0))</f>
        <v>0</v>
      </c>
      <c r="H289">
        <f>IF(F289=G289,1,0)</f>
        <v>0</v>
      </c>
      <c r="I289">
        <f>H289*INDEX(Question_Bank!$M$3:$M$14,MATCH(D289,Question_Bank!$A$3:$A$14,0))</f>
        <v>0</v>
      </c>
      <c r="J289">
        <f>SUMIFS($I$3:$I$566,$A$3:$A$566,A289)</f>
        <v>0</v>
      </c>
      <c r="K289" s="5">
        <f>J289/SUM(Question_Bank!$M$3:$M$14)</f>
        <v>0</v>
      </c>
      <c r="L289" s="5">
        <f>SUMIFS($I$3:$I$566,$A$3:$A$566,A289,$E$3:$E$566,E289)/SUMIFS(Question_Bank!$M$3:$M$14,Question_Bank!$B$3:$B$14,E289)</f>
        <v>0</v>
      </c>
      <c r="M289" t="s">
        <v>180</v>
      </c>
    </row>
    <row r="290" spans="1:13">
      <c r="A290" t="s">
        <v>179</v>
      </c>
      <c r="B290" t="s">
        <v>132</v>
      </c>
      <c r="C290" t="s">
        <v>227</v>
      </c>
      <c r="D290" t="s">
        <v>112</v>
      </c>
      <c r="E290" t="s">
        <v>96</v>
      </c>
      <c r="F290" t="s">
        <v>20</v>
      </c>
      <c r="G290">
        <f>INDEX(Question_Bank!$J$3:$J$14,MATCH(D290,Question_Bank!$A$3:$A$14,0))</f>
        <v>0</v>
      </c>
      <c r="H290">
        <f>IF(F290=G290,1,0)</f>
        <v>0</v>
      </c>
      <c r="I290">
        <f>H290*INDEX(Question_Bank!$M$3:$M$14,MATCH(D290,Question_Bank!$A$3:$A$14,0))</f>
        <v>0</v>
      </c>
      <c r="J290">
        <f>SUMIFS($I$3:$I$566,$A$3:$A$566,A290)</f>
        <v>0</v>
      </c>
      <c r="K290" s="5">
        <f>J290/SUM(Question_Bank!$M$3:$M$14)</f>
        <v>0</v>
      </c>
      <c r="L290" s="5">
        <f>SUMIFS($I$3:$I$566,$A$3:$A$566,A290,$E$3:$E$566,E290)/SUMIFS(Question_Bank!$M$3:$M$14,Question_Bank!$B$3:$B$14,E290)</f>
        <v>0</v>
      </c>
      <c r="M290" t="s">
        <v>180</v>
      </c>
    </row>
    <row r="291" spans="1:13">
      <c r="A291" t="s">
        <v>181</v>
      </c>
      <c r="B291" t="s">
        <v>132</v>
      </c>
      <c r="C291" t="s">
        <v>227</v>
      </c>
      <c r="D291" t="s">
        <v>14</v>
      </c>
      <c r="E291" t="s">
        <v>15</v>
      </c>
      <c r="F291" t="s">
        <v>34</v>
      </c>
      <c r="G291">
        <f>INDEX(Question_Bank!$J$3:$J$14,MATCH(D291,Question_Bank!$A$3:$A$14,0))</f>
        <v>0</v>
      </c>
      <c r="H291">
        <f>IF(F291=G291,1,0)</f>
        <v>0</v>
      </c>
      <c r="I291">
        <f>H291*INDEX(Question_Bank!$M$3:$M$14,MATCH(D291,Question_Bank!$A$3:$A$14,0))</f>
        <v>0</v>
      </c>
      <c r="J291">
        <f>SUMIFS($I$3:$I$566,$A$3:$A$566,A291)</f>
        <v>0</v>
      </c>
      <c r="K291" s="5">
        <f>J291/SUM(Question_Bank!$M$3:$M$14)</f>
        <v>0</v>
      </c>
      <c r="L291" s="5">
        <f>SUMIFS($I$3:$I$566,$A$3:$A$566,A291,$E$3:$E$566,E291)/SUMIFS(Question_Bank!$M$3:$M$14,Question_Bank!$B$3:$B$14,E291)</f>
        <v>0</v>
      </c>
      <c r="M291" t="s">
        <v>182</v>
      </c>
    </row>
    <row r="292" spans="1:13">
      <c r="A292" t="s">
        <v>181</v>
      </c>
      <c r="B292" t="s">
        <v>132</v>
      </c>
      <c r="C292" t="s">
        <v>227</v>
      </c>
      <c r="D292" t="s">
        <v>26</v>
      </c>
      <c r="E292" t="s">
        <v>15</v>
      </c>
      <c r="F292" t="s">
        <v>31</v>
      </c>
      <c r="G292">
        <f>INDEX(Question_Bank!$J$3:$J$14,MATCH(D292,Question_Bank!$A$3:$A$14,0))</f>
        <v>0</v>
      </c>
      <c r="H292">
        <f>IF(F292=G292,1,0)</f>
        <v>0</v>
      </c>
      <c r="I292">
        <f>H292*INDEX(Question_Bank!$M$3:$M$14,MATCH(D292,Question_Bank!$A$3:$A$14,0))</f>
        <v>0</v>
      </c>
      <c r="J292">
        <f>SUMIFS($I$3:$I$566,$A$3:$A$566,A292)</f>
        <v>0</v>
      </c>
      <c r="K292" s="5">
        <f>J292/SUM(Question_Bank!$M$3:$M$14)</f>
        <v>0</v>
      </c>
      <c r="L292" s="5">
        <f>SUMIFS($I$3:$I$566,$A$3:$A$566,A292,$E$3:$E$566,E292)/SUMIFS(Question_Bank!$M$3:$M$14,Question_Bank!$B$3:$B$14,E292)</f>
        <v>0</v>
      </c>
      <c r="M292" t="s">
        <v>182</v>
      </c>
    </row>
    <row r="293" spans="1:13">
      <c r="A293" t="s">
        <v>181</v>
      </c>
      <c r="B293" t="s">
        <v>132</v>
      </c>
      <c r="C293" t="s">
        <v>227</v>
      </c>
      <c r="D293" t="s">
        <v>37</v>
      </c>
      <c r="E293" t="s">
        <v>15</v>
      </c>
      <c r="F293" t="s">
        <v>34</v>
      </c>
      <c r="G293">
        <f>INDEX(Question_Bank!$J$3:$J$14,MATCH(D293,Question_Bank!$A$3:$A$14,0))</f>
        <v>0</v>
      </c>
      <c r="H293">
        <f>IF(F293=G293,1,0)</f>
        <v>0</v>
      </c>
      <c r="I293">
        <f>H293*INDEX(Question_Bank!$M$3:$M$14,MATCH(D293,Question_Bank!$A$3:$A$14,0))</f>
        <v>0</v>
      </c>
      <c r="J293">
        <f>SUMIFS($I$3:$I$566,$A$3:$A$566,A293)</f>
        <v>0</v>
      </c>
      <c r="K293" s="5">
        <f>J293/SUM(Question_Bank!$M$3:$M$14)</f>
        <v>0</v>
      </c>
      <c r="L293" s="5">
        <f>SUMIFS($I$3:$I$566,$A$3:$A$566,A293,$E$3:$E$566,E293)/SUMIFS(Question_Bank!$M$3:$M$14,Question_Bank!$B$3:$B$14,E293)</f>
        <v>0</v>
      </c>
      <c r="M293" t="s">
        <v>182</v>
      </c>
    </row>
    <row r="294" spans="1:13">
      <c r="A294" t="s">
        <v>181</v>
      </c>
      <c r="B294" t="s">
        <v>132</v>
      </c>
      <c r="C294" t="s">
        <v>227</v>
      </c>
      <c r="D294" t="s">
        <v>45</v>
      </c>
      <c r="E294" t="s">
        <v>46</v>
      </c>
      <c r="F294" t="s">
        <v>31</v>
      </c>
      <c r="G294">
        <f>INDEX(Question_Bank!$J$3:$J$14,MATCH(D294,Question_Bank!$A$3:$A$14,0))</f>
        <v>0</v>
      </c>
      <c r="H294">
        <f>IF(F294=G294,1,0)</f>
        <v>0</v>
      </c>
      <c r="I294">
        <f>H294*INDEX(Question_Bank!$M$3:$M$14,MATCH(D294,Question_Bank!$A$3:$A$14,0))</f>
        <v>0</v>
      </c>
      <c r="J294">
        <f>SUMIFS($I$3:$I$566,$A$3:$A$566,A294)</f>
        <v>0</v>
      </c>
      <c r="K294" s="5">
        <f>J294/SUM(Question_Bank!$M$3:$M$14)</f>
        <v>0</v>
      </c>
      <c r="L294" s="5">
        <f>SUMIFS($I$3:$I$566,$A$3:$A$566,A294,$E$3:$E$566,E294)/SUMIFS(Question_Bank!$M$3:$M$14,Question_Bank!$B$3:$B$14,E294)</f>
        <v>0</v>
      </c>
      <c r="M294" t="s">
        <v>182</v>
      </c>
    </row>
    <row r="295" spans="1:13">
      <c r="A295" t="s">
        <v>181</v>
      </c>
      <c r="B295" t="s">
        <v>132</v>
      </c>
      <c r="C295" t="s">
        <v>227</v>
      </c>
      <c r="D295" t="s">
        <v>54</v>
      </c>
      <c r="E295" t="s">
        <v>46</v>
      </c>
      <c r="F295" t="s">
        <v>23</v>
      </c>
      <c r="G295">
        <f>INDEX(Question_Bank!$J$3:$J$14,MATCH(D295,Question_Bank!$A$3:$A$14,0))</f>
        <v>0</v>
      </c>
      <c r="H295">
        <f>IF(F295=G295,1,0)</f>
        <v>0</v>
      </c>
      <c r="I295">
        <f>H295*INDEX(Question_Bank!$M$3:$M$14,MATCH(D295,Question_Bank!$A$3:$A$14,0))</f>
        <v>0</v>
      </c>
      <c r="J295">
        <f>SUMIFS($I$3:$I$566,$A$3:$A$566,A295)</f>
        <v>0</v>
      </c>
      <c r="K295" s="5">
        <f>J295/SUM(Question_Bank!$M$3:$M$14)</f>
        <v>0</v>
      </c>
      <c r="L295" s="5">
        <f>SUMIFS($I$3:$I$566,$A$3:$A$566,A295,$E$3:$E$566,E295)/SUMIFS(Question_Bank!$M$3:$M$14,Question_Bank!$B$3:$B$14,E295)</f>
        <v>0</v>
      </c>
      <c r="M295" t="s">
        <v>182</v>
      </c>
    </row>
    <row r="296" spans="1:13">
      <c r="A296" t="s">
        <v>181</v>
      </c>
      <c r="B296" t="s">
        <v>132</v>
      </c>
      <c r="C296" t="s">
        <v>227</v>
      </c>
      <c r="D296" t="s">
        <v>62</v>
      </c>
      <c r="E296" t="s">
        <v>46</v>
      </c>
      <c r="F296" t="s">
        <v>34</v>
      </c>
      <c r="G296">
        <f>INDEX(Question_Bank!$J$3:$J$14,MATCH(D296,Question_Bank!$A$3:$A$14,0))</f>
        <v>0</v>
      </c>
      <c r="H296">
        <f>IF(F296=G296,1,0)</f>
        <v>0</v>
      </c>
      <c r="I296">
        <f>H296*INDEX(Question_Bank!$M$3:$M$14,MATCH(D296,Question_Bank!$A$3:$A$14,0))</f>
        <v>0</v>
      </c>
      <c r="J296">
        <f>SUMIFS($I$3:$I$566,$A$3:$A$566,A296)</f>
        <v>0</v>
      </c>
      <c r="K296" s="5">
        <f>J296/SUM(Question_Bank!$M$3:$M$14)</f>
        <v>0</v>
      </c>
      <c r="L296" s="5">
        <f>SUMIFS($I$3:$I$566,$A$3:$A$566,A296,$E$3:$E$566,E296)/SUMIFS(Question_Bank!$M$3:$M$14,Question_Bank!$B$3:$B$14,E296)</f>
        <v>0</v>
      </c>
      <c r="M296" t="s">
        <v>182</v>
      </c>
    </row>
    <row r="297" spans="1:13">
      <c r="A297" t="s">
        <v>181</v>
      </c>
      <c r="B297" t="s">
        <v>132</v>
      </c>
      <c r="C297" t="s">
        <v>227</v>
      </c>
      <c r="D297" t="s">
        <v>70</v>
      </c>
      <c r="E297" t="s">
        <v>71</v>
      </c>
      <c r="F297" t="s">
        <v>34</v>
      </c>
      <c r="G297">
        <f>INDEX(Question_Bank!$J$3:$J$14,MATCH(D297,Question_Bank!$A$3:$A$14,0))</f>
        <v>0</v>
      </c>
      <c r="H297">
        <f>IF(F297=G297,1,0)</f>
        <v>0</v>
      </c>
      <c r="I297">
        <f>H297*INDEX(Question_Bank!$M$3:$M$14,MATCH(D297,Question_Bank!$A$3:$A$14,0))</f>
        <v>0</v>
      </c>
      <c r="J297">
        <f>SUMIFS($I$3:$I$566,$A$3:$A$566,A297)</f>
        <v>0</v>
      </c>
      <c r="K297" s="5">
        <f>J297/SUM(Question_Bank!$M$3:$M$14)</f>
        <v>0</v>
      </c>
      <c r="L297" s="5">
        <f>SUMIFS($I$3:$I$566,$A$3:$A$566,A297,$E$3:$E$566,E297)/SUMIFS(Question_Bank!$M$3:$M$14,Question_Bank!$B$3:$B$14,E297)</f>
        <v>0</v>
      </c>
      <c r="M297" t="s">
        <v>182</v>
      </c>
    </row>
    <row r="298" spans="1:13">
      <c r="A298" t="s">
        <v>181</v>
      </c>
      <c r="B298" t="s">
        <v>132</v>
      </c>
      <c r="C298" t="s">
        <v>227</v>
      </c>
      <c r="D298" t="s">
        <v>79</v>
      </c>
      <c r="E298" t="s">
        <v>71</v>
      </c>
      <c r="F298" t="s">
        <v>31</v>
      </c>
      <c r="G298">
        <f>INDEX(Question_Bank!$J$3:$J$14,MATCH(D298,Question_Bank!$A$3:$A$14,0))</f>
        <v>0</v>
      </c>
      <c r="H298">
        <f>IF(F298=G298,1,0)</f>
        <v>0</v>
      </c>
      <c r="I298">
        <f>H298*INDEX(Question_Bank!$M$3:$M$14,MATCH(D298,Question_Bank!$A$3:$A$14,0))</f>
        <v>0</v>
      </c>
      <c r="J298">
        <f>SUMIFS($I$3:$I$566,$A$3:$A$566,A298)</f>
        <v>0</v>
      </c>
      <c r="K298" s="5">
        <f>J298/SUM(Question_Bank!$M$3:$M$14)</f>
        <v>0</v>
      </c>
      <c r="L298" s="5">
        <f>SUMIFS($I$3:$I$566,$A$3:$A$566,A298,$E$3:$E$566,E298)/SUMIFS(Question_Bank!$M$3:$M$14,Question_Bank!$B$3:$B$14,E298)</f>
        <v>0</v>
      </c>
      <c r="M298" t="s">
        <v>182</v>
      </c>
    </row>
    <row r="299" spans="1:13">
      <c r="A299" t="s">
        <v>181</v>
      </c>
      <c r="B299" t="s">
        <v>132</v>
      </c>
      <c r="C299" t="s">
        <v>227</v>
      </c>
      <c r="D299" t="s">
        <v>87</v>
      </c>
      <c r="E299" t="s">
        <v>71</v>
      </c>
      <c r="F299" t="s">
        <v>31</v>
      </c>
      <c r="G299">
        <f>INDEX(Question_Bank!$J$3:$J$14,MATCH(D299,Question_Bank!$A$3:$A$14,0))</f>
        <v>0</v>
      </c>
      <c r="H299">
        <f>IF(F299=G299,1,0)</f>
        <v>0</v>
      </c>
      <c r="I299">
        <f>H299*INDEX(Question_Bank!$M$3:$M$14,MATCH(D299,Question_Bank!$A$3:$A$14,0))</f>
        <v>0</v>
      </c>
      <c r="J299">
        <f>SUMIFS($I$3:$I$566,$A$3:$A$566,A299)</f>
        <v>0</v>
      </c>
      <c r="K299" s="5">
        <f>J299/SUM(Question_Bank!$M$3:$M$14)</f>
        <v>0</v>
      </c>
      <c r="L299" s="5">
        <f>SUMIFS($I$3:$I$566,$A$3:$A$566,A299,$E$3:$E$566,E299)/SUMIFS(Question_Bank!$M$3:$M$14,Question_Bank!$B$3:$B$14,E299)</f>
        <v>0</v>
      </c>
      <c r="M299" t="s">
        <v>182</v>
      </c>
    </row>
    <row r="300" spans="1:13">
      <c r="A300" t="s">
        <v>181</v>
      </c>
      <c r="B300" t="s">
        <v>132</v>
      </c>
      <c r="C300" t="s">
        <v>227</v>
      </c>
      <c r="D300" t="s">
        <v>95</v>
      </c>
      <c r="E300" t="s">
        <v>96</v>
      </c>
      <c r="F300" t="s">
        <v>34</v>
      </c>
      <c r="G300">
        <f>INDEX(Question_Bank!$J$3:$J$14,MATCH(D300,Question_Bank!$A$3:$A$14,0))</f>
        <v>0</v>
      </c>
      <c r="H300">
        <f>IF(F300=G300,1,0)</f>
        <v>0</v>
      </c>
      <c r="I300">
        <f>H300*INDEX(Question_Bank!$M$3:$M$14,MATCH(D300,Question_Bank!$A$3:$A$14,0))</f>
        <v>0</v>
      </c>
      <c r="J300">
        <f>SUMIFS($I$3:$I$566,$A$3:$A$566,A300)</f>
        <v>0</v>
      </c>
      <c r="K300" s="5">
        <f>J300/SUM(Question_Bank!$M$3:$M$14)</f>
        <v>0</v>
      </c>
      <c r="L300" s="5">
        <f>SUMIFS($I$3:$I$566,$A$3:$A$566,A300,$E$3:$E$566,E300)/SUMIFS(Question_Bank!$M$3:$M$14,Question_Bank!$B$3:$B$14,E300)</f>
        <v>0</v>
      </c>
      <c r="M300" t="s">
        <v>182</v>
      </c>
    </row>
    <row r="301" spans="1:13">
      <c r="A301" t="s">
        <v>181</v>
      </c>
      <c r="B301" t="s">
        <v>132</v>
      </c>
      <c r="C301" t="s">
        <v>227</v>
      </c>
      <c r="D301" t="s">
        <v>104</v>
      </c>
      <c r="E301" t="s">
        <v>96</v>
      </c>
      <c r="F301" t="s">
        <v>34</v>
      </c>
      <c r="G301">
        <f>INDEX(Question_Bank!$J$3:$J$14,MATCH(D301,Question_Bank!$A$3:$A$14,0))</f>
        <v>0</v>
      </c>
      <c r="H301">
        <f>IF(F301=G301,1,0)</f>
        <v>0</v>
      </c>
      <c r="I301">
        <f>H301*INDEX(Question_Bank!$M$3:$M$14,MATCH(D301,Question_Bank!$A$3:$A$14,0))</f>
        <v>0</v>
      </c>
      <c r="J301">
        <f>SUMIFS($I$3:$I$566,$A$3:$A$566,A301)</f>
        <v>0</v>
      </c>
      <c r="K301" s="5">
        <f>J301/SUM(Question_Bank!$M$3:$M$14)</f>
        <v>0</v>
      </c>
      <c r="L301" s="5">
        <f>SUMIFS($I$3:$I$566,$A$3:$A$566,A301,$E$3:$E$566,E301)/SUMIFS(Question_Bank!$M$3:$M$14,Question_Bank!$B$3:$B$14,E301)</f>
        <v>0</v>
      </c>
      <c r="M301" t="s">
        <v>182</v>
      </c>
    </row>
    <row r="302" spans="1:13">
      <c r="A302" t="s">
        <v>181</v>
      </c>
      <c r="B302" t="s">
        <v>132</v>
      </c>
      <c r="C302" t="s">
        <v>227</v>
      </c>
      <c r="D302" t="s">
        <v>112</v>
      </c>
      <c r="E302" t="s">
        <v>96</v>
      </c>
      <c r="F302" t="s">
        <v>34</v>
      </c>
      <c r="G302">
        <f>INDEX(Question_Bank!$J$3:$J$14,MATCH(D302,Question_Bank!$A$3:$A$14,0))</f>
        <v>0</v>
      </c>
      <c r="H302">
        <f>IF(F302=G302,1,0)</f>
        <v>0</v>
      </c>
      <c r="I302">
        <f>H302*INDEX(Question_Bank!$M$3:$M$14,MATCH(D302,Question_Bank!$A$3:$A$14,0))</f>
        <v>0</v>
      </c>
      <c r="J302">
        <f>SUMIFS($I$3:$I$566,$A$3:$A$566,A302)</f>
        <v>0</v>
      </c>
      <c r="K302" s="5">
        <f>J302/SUM(Question_Bank!$M$3:$M$14)</f>
        <v>0</v>
      </c>
      <c r="L302" s="5">
        <f>SUMIFS($I$3:$I$566,$A$3:$A$566,A302,$E$3:$E$566,E302)/SUMIFS(Question_Bank!$M$3:$M$14,Question_Bank!$B$3:$B$14,E302)</f>
        <v>0</v>
      </c>
      <c r="M302" t="s">
        <v>182</v>
      </c>
    </row>
    <row r="303" spans="1:13">
      <c r="A303" t="s">
        <v>183</v>
      </c>
      <c r="B303" t="s">
        <v>132</v>
      </c>
      <c r="C303" t="s">
        <v>227</v>
      </c>
      <c r="D303" t="s">
        <v>14</v>
      </c>
      <c r="E303" t="s">
        <v>15</v>
      </c>
      <c r="F303" t="s">
        <v>34</v>
      </c>
      <c r="G303">
        <f>INDEX(Question_Bank!$J$3:$J$14,MATCH(D303,Question_Bank!$A$3:$A$14,0))</f>
        <v>0</v>
      </c>
      <c r="H303">
        <f>IF(F303=G303,1,0)</f>
        <v>0</v>
      </c>
      <c r="I303">
        <f>H303*INDEX(Question_Bank!$M$3:$M$14,MATCH(D303,Question_Bank!$A$3:$A$14,0))</f>
        <v>0</v>
      </c>
      <c r="J303">
        <f>SUMIFS($I$3:$I$566,$A$3:$A$566,A303)</f>
        <v>0</v>
      </c>
      <c r="K303" s="5">
        <f>J303/SUM(Question_Bank!$M$3:$M$14)</f>
        <v>0</v>
      </c>
      <c r="L303" s="5">
        <f>SUMIFS($I$3:$I$566,$A$3:$A$566,A303,$E$3:$E$566,E303)/SUMIFS(Question_Bank!$M$3:$M$14,Question_Bank!$B$3:$B$14,E303)</f>
        <v>0</v>
      </c>
      <c r="M303" t="s">
        <v>184</v>
      </c>
    </row>
    <row r="304" spans="1:13">
      <c r="A304" t="s">
        <v>183</v>
      </c>
      <c r="B304" t="s">
        <v>132</v>
      </c>
      <c r="C304" t="s">
        <v>227</v>
      </c>
      <c r="D304" t="s">
        <v>26</v>
      </c>
      <c r="E304" t="s">
        <v>15</v>
      </c>
      <c r="F304" t="s">
        <v>23</v>
      </c>
      <c r="G304">
        <f>INDEX(Question_Bank!$J$3:$J$14,MATCH(D304,Question_Bank!$A$3:$A$14,0))</f>
        <v>0</v>
      </c>
      <c r="H304">
        <f>IF(F304=G304,1,0)</f>
        <v>0</v>
      </c>
      <c r="I304">
        <f>H304*INDEX(Question_Bank!$M$3:$M$14,MATCH(D304,Question_Bank!$A$3:$A$14,0))</f>
        <v>0</v>
      </c>
      <c r="J304">
        <f>SUMIFS($I$3:$I$566,$A$3:$A$566,A304)</f>
        <v>0</v>
      </c>
      <c r="K304" s="5">
        <f>J304/SUM(Question_Bank!$M$3:$M$14)</f>
        <v>0</v>
      </c>
      <c r="L304" s="5">
        <f>SUMIFS($I$3:$I$566,$A$3:$A$566,A304,$E$3:$E$566,E304)/SUMIFS(Question_Bank!$M$3:$M$14,Question_Bank!$B$3:$B$14,E304)</f>
        <v>0</v>
      </c>
      <c r="M304" t="s">
        <v>184</v>
      </c>
    </row>
    <row r="305" spans="1:13">
      <c r="A305" t="s">
        <v>183</v>
      </c>
      <c r="B305" t="s">
        <v>132</v>
      </c>
      <c r="C305" t="s">
        <v>227</v>
      </c>
      <c r="D305" t="s">
        <v>37</v>
      </c>
      <c r="E305" t="s">
        <v>15</v>
      </c>
      <c r="F305" t="s">
        <v>20</v>
      </c>
      <c r="G305">
        <f>INDEX(Question_Bank!$J$3:$J$14,MATCH(D305,Question_Bank!$A$3:$A$14,0))</f>
        <v>0</v>
      </c>
      <c r="H305">
        <f>IF(F305=G305,1,0)</f>
        <v>0</v>
      </c>
      <c r="I305">
        <f>H305*INDEX(Question_Bank!$M$3:$M$14,MATCH(D305,Question_Bank!$A$3:$A$14,0))</f>
        <v>0</v>
      </c>
      <c r="J305">
        <f>SUMIFS($I$3:$I$566,$A$3:$A$566,A305)</f>
        <v>0</v>
      </c>
      <c r="K305" s="5">
        <f>J305/SUM(Question_Bank!$M$3:$M$14)</f>
        <v>0</v>
      </c>
      <c r="L305" s="5">
        <f>SUMIFS($I$3:$I$566,$A$3:$A$566,A305,$E$3:$E$566,E305)/SUMIFS(Question_Bank!$M$3:$M$14,Question_Bank!$B$3:$B$14,E305)</f>
        <v>0</v>
      </c>
      <c r="M305" t="s">
        <v>184</v>
      </c>
    </row>
    <row r="306" spans="1:13">
      <c r="A306" t="s">
        <v>183</v>
      </c>
      <c r="B306" t="s">
        <v>132</v>
      </c>
      <c r="C306" t="s">
        <v>227</v>
      </c>
      <c r="D306" t="s">
        <v>45</v>
      </c>
      <c r="E306" t="s">
        <v>46</v>
      </c>
      <c r="F306" t="s">
        <v>31</v>
      </c>
      <c r="G306">
        <f>INDEX(Question_Bank!$J$3:$J$14,MATCH(D306,Question_Bank!$A$3:$A$14,0))</f>
        <v>0</v>
      </c>
      <c r="H306">
        <f>IF(F306=G306,1,0)</f>
        <v>0</v>
      </c>
      <c r="I306">
        <f>H306*INDEX(Question_Bank!$M$3:$M$14,MATCH(D306,Question_Bank!$A$3:$A$14,0))</f>
        <v>0</v>
      </c>
      <c r="J306">
        <f>SUMIFS($I$3:$I$566,$A$3:$A$566,A306)</f>
        <v>0</v>
      </c>
      <c r="K306" s="5">
        <f>J306/SUM(Question_Bank!$M$3:$M$14)</f>
        <v>0</v>
      </c>
      <c r="L306" s="5">
        <f>SUMIFS($I$3:$I$566,$A$3:$A$566,A306,$E$3:$E$566,E306)/SUMIFS(Question_Bank!$M$3:$M$14,Question_Bank!$B$3:$B$14,E306)</f>
        <v>0</v>
      </c>
      <c r="M306" t="s">
        <v>184</v>
      </c>
    </row>
    <row r="307" spans="1:13">
      <c r="A307" t="s">
        <v>183</v>
      </c>
      <c r="B307" t="s">
        <v>132</v>
      </c>
      <c r="C307" t="s">
        <v>227</v>
      </c>
      <c r="D307" t="s">
        <v>54</v>
      </c>
      <c r="E307" t="s">
        <v>46</v>
      </c>
      <c r="F307" t="s">
        <v>23</v>
      </c>
      <c r="G307">
        <f>INDEX(Question_Bank!$J$3:$J$14,MATCH(D307,Question_Bank!$A$3:$A$14,0))</f>
        <v>0</v>
      </c>
      <c r="H307">
        <f>IF(F307=G307,1,0)</f>
        <v>0</v>
      </c>
      <c r="I307">
        <f>H307*INDEX(Question_Bank!$M$3:$M$14,MATCH(D307,Question_Bank!$A$3:$A$14,0))</f>
        <v>0</v>
      </c>
      <c r="J307">
        <f>SUMIFS($I$3:$I$566,$A$3:$A$566,A307)</f>
        <v>0</v>
      </c>
      <c r="K307" s="5">
        <f>J307/SUM(Question_Bank!$M$3:$M$14)</f>
        <v>0</v>
      </c>
      <c r="L307" s="5">
        <f>SUMIFS($I$3:$I$566,$A$3:$A$566,A307,$E$3:$E$566,E307)/SUMIFS(Question_Bank!$M$3:$M$14,Question_Bank!$B$3:$B$14,E307)</f>
        <v>0</v>
      </c>
      <c r="M307" t="s">
        <v>184</v>
      </c>
    </row>
    <row r="308" spans="1:13">
      <c r="A308" t="s">
        <v>183</v>
      </c>
      <c r="B308" t="s">
        <v>132</v>
      </c>
      <c r="C308" t="s">
        <v>227</v>
      </c>
      <c r="D308" t="s">
        <v>62</v>
      </c>
      <c r="E308" t="s">
        <v>46</v>
      </c>
      <c r="F308" t="s">
        <v>34</v>
      </c>
      <c r="G308">
        <f>INDEX(Question_Bank!$J$3:$J$14,MATCH(D308,Question_Bank!$A$3:$A$14,0))</f>
        <v>0</v>
      </c>
      <c r="H308">
        <f>IF(F308=G308,1,0)</f>
        <v>0</v>
      </c>
      <c r="I308">
        <f>H308*INDEX(Question_Bank!$M$3:$M$14,MATCH(D308,Question_Bank!$A$3:$A$14,0))</f>
        <v>0</v>
      </c>
      <c r="J308">
        <f>SUMIFS($I$3:$I$566,$A$3:$A$566,A308)</f>
        <v>0</v>
      </c>
      <c r="K308" s="5">
        <f>J308/SUM(Question_Bank!$M$3:$M$14)</f>
        <v>0</v>
      </c>
      <c r="L308" s="5">
        <f>SUMIFS($I$3:$I$566,$A$3:$A$566,A308,$E$3:$E$566,E308)/SUMIFS(Question_Bank!$M$3:$M$14,Question_Bank!$B$3:$B$14,E308)</f>
        <v>0</v>
      </c>
      <c r="M308" t="s">
        <v>184</v>
      </c>
    </row>
    <row r="309" spans="1:13">
      <c r="A309" t="s">
        <v>183</v>
      </c>
      <c r="B309" t="s">
        <v>132</v>
      </c>
      <c r="C309" t="s">
        <v>227</v>
      </c>
      <c r="D309" t="s">
        <v>70</v>
      </c>
      <c r="E309" t="s">
        <v>71</v>
      </c>
      <c r="F309" t="s">
        <v>20</v>
      </c>
      <c r="G309">
        <f>INDEX(Question_Bank!$J$3:$J$14,MATCH(D309,Question_Bank!$A$3:$A$14,0))</f>
        <v>0</v>
      </c>
      <c r="H309">
        <f>IF(F309=G309,1,0)</f>
        <v>0</v>
      </c>
      <c r="I309">
        <f>H309*INDEX(Question_Bank!$M$3:$M$14,MATCH(D309,Question_Bank!$A$3:$A$14,0))</f>
        <v>0</v>
      </c>
      <c r="J309">
        <f>SUMIFS($I$3:$I$566,$A$3:$A$566,A309)</f>
        <v>0</v>
      </c>
      <c r="K309" s="5">
        <f>J309/SUM(Question_Bank!$M$3:$M$14)</f>
        <v>0</v>
      </c>
      <c r="L309" s="5">
        <f>SUMIFS($I$3:$I$566,$A$3:$A$566,A309,$E$3:$E$566,E309)/SUMIFS(Question_Bank!$M$3:$M$14,Question_Bank!$B$3:$B$14,E309)</f>
        <v>0</v>
      </c>
      <c r="M309" t="s">
        <v>184</v>
      </c>
    </row>
    <row r="310" spans="1:13">
      <c r="A310" t="s">
        <v>183</v>
      </c>
      <c r="B310" t="s">
        <v>132</v>
      </c>
      <c r="C310" t="s">
        <v>227</v>
      </c>
      <c r="D310" t="s">
        <v>79</v>
      </c>
      <c r="E310" t="s">
        <v>71</v>
      </c>
      <c r="F310" t="s">
        <v>34</v>
      </c>
      <c r="G310">
        <f>INDEX(Question_Bank!$J$3:$J$14,MATCH(D310,Question_Bank!$A$3:$A$14,0))</f>
        <v>0</v>
      </c>
      <c r="H310">
        <f>IF(F310=G310,1,0)</f>
        <v>0</v>
      </c>
      <c r="I310">
        <f>H310*INDEX(Question_Bank!$M$3:$M$14,MATCH(D310,Question_Bank!$A$3:$A$14,0))</f>
        <v>0</v>
      </c>
      <c r="J310">
        <f>SUMIFS($I$3:$I$566,$A$3:$A$566,A310)</f>
        <v>0</v>
      </c>
      <c r="K310" s="5">
        <f>J310/SUM(Question_Bank!$M$3:$M$14)</f>
        <v>0</v>
      </c>
      <c r="L310" s="5">
        <f>SUMIFS($I$3:$I$566,$A$3:$A$566,A310,$E$3:$E$566,E310)/SUMIFS(Question_Bank!$M$3:$M$14,Question_Bank!$B$3:$B$14,E310)</f>
        <v>0</v>
      </c>
      <c r="M310" t="s">
        <v>184</v>
      </c>
    </row>
    <row r="311" spans="1:13">
      <c r="A311" t="s">
        <v>183</v>
      </c>
      <c r="B311" t="s">
        <v>132</v>
      </c>
      <c r="C311" t="s">
        <v>227</v>
      </c>
      <c r="D311" t="s">
        <v>87</v>
      </c>
      <c r="E311" t="s">
        <v>71</v>
      </c>
      <c r="F311" t="s">
        <v>23</v>
      </c>
      <c r="G311">
        <f>INDEX(Question_Bank!$J$3:$J$14,MATCH(D311,Question_Bank!$A$3:$A$14,0))</f>
        <v>0</v>
      </c>
      <c r="H311">
        <f>IF(F311=G311,1,0)</f>
        <v>0</v>
      </c>
      <c r="I311">
        <f>H311*INDEX(Question_Bank!$M$3:$M$14,MATCH(D311,Question_Bank!$A$3:$A$14,0))</f>
        <v>0</v>
      </c>
      <c r="J311">
        <f>SUMIFS($I$3:$I$566,$A$3:$A$566,A311)</f>
        <v>0</v>
      </c>
      <c r="K311" s="5">
        <f>J311/SUM(Question_Bank!$M$3:$M$14)</f>
        <v>0</v>
      </c>
      <c r="L311" s="5">
        <f>SUMIFS($I$3:$I$566,$A$3:$A$566,A311,$E$3:$E$566,E311)/SUMIFS(Question_Bank!$M$3:$M$14,Question_Bank!$B$3:$B$14,E311)</f>
        <v>0</v>
      </c>
      <c r="M311" t="s">
        <v>184</v>
      </c>
    </row>
    <row r="312" spans="1:13">
      <c r="A312" t="s">
        <v>183</v>
      </c>
      <c r="B312" t="s">
        <v>132</v>
      </c>
      <c r="C312" t="s">
        <v>227</v>
      </c>
      <c r="D312" t="s">
        <v>95</v>
      </c>
      <c r="E312" t="s">
        <v>96</v>
      </c>
      <c r="F312" t="s">
        <v>31</v>
      </c>
      <c r="G312">
        <f>INDEX(Question_Bank!$J$3:$J$14,MATCH(D312,Question_Bank!$A$3:$A$14,0))</f>
        <v>0</v>
      </c>
      <c r="H312">
        <f>IF(F312=G312,1,0)</f>
        <v>0</v>
      </c>
      <c r="I312">
        <f>H312*INDEX(Question_Bank!$M$3:$M$14,MATCH(D312,Question_Bank!$A$3:$A$14,0))</f>
        <v>0</v>
      </c>
      <c r="J312">
        <f>SUMIFS($I$3:$I$566,$A$3:$A$566,A312)</f>
        <v>0</v>
      </c>
      <c r="K312" s="5">
        <f>J312/SUM(Question_Bank!$M$3:$M$14)</f>
        <v>0</v>
      </c>
      <c r="L312" s="5">
        <f>SUMIFS($I$3:$I$566,$A$3:$A$566,A312,$E$3:$E$566,E312)/SUMIFS(Question_Bank!$M$3:$M$14,Question_Bank!$B$3:$B$14,E312)</f>
        <v>0</v>
      </c>
      <c r="M312" t="s">
        <v>184</v>
      </c>
    </row>
    <row r="313" spans="1:13">
      <c r="A313" t="s">
        <v>183</v>
      </c>
      <c r="B313" t="s">
        <v>132</v>
      </c>
      <c r="C313" t="s">
        <v>227</v>
      </c>
      <c r="D313" t="s">
        <v>104</v>
      </c>
      <c r="E313" t="s">
        <v>96</v>
      </c>
      <c r="F313" t="s">
        <v>20</v>
      </c>
      <c r="G313">
        <f>INDEX(Question_Bank!$J$3:$J$14,MATCH(D313,Question_Bank!$A$3:$A$14,0))</f>
        <v>0</v>
      </c>
      <c r="H313">
        <f>IF(F313=G313,1,0)</f>
        <v>0</v>
      </c>
      <c r="I313">
        <f>H313*INDEX(Question_Bank!$M$3:$M$14,MATCH(D313,Question_Bank!$A$3:$A$14,0))</f>
        <v>0</v>
      </c>
      <c r="J313">
        <f>SUMIFS($I$3:$I$566,$A$3:$A$566,A313)</f>
        <v>0</v>
      </c>
      <c r="K313" s="5">
        <f>J313/SUM(Question_Bank!$M$3:$M$14)</f>
        <v>0</v>
      </c>
      <c r="L313" s="5">
        <f>SUMIFS($I$3:$I$566,$A$3:$A$566,A313,$E$3:$E$566,E313)/SUMIFS(Question_Bank!$M$3:$M$14,Question_Bank!$B$3:$B$14,E313)</f>
        <v>0</v>
      </c>
      <c r="M313" t="s">
        <v>184</v>
      </c>
    </row>
    <row r="314" spans="1:13">
      <c r="A314" t="s">
        <v>183</v>
      </c>
      <c r="B314" t="s">
        <v>132</v>
      </c>
      <c r="C314" t="s">
        <v>227</v>
      </c>
      <c r="D314" t="s">
        <v>112</v>
      </c>
      <c r="E314" t="s">
        <v>96</v>
      </c>
      <c r="F314" t="s">
        <v>31</v>
      </c>
      <c r="G314">
        <f>INDEX(Question_Bank!$J$3:$J$14,MATCH(D314,Question_Bank!$A$3:$A$14,0))</f>
        <v>0</v>
      </c>
      <c r="H314">
        <f>IF(F314=G314,1,0)</f>
        <v>0</v>
      </c>
      <c r="I314">
        <f>H314*INDEX(Question_Bank!$M$3:$M$14,MATCH(D314,Question_Bank!$A$3:$A$14,0))</f>
        <v>0</v>
      </c>
      <c r="J314">
        <f>SUMIFS($I$3:$I$566,$A$3:$A$566,A314)</f>
        <v>0</v>
      </c>
      <c r="K314" s="5">
        <f>J314/SUM(Question_Bank!$M$3:$M$14)</f>
        <v>0</v>
      </c>
      <c r="L314" s="5">
        <f>SUMIFS($I$3:$I$566,$A$3:$A$566,A314,$E$3:$E$566,E314)/SUMIFS(Question_Bank!$M$3:$M$14,Question_Bank!$B$3:$B$14,E314)</f>
        <v>0</v>
      </c>
      <c r="M314" t="s">
        <v>184</v>
      </c>
    </row>
    <row r="315" spans="1:13">
      <c r="A315" t="s">
        <v>185</v>
      </c>
      <c r="B315" t="s">
        <v>132</v>
      </c>
      <c r="C315" t="s">
        <v>227</v>
      </c>
      <c r="D315" t="s">
        <v>14</v>
      </c>
      <c r="E315" t="s">
        <v>15</v>
      </c>
      <c r="F315" t="s">
        <v>23</v>
      </c>
      <c r="G315">
        <f>INDEX(Question_Bank!$J$3:$J$14,MATCH(D315,Question_Bank!$A$3:$A$14,0))</f>
        <v>0</v>
      </c>
      <c r="H315">
        <f>IF(F315=G315,1,0)</f>
        <v>0</v>
      </c>
      <c r="I315">
        <f>H315*INDEX(Question_Bank!$M$3:$M$14,MATCH(D315,Question_Bank!$A$3:$A$14,0))</f>
        <v>0</v>
      </c>
      <c r="J315">
        <f>SUMIFS($I$3:$I$566,$A$3:$A$566,A315)</f>
        <v>0</v>
      </c>
      <c r="K315" s="5">
        <f>J315/SUM(Question_Bank!$M$3:$M$14)</f>
        <v>0</v>
      </c>
      <c r="L315" s="5">
        <f>SUMIFS($I$3:$I$566,$A$3:$A$566,A315,$E$3:$E$566,E315)/SUMIFS(Question_Bank!$M$3:$M$14,Question_Bank!$B$3:$B$14,E315)</f>
        <v>0</v>
      </c>
      <c r="M315" t="s">
        <v>186</v>
      </c>
    </row>
    <row r="316" spans="1:13">
      <c r="A316" t="s">
        <v>185</v>
      </c>
      <c r="B316" t="s">
        <v>132</v>
      </c>
      <c r="C316" t="s">
        <v>227</v>
      </c>
      <c r="D316" t="s">
        <v>26</v>
      </c>
      <c r="E316" t="s">
        <v>15</v>
      </c>
      <c r="F316" t="s">
        <v>34</v>
      </c>
      <c r="G316">
        <f>INDEX(Question_Bank!$J$3:$J$14,MATCH(D316,Question_Bank!$A$3:$A$14,0))</f>
        <v>0</v>
      </c>
      <c r="H316">
        <f>IF(F316=G316,1,0)</f>
        <v>0</v>
      </c>
      <c r="I316">
        <f>H316*INDEX(Question_Bank!$M$3:$M$14,MATCH(D316,Question_Bank!$A$3:$A$14,0))</f>
        <v>0</v>
      </c>
      <c r="J316">
        <f>SUMIFS($I$3:$I$566,$A$3:$A$566,A316)</f>
        <v>0</v>
      </c>
      <c r="K316" s="5">
        <f>J316/SUM(Question_Bank!$M$3:$M$14)</f>
        <v>0</v>
      </c>
      <c r="L316" s="5">
        <f>SUMIFS($I$3:$I$566,$A$3:$A$566,A316,$E$3:$E$566,E316)/SUMIFS(Question_Bank!$M$3:$M$14,Question_Bank!$B$3:$B$14,E316)</f>
        <v>0</v>
      </c>
      <c r="M316" t="s">
        <v>186</v>
      </c>
    </row>
    <row r="317" spans="1:13">
      <c r="A317" t="s">
        <v>185</v>
      </c>
      <c r="B317" t="s">
        <v>132</v>
      </c>
      <c r="C317" t="s">
        <v>227</v>
      </c>
      <c r="D317" t="s">
        <v>37</v>
      </c>
      <c r="E317" t="s">
        <v>15</v>
      </c>
      <c r="F317" t="s">
        <v>20</v>
      </c>
      <c r="G317">
        <f>INDEX(Question_Bank!$J$3:$J$14,MATCH(D317,Question_Bank!$A$3:$A$14,0))</f>
        <v>0</v>
      </c>
      <c r="H317">
        <f>IF(F317=G317,1,0)</f>
        <v>0</v>
      </c>
      <c r="I317">
        <f>H317*INDEX(Question_Bank!$M$3:$M$14,MATCH(D317,Question_Bank!$A$3:$A$14,0))</f>
        <v>0</v>
      </c>
      <c r="J317">
        <f>SUMIFS($I$3:$I$566,$A$3:$A$566,A317)</f>
        <v>0</v>
      </c>
      <c r="K317" s="5">
        <f>J317/SUM(Question_Bank!$M$3:$M$14)</f>
        <v>0</v>
      </c>
      <c r="L317" s="5">
        <f>SUMIFS($I$3:$I$566,$A$3:$A$566,A317,$E$3:$E$566,E317)/SUMIFS(Question_Bank!$M$3:$M$14,Question_Bank!$B$3:$B$14,E317)</f>
        <v>0</v>
      </c>
      <c r="M317" t="s">
        <v>186</v>
      </c>
    </row>
    <row r="318" spans="1:13">
      <c r="A318" t="s">
        <v>185</v>
      </c>
      <c r="B318" t="s">
        <v>132</v>
      </c>
      <c r="C318" t="s">
        <v>227</v>
      </c>
      <c r="D318" t="s">
        <v>45</v>
      </c>
      <c r="E318" t="s">
        <v>46</v>
      </c>
      <c r="F318" t="s">
        <v>31</v>
      </c>
      <c r="G318">
        <f>INDEX(Question_Bank!$J$3:$J$14,MATCH(D318,Question_Bank!$A$3:$A$14,0))</f>
        <v>0</v>
      </c>
      <c r="H318">
        <f>IF(F318=G318,1,0)</f>
        <v>0</v>
      </c>
      <c r="I318">
        <f>H318*INDEX(Question_Bank!$M$3:$M$14,MATCH(D318,Question_Bank!$A$3:$A$14,0))</f>
        <v>0</v>
      </c>
      <c r="J318">
        <f>SUMIFS($I$3:$I$566,$A$3:$A$566,A318)</f>
        <v>0</v>
      </c>
      <c r="K318" s="5">
        <f>J318/SUM(Question_Bank!$M$3:$M$14)</f>
        <v>0</v>
      </c>
      <c r="L318" s="5">
        <f>SUMIFS($I$3:$I$566,$A$3:$A$566,A318,$E$3:$E$566,E318)/SUMIFS(Question_Bank!$M$3:$M$14,Question_Bank!$B$3:$B$14,E318)</f>
        <v>0</v>
      </c>
      <c r="M318" t="s">
        <v>186</v>
      </c>
    </row>
    <row r="319" spans="1:13">
      <c r="A319" t="s">
        <v>185</v>
      </c>
      <c r="B319" t="s">
        <v>132</v>
      </c>
      <c r="C319" t="s">
        <v>227</v>
      </c>
      <c r="D319" t="s">
        <v>54</v>
      </c>
      <c r="E319" t="s">
        <v>46</v>
      </c>
      <c r="F319" t="s">
        <v>23</v>
      </c>
      <c r="G319">
        <f>INDEX(Question_Bank!$J$3:$J$14,MATCH(D319,Question_Bank!$A$3:$A$14,0))</f>
        <v>0</v>
      </c>
      <c r="H319">
        <f>IF(F319=G319,1,0)</f>
        <v>0</v>
      </c>
      <c r="I319">
        <f>H319*INDEX(Question_Bank!$M$3:$M$14,MATCH(D319,Question_Bank!$A$3:$A$14,0))</f>
        <v>0</v>
      </c>
      <c r="J319">
        <f>SUMIFS($I$3:$I$566,$A$3:$A$566,A319)</f>
        <v>0</v>
      </c>
      <c r="K319" s="5">
        <f>J319/SUM(Question_Bank!$M$3:$M$14)</f>
        <v>0</v>
      </c>
      <c r="L319" s="5">
        <f>SUMIFS($I$3:$I$566,$A$3:$A$566,A319,$E$3:$E$566,E319)/SUMIFS(Question_Bank!$M$3:$M$14,Question_Bank!$B$3:$B$14,E319)</f>
        <v>0</v>
      </c>
      <c r="M319" t="s">
        <v>186</v>
      </c>
    </row>
    <row r="320" spans="1:13">
      <c r="A320" t="s">
        <v>185</v>
      </c>
      <c r="B320" t="s">
        <v>132</v>
      </c>
      <c r="C320" t="s">
        <v>227</v>
      </c>
      <c r="D320" t="s">
        <v>62</v>
      </c>
      <c r="E320" t="s">
        <v>46</v>
      </c>
      <c r="F320" t="s">
        <v>34</v>
      </c>
      <c r="G320">
        <f>INDEX(Question_Bank!$J$3:$J$14,MATCH(D320,Question_Bank!$A$3:$A$14,0))</f>
        <v>0</v>
      </c>
      <c r="H320">
        <f>IF(F320=G320,1,0)</f>
        <v>0</v>
      </c>
      <c r="I320">
        <f>H320*INDEX(Question_Bank!$M$3:$M$14,MATCH(D320,Question_Bank!$A$3:$A$14,0))</f>
        <v>0</v>
      </c>
      <c r="J320">
        <f>SUMIFS($I$3:$I$566,$A$3:$A$566,A320)</f>
        <v>0</v>
      </c>
      <c r="K320" s="5">
        <f>J320/SUM(Question_Bank!$M$3:$M$14)</f>
        <v>0</v>
      </c>
      <c r="L320" s="5">
        <f>SUMIFS($I$3:$I$566,$A$3:$A$566,A320,$E$3:$E$566,E320)/SUMIFS(Question_Bank!$M$3:$M$14,Question_Bank!$B$3:$B$14,E320)</f>
        <v>0</v>
      </c>
      <c r="M320" t="s">
        <v>186</v>
      </c>
    </row>
    <row r="321" spans="1:13">
      <c r="A321" t="s">
        <v>185</v>
      </c>
      <c r="B321" t="s">
        <v>132</v>
      </c>
      <c r="C321" t="s">
        <v>227</v>
      </c>
      <c r="D321" t="s">
        <v>70</v>
      </c>
      <c r="E321" t="s">
        <v>71</v>
      </c>
      <c r="F321" t="s">
        <v>20</v>
      </c>
      <c r="G321">
        <f>INDEX(Question_Bank!$J$3:$J$14,MATCH(D321,Question_Bank!$A$3:$A$14,0))</f>
        <v>0</v>
      </c>
      <c r="H321">
        <f>IF(F321=G321,1,0)</f>
        <v>0</v>
      </c>
      <c r="I321">
        <f>H321*INDEX(Question_Bank!$M$3:$M$14,MATCH(D321,Question_Bank!$A$3:$A$14,0))</f>
        <v>0</v>
      </c>
      <c r="J321">
        <f>SUMIFS($I$3:$I$566,$A$3:$A$566,A321)</f>
        <v>0</v>
      </c>
      <c r="K321" s="5">
        <f>J321/SUM(Question_Bank!$M$3:$M$14)</f>
        <v>0</v>
      </c>
      <c r="L321" s="5">
        <f>SUMIFS($I$3:$I$566,$A$3:$A$566,A321,$E$3:$E$566,E321)/SUMIFS(Question_Bank!$M$3:$M$14,Question_Bank!$B$3:$B$14,E321)</f>
        <v>0</v>
      </c>
      <c r="M321" t="s">
        <v>186</v>
      </c>
    </row>
    <row r="322" spans="1:13">
      <c r="A322" t="s">
        <v>185</v>
      </c>
      <c r="B322" t="s">
        <v>132</v>
      </c>
      <c r="C322" t="s">
        <v>227</v>
      </c>
      <c r="D322" t="s">
        <v>79</v>
      </c>
      <c r="E322" t="s">
        <v>71</v>
      </c>
      <c r="F322" t="s">
        <v>23</v>
      </c>
      <c r="G322">
        <f>INDEX(Question_Bank!$J$3:$J$14,MATCH(D322,Question_Bank!$A$3:$A$14,0))</f>
        <v>0</v>
      </c>
      <c r="H322">
        <f>IF(F322=G322,1,0)</f>
        <v>0</v>
      </c>
      <c r="I322">
        <f>H322*INDEX(Question_Bank!$M$3:$M$14,MATCH(D322,Question_Bank!$A$3:$A$14,0))</f>
        <v>0</v>
      </c>
      <c r="J322">
        <f>SUMIFS($I$3:$I$566,$A$3:$A$566,A322)</f>
        <v>0</v>
      </c>
      <c r="K322" s="5">
        <f>J322/SUM(Question_Bank!$M$3:$M$14)</f>
        <v>0</v>
      </c>
      <c r="L322" s="5">
        <f>SUMIFS($I$3:$I$566,$A$3:$A$566,A322,$E$3:$E$566,E322)/SUMIFS(Question_Bank!$M$3:$M$14,Question_Bank!$B$3:$B$14,E322)</f>
        <v>0</v>
      </c>
      <c r="M322" t="s">
        <v>186</v>
      </c>
    </row>
    <row r="323" spans="1:13">
      <c r="A323" t="s">
        <v>185</v>
      </c>
      <c r="B323" t="s">
        <v>132</v>
      </c>
      <c r="C323" t="s">
        <v>227</v>
      </c>
      <c r="D323" t="s">
        <v>87</v>
      </c>
      <c r="E323" t="s">
        <v>71</v>
      </c>
      <c r="F323" t="s">
        <v>23</v>
      </c>
      <c r="G323">
        <f>INDEX(Question_Bank!$J$3:$J$14,MATCH(D323,Question_Bank!$A$3:$A$14,0))</f>
        <v>0</v>
      </c>
      <c r="H323">
        <f>IF(F323=G323,1,0)</f>
        <v>0</v>
      </c>
      <c r="I323">
        <f>H323*INDEX(Question_Bank!$M$3:$M$14,MATCH(D323,Question_Bank!$A$3:$A$14,0))</f>
        <v>0</v>
      </c>
      <c r="J323">
        <f>SUMIFS($I$3:$I$566,$A$3:$A$566,A323)</f>
        <v>0</v>
      </c>
      <c r="K323" s="5">
        <f>J323/SUM(Question_Bank!$M$3:$M$14)</f>
        <v>0</v>
      </c>
      <c r="L323" s="5">
        <f>SUMIFS($I$3:$I$566,$A$3:$A$566,A323,$E$3:$E$566,E323)/SUMIFS(Question_Bank!$M$3:$M$14,Question_Bank!$B$3:$B$14,E323)</f>
        <v>0</v>
      </c>
      <c r="M323" t="s">
        <v>186</v>
      </c>
    </row>
    <row r="324" spans="1:13">
      <c r="A324" t="s">
        <v>185</v>
      </c>
      <c r="B324" t="s">
        <v>132</v>
      </c>
      <c r="C324" t="s">
        <v>227</v>
      </c>
      <c r="D324" t="s">
        <v>95</v>
      </c>
      <c r="E324" t="s">
        <v>96</v>
      </c>
      <c r="F324" t="s">
        <v>34</v>
      </c>
      <c r="G324">
        <f>INDEX(Question_Bank!$J$3:$J$14,MATCH(D324,Question_Bank!$A$3:$A$14,0))</f>
        <v>0</v>
      </c>
      <c r="H324">
        <f>IF(F324=G324,1,0)</f>
        <v>0</v>
      </c>
      <c r="I324">
        <f>H324*INDEX(Question_Bank!$M$3:$M$14,MATCH(D324,Question_Bank!$A$3:$A$14,0))</f>
        <v>0</v>
      </c>
      <c r="J324">
        <f>SUMIFS($I$3:$I$566,$A$3:$A$566,A324)</f>
        <v>0</v>
      </c>
      <c r="K324" s="5">
        <f>J324/SUM(Question_Bank!$M$3:$M$14)</f>
        <v>0</v>
      </c>
      <c r="L324" s="5">
        <f>SUMIFS($I$3:$I$566,$A$3:$A$566,A324,$E$3:$E$566,E324)/SUMIFS(Question_Bank!$M$3:$M$14,Question_Bank!$B$3:$B$14,E324)</f>
        <v>0</v>
      </c>
      <c r="M324" t="s">
        <v>186</v>
      </c>
    </row>
    <row r="325" spans="1:13">
      <c r="A325" t="s">
        <v>185</v>
      </c>
      <c r="B325" t="s">
        <v>132</v>
      </c>
      <c r="C325" t="s">
        <v>227</v>
      </c>
      <c r="D325" t="s">
        <v>104</v>
      </c>
      <c r="E325" t="s">
        <v>96</v>
      </c>
      <c r="F325" t="s">
        <v>20</v>
      </c>
      <c r="G325">
        <f>INDEX(Question_Bank!$J$3:$J$14,MATCH(D325,Question_Bank!$A$3:$A$14,0))</f>
        <v>0</v>
      </c>
      <c r="H325">
        <f>IF(F325=G325,1,0)</f>
        <v>0</v>
      </c>
      <c r="I325">
        <f>H325*INDEX(Question_Bank!$M$3:$M$14,MATCH(D325,Question_Bank!$A$3:$A$14,0))</f>
        <v>0</v>
      </c>
      <c r="J325">
        <f>SUMIFS($I$3:$I$566,$A$3:$A$566,A325)</f>
        <v>0</v>
      </c>
      <c r="K325" s="5">
        <f>J325/SUM(Question_Bank!$M$3:$M$14)</f>
        <v>0</v>
      </c>
      <c r="L325" s="5">
        <f>SUMIFS($I$3:$I$566,$A$3:$A$566,A325,$E$3:$E$566,E325)/SUMIFS(Question_Bank!$M$3:$M$14,Question_Bank!$B$3:$B$14,E325)</f>
        <v>0</v>
      </c>
      <c r="M325" t="s">
        <v>186</v>
      </c>
    </row>
    <row r="326" spans="1:13">
      <c r="A326" t="s">
        <v>185</v>
      </c>
      <c r="B326" t="s">
        <v>132</v>
      </c>
      <c r="C326" t="s">
        <v>227</v>
      </c>
      <c r="D326" t="s">
        <v>112</v>
      </c>
      <c r="E326" t="s">
        <v>96</v>
      </c>
      <c r="F326" t="s">
        <v>31</v>
      </c>
      <c r="G326">
        <f>INDEX(Question_Bank!$J$3:$J$14,MATCH(D326,Question_Bank!$A$3:$A$14,0))</f>
        <v>0</v>
      </c>
      <c r="H326">
        <f>IF(F326=G326,1,0)</f>
        <v>0</v>
      </c>
      <c r="I326">
        <f>H326*INDEX(Question_Bank!$M$3:$M$14,MATCH(D326,Question_Bank!$A$3:$A$14,0))</f>
        <v>0</v>
      </c>
      <c r="J326">
        <f>SUMIFS($I$3:$I$566,$A$3:$A$566,A326)</f>
        <v>0</v>
      </c>
      <c r="K326" s="5">
        <f>J326/SUM(Question_Bank!$M$3:$M$14)</f>
        <v>0</v>
      </c>
      <c r="L326" s="5">
        <f>SUMIFS($I$3:$I$566,$A$3:$A$566,A326,$E$3:$E$566,E326)/SUMIFS(Question_Bank!$M$3:$M$14,Question_Bank!$B$3:$B$14,E326)</f>
        <v>0</v>
      </c>
      <c r="M326" t="s">
        <v>186</v>
      </c>
    </row>
    <row r="327" spans="1:13">
      <c r="A327" t="s">
        <v>187</v>
      </c>
      <c r="B327" t="s">
        <v>132</v>
      </c>
      <c r="C327" t="s">
        <v>227</v>
      </c>
      <c r="D327" t="s">
        <v>14</v>
      </c>
      <c r="E327" t="s">
        <v>15</v>
      </c>
      <c r="F327" t="s">
        <v>31</v>
      </c>
      <c r="G327">
        <f>INDEX(Question_Bank!$J$3:$J$14,MATCH(D327,Question_Bank!$A$3:$A$14,0))</f>
        <v>0</v>
      </c>
      <c r="H327">
        <f>IF(F327=G327,1,0)</f>
        <v>0</v>
      </c>
      <c r="I327">
        <f>H327*INDEX(Question_Bank!$M$3:$M$14,MATCH(D327,Question_Bank!$A$3:$A$14,0))</f>
        <v>0</v>
      </c>
      <c r="J327">
        <f>SUMIFS($I$3:$I$566,$A$3:$A$566,A327)</f>
        <v>0</v>
      </c>
      <c r="K327" s="5">
        <f>J327/SUM(Question_Bank!$M$3:$M$14)</f>
        <v>0</v>
      </c>
      <c r="L327" s="5">
        <f>SUMIFS($I$3:$I$566,$A$3:$A$566,A327,$E$3:$E$566,E327)/SUMIFS(Question_Bank!$M$3:$M$14,Question_Bank!$B$3:$B$14,E327)</f>
        <v>0</v>
      </c>
      <c r="M327" t="s">
        <v>188</v>
      </c>
    </row>
    <row r="328" spans="1:13">
      <c r="A328" t="s">
        <v>187</v>
      </c>
      <c r="B328" t="s">
        <v>132</v>
      </c>
      <c r="C328" t="s">
        <v>227</v>
      </c>
      <c r="D328" t="s">
        <v>26</v>
      </c>
      <c r="E328" t="s">
        <v>15</v>
      </c>
      <c r="F328" t="s">
        <v>23</v>
      </c>
      <c r="G328">
        <f>INDEX(Question_Bank!$J$3:$J$14,MATCH(D328,Question_Bank!$A$3:$A$14,0))</f>
        <v>0</v>
      </c>
      <c r="H328">
        <f>IF(F328=G328,1,0)</f>
        <v>0</v>
      </c>
      <c r="I328">
        <f>H328*INDEX(Question_Bank!$M$3:$M$14,MATCH(D328,Question_Bank!$A$3:$A$14,0))</f>
        <v>0</v>
      </c>
      <c r="J328">
        <f>SUMIFS($I$3:$I$566,$A$3:$A$566,A328)</f>
        <v>0</v>
      </c>
      <c r="K328" s="5">
        <f>J328/SUM(Question_Bank!$M$3:$M$14)</f>
        <v>0</v>
      </c>
      <c r="L328" s="5">
        <f>SUMIFS($I$3:$I$566,$A$3:$A$566,A328,$E$3:$E$566,E328)/SUMIFS(Question_Bank!$M$3:$M$14,Question_Bank!$B$3:$B$14,E328)</f>
        <v>0</v>
      </c>
      <c r="M328" t="s">
        <v>188</v>
      </c>
    </row>
    <row r="329" spans="1:13">
      <c r="A329" t="s">
        <v>187</v>
      </c>
      <c r="B329" t="s">
        <v>132</v>
      </c>
      <c r="C329" t="s">
        <v>227</v>
      </c>
      <c r="D329" t="s">
        <v>37</v>
      </c>
      <c r="E329" t="s">
        <v>15</v>
      </c>
      <c r="F329" t="s">
        <v>34</v>
      </c>
      <c r="G329">
        <f>INDEX(Question_Bank!$J$3:$J$14,MATCH(D329,Question_Bank!$A$3:$A$14,0))</f>
        <v>0</v>
      </c>
      <c r="H329">
        <f>IF(F329=G329,1,0)</f>
        <v>0</v>
      </c>
      <c r="I329">
        <f>H329*INDEX(Question_Bank!$M$3:$M$14,MATCH(D329,Question_Bank!$A$3:$A$14,0))</f>
        <v>0</v>
      </c>
      <c r="J329">
        <f>SUMIFS($I$3:$I$566,$A$3:$A$566,A329)</f>
        <v>0</v>
      </c>
      <c r="K329" s="5">
        <f>J329/SUM(Question_Bank!$M$3:$M$14)</f>
        <v>0</v>
      </c>
      <c r="L329" s="5">
        <f>SUMIFS($I$3:$I$566,$A$3:$A$566,A329,$E$3:$E$566,E329)/SUMIFS(Question_Bank!$M$3:$M$14,Question_Bank!$B$3:$B$14,E329)</f>
        <v>0</v>
      </c>
      <c r="M329" t="s">
        <v>188</v>
      </c>
    </row>
    <row r="330" spans="1:13">
      <c r="A330" t="s">
        <v>187</v>
      </c>
      <c r="B330" t="s">
        <v>132</v>
      </c>
      <c r="C330" t="s">
        <v>227</v>
      </c>
      <c r="D330" t="s">
        <v>45</v>
      </c>
      <c r="E330" t="s">
        <v>46</v>
      </c>
      <c r="F330" t="s">
        <v>34</v>
      </c>
      <c r="G330">
        <f>INDEX(Question_Bank!$J$3:$J$14,MATCH(D330,Question_Bank!$A$3:$A$14,0))</f>
        <v>0</v>
      </c>
      <c r="H330">
        <f>IF(F330=G330,1,0)</f>
        <v>0</v>
      </c>
      <c r="I330">
        <f>H330*INDEX(Question_Bank!$M$3:$M$14,MATCH(D330,Question_Bank!$A$3:$A$14,0))</f>
        <v>0</v>
      </c>
      <c r="J330">
        <f>SUMIFS($I$3:$I$566,$A$3:$A$566,A330)</f>
        <v>0</v>
      </c>
      <c r="K330" s="5">
        <f>J330/SUM(Question_Bank!$M$3:$M$14)</f>
        <v>0</v>
      </c>
      <c r="L330" s="5">
        <f>SUMIFS($I$3:$I$566,$A$3:$A$566,A330,$E$3:$E$566,E330)/SUMIFS(Question_Bank!$M$3:$M$14,Question_Bank!$B$3:$B$14,E330)</f>
        <v>0</v>
      </c>
      <c r="M330" t="s">
        <v>188</v>
      </c>
    </row>
    <row r="331" spans="1:13">
      <c r="A331" t="s">
        <v>187</v>
      </c>
      <c r="B331" t="s">
        <v>132</v>
      </c>
      <c r="C331" t="s">
        <v>227</v>
      </c>
      <c r="D331" t="s">
        <v>54</v>
      </c>
      <c r="E331" t="s">
        <v>46</v>
      </c>
      <c r="F331" t="s">
        <v>34</v>
      </c>
      <c r="G331">
        <f>INDEX(Question_Bank!$J$3:$J$14,MATCH(D331,Question_Bank!$A$3:$A$14,0))</f>
        <v>0</v>
      </c>
      <c r="H331">
        <f>IF(F331=G331,1,0)</f>
        <v>0</v>
      </c>
      <c r="I331">
        <f>H331*INDEX(Question_Bank!$M$3:$M$14,MATCH(D331,Question_Bank!$A$3:$A$14,0))</f>
        <v>0</v>
      </c>
      <c r="J331">
        <f>SUMIFS($I$3:$I$566,$A$3:$A$566,A331)</f>
        <v>0</v>
      </c>
      <c r="K331" s="5">
        <f>J331/SUM(Question_Bank!$M$3:$M$14)</f>
        <v>0</v>
      </c>
      <c r="L331" s="5">
        <f>SUMIFS($I$3:$I$566,$A$3:$A$566,A331,$E$3:$E$566,E331)/SUMIFS(Question_Bank!$M$3:$M$14,Question_Bank!$B$3:$B$14,E331)</f>
        <v>0</v>
      </c>
      <c r="M331" t="s">
        <v>188</v>
      </c>
    </row>
    <row r="332" spans="1:13">
      <c r="A332" t="s">
        <v>187</v>
      </c>
      <c r="B332" t="s">
        <v>132</v>
      </c>
      <c r="C332" t="s">
        <v>227</v>
      </c>
      <c r="D332" t="s">
        <v>62</v>
      </c>
      <c r="E332" t="s">
        <v>46</v>
      </c>
      <c r="F332" t="s">
        <v>23</v>
      </c>
      <c r="G332">
        <f>INDEX(Question_Bank!$J$3:$J$14,MATCH(D332,Question_Bank!$A$3:$A$14,0))</f>
        <v>0</v>
      </c>
      <c r="H332">
        <f>IF(F332=G332,1,0)</f>
        <v>0</v>
      </c>
      <c r="I332">
        <f>H332*INDEX(Question_Bank!$M$3:$M$14,MATCH(D332,Question_Bank!$A$3:$A$14,0))</f>
        <v>0</v>
      </c>
      <c r="J332">
        <f>SUMIFS($I$3:$I$566,$A$3:$A$566,A332)</f>
        <v>0</v>
      </c>
      <c r="K332" s="5">
        <f>J332/SUM(Question_Bank!$M$3:$M$14)</f>
        <v>0</v>
      </c>
      <c r="L332" s="5">
        <f>SUMIFS($I$3:$I$566,$A$3:$A$566,A332,$E$3:$E$566,E332)/SUMIFS(Question_Bank!$M$3:$M$14,Question_Bank!$B$3:$B$14,E332)</f>
        <v>0</v>
      </c>
      <c r="M332" t="s">
        <v>188</v>
      </c>
    </row>
    <row r="333" spans="1:13">
      <c r="A333" t="s">
        <v>187</v>
      </c>
      <c r="B333" t="s">
        <v>132</v>
      </c>
      <c r="C333" t="s">
        <v>227</v>
      </c>
      <c r="D333" t="s">
        <v>70</v>
      </c>
      <c r="E333" t="s">
        <v>71</v>
      </c>
      <c r="F333" t="s">
        <v>20</v>
      </c>
      <c r="G333">
        <f>INDEX(Question_Bank!$J$3:$J$14,MATCH(D333,Question_Bank!$A$3:$A$14,0))</f>
        <v>0</v>
      </c>
      <c r="H333">
        <f>IF(F333=G333,1,0)</f>
        <v>0</v>
      </c>
      <c r="I333">
        <f>H333*INDEX(Question_Bank!$M$3:$M$14,MATCH(D333,Question_Bank!$A$3:$A$14,0))</f>
        <v>0</v>
      </c>
      <c r="J333">
        <f>SUMIFS($I$3:$I$566,$A$3:$A$566,A333)</f>
        <v>0</v>
      </c>
      <c r="K333" s="5">
        <f>J333/SUM(Question_Bank!$M$3:$M$14)</f>
        <v>0</v>
      </c>
      <c r="L333" s="5">
        <f>SUMIFS($I$3:$I$566,$A$3:$A$566,A333,$E$3:$E$566,E333)/SUMIFS(Question_Bank!$M$3:$M$14,Question_Bank!$B$3:$B$14,E333)</f>
        <v>0</v>
      </c>
      <c r="M333" t="s">
        <v>188</v>
      </c>
    </row>
    <row r="334" spans="1:13">
      <c r="A334" t="s">
        <v>187</v>
      </c>
      <c r="B334" t="s">
        <v>132</v>
      </c>
      <c r="C334" t="s">
        <v>227</v>
      </c>
      <c r="D334" t="s">
        <v>79</v>
      </c>
      <c r="E334" t="s">
        <v>71</v>
      </c>
      <c r="F334" t="s">
        <v>23</v>
      </c>
      <c r="G334">
        <f>INDEX(Question_Bank!$J$3:$J$14,MATCH(D334,Question_Bank!$A$3:$A$14,0))</f>
        <v>0</v>
      </c>
      <c r="H334">
        <f>IF(F334=G334,1,0)</f>
        <v>0</v>
      </c>
      <c r="I334">
        <f>H334*INDEX(Question_Bank!$M$3:$M$14,MATCH(D334,Question_Bank!$A$3:$A$14,0))</f>
        <v>0</v>
      </c>
      <c r="J334">
        <f>SUMIFS($I$3:$I$566,$A$3:$A$566,A334)</f>
        <v>0</v>
      </c>
      <c r="K334" s="5">
        <f>J334/SUM(Question_Bank!$M$3:$M$14)</f>
        <v>0</v>
      </c>
      <c r="L334" s="5">
        <f>SUMIFS($I$3:$I$566,$A$3:$A$566,A334,$E$3:$E$566,E334)/SUMIFS(Question_Bank!$M$3:$M$14,Question_Bank!$B$3:$B$14,E334)</f>
        <v>0</v>
      </c>
      <c r="M334" t="s">
        <v>188</v>
      </c>
    </row>
    <row r="335" spans="1:13">
      <c r="A335" t="s">
        <v>187</v>
      </c>
      <c r="B335" t="s">
        <v>132</v>
      </c>
      <c r="C335" t="s">
        <v>227</v>
      </c>
      <c r="D335" t="s">
        <v>87</v>
      </c>
      <c r="E335" t="s">
        <v>71</v>
      </c>
      <c r="F335" t="s">
        <v>31</v>
      </c>
      <c r="G335">
        <f>INDEX(Question_Bank!$J$3:$J$14,MATCH(D335,Question_Bank!$A$3:$A$14,0))</f>
        <v>0</v>
      </c>
      <c r="H335">
        <f>IF(F335=G335,1,0)</f>
        <v>0</v>
      </c>
      <c r="I335">
        <f>H335*INDEX(Question_Bank!$M$3:$M$14,MATCH(D335,Question_Bank!$A$3:$A$14,0))</f>
        <v>0</v>
      </c>
      <c r="J335">
        <f>SUMIFS($I$3:$I$566,$A$3:$A$566,A335)</f>
        <v>0</v>
      </c>
      <c r="K335" s="5">
        <f>J335/SUM(Question_Bank!$M$3:$M$14)</f>
        <v>0</v>
      </c>
      <c r="L335" s="5">
        <f>SUMIFS($I$3:$I$566,$A$3:$A$566,A335,$E$3:$E$566,E335)/SUMIFS(Question_Bank!$M$3:$M$14,Question_Bank!$B$3:$B$14,E335)</f>
        <v>0</v>
      </c>
      <c r="M335" t="s">
        <v>188</v>
      </c>
    </row>
    <row r="336" spans="1:13">
      <c r="A336" t="s">
        <v>187</v>
      </c>
      <c r="B336" t="s">
        <v>132</v>
      </c>
      <c r="C336" t="s">
        <v>227</v>
      </c>
      <c r="D336" t="s">
        <v>95</v>
      </c>
      <c r="E336" t="s">
        <v>96</v>
      </c>
      <c r="F336" t="s">
        <v>34</v>
      </c>
      <c r="G336">
        <f>INDEX(Question_Bank!$J$3:$J$14,MATCH(D336,Question_Bank!$A$3:$A$14,0))</f>
        <v>0</v>
      </c>
      <c r="H336">
        <f>IF(F336=G336,1,0)</f>
        <v>0</v>
      </c>
      <c r="I336">
        <f>H336*INDEX(Question_Bank!$M$3:$M$14,MATCH(D336,Question_Bank!$A$3:$A$14,0))</f>
        <v>0</v>
      </c>
      <c r="J336">
        <f>SUMIFS($I$3:$I$566,$A$3:$A$566,A336)</f>
        <v>0</v>
      </c>
      <c r="K336" s="5">
        <f>J336/SUM(Question_Bank!$M$3:$M$14)</f>
        <v>0</v>
      </c>
      <c r="L336" s="5">
        <f>SUMIFS($I$3:$I$566,$A$3:$A$566,A336,$E$3:$E$566,E336)/SUMIFS(Question_Bank!$M$3:$M$14,Question_Bank!$B$3:$B$14,E336)</f>
        <v>0</v>
      </c>
      <c r="M336" t="s">
        <v>188</v>
      </c>
    </row>
    <row r="337" spans="1:13">
      <c r="A337" t="s">
        <v>187</v>
      </c>
      <c r="B337" t="s">
        <v>132</v>
      </c>
      <c r="C337" t="s">
        <v>227</v>
      </c>
      <c r="D337" t="s">
        <v>104</v>
      </c>
      <c r="E337" t="s">
        <v>96</v>
      </c>
      <c r="F337" t="s">
        <v>23</v>
      </c>
      <c r="G337">
        <f>INDEX(Question_Bank!$J$3:$J$14,MATCH(D337,Question_Bank!$A$3:$A$14,0))</f>
        <v>0</v>
      </c>
      <c r="H337">
        <f>IF(F337=G337,1,0)</f>
        <v>0</v>
      </c>
      <c r="I337">
        <f>H337*INDEX(Question_Bank!$M$3:$M$14,MATCH(D337,Question_Bank!$A$3:$A$14,0))</f>
        <v>0</v>
      </c>
      <c r="J337">
        <f>SUMIFS($I$3:$I$566,$A$3:$A$566,A337)</f>
        <v>0</v>
      </c>
      <c r="K337" s="5">
        <f>J337/SUM(Question_Bank!$M$3:$M$14)</f>
        <v>0</v>
      </c>
      <c r="L337" s="5">
        <f>SUMIFS($I$3:$I$566,$A$3:$A$566,A337,$E$3:$E$566,E337)/SUMIFS(Question_Bank!$M$3:$M$14,Question_Bank!$B$3:$B$14,E337)</f>
        <v>0</v>
      </c>
      <c r="M337" t="s">
        <v>188</v>
      </c>
    </row>
    <row r="338" spans="1:13">
      <c r="A338" t="s">
        <v>187</v>
      </c>
      <c r="B338" t="s">
        <v>132</v>
      </c>
      <c r="C338" t="s">
        <v>227</v>
      </c>
      <c r="D338" t="s">
        <v>112</v>
      </c>
      <c r="E338" t="s">
        <v>96</v>
      </c>
      <c r="F338" t="s">
        <v>31</v>
      </c>
      <c r="G338">
        <f>INDEX(Question_Bank!$J$3:$J$14,MATCH(D338,Question_Bank!$A$3:$A$14,0))</f>
        <v>0</v>
      </c>
      <c r="H338">
        <f>IF(F338=G338,1,0)</f>
        <v>0</v>
      </c>
      <c r="I338">
        <f>H338*INDEX(Question_Bank!$M$3:$M$14,MATCH(D338,Question_Bank!$A$3:$A$14,0))</f>
        <v>0</v>
      </c>
      <c r="J338">
        <f>SUMIFS($I$3:$I$566,$A$3:$A$566,A338)</f>
        <v>0</v>
      </c>
      <c r="K338" s="5">
        <f>J338/SUM(Question_Bank!$M$3:$M$14)</f>
        <v>0</v>
      </c>
      <c r="L338" s="5">
        <f>SUMIFS($I$3:$I$566,$A$3:$A$566,A338,$E$3:$E$566,E338)/SUMIFS(Question_Bank!$M$3:$M$14,Question_Bank!$B$3:$B$14,E338)</f>
        <v>0</v>
      </c>
      <c r="M338" t="s">
        <v>188</v>
      </c>
    </row>
    <row r="339" spans="1:13">
      <c r="A339" t="s">
        <v>189</v>
      </c>
      <c r="B339" t="s">
        <v>132</v>
      </c>
      <c r="C339" t="s">
        <v>227</v>
      </c>
      <c r="D339" t="s">
        <v>14</v>
      </c>
      <c r="E339" t="s">
        <v>15</v>
      </c>
      <c r="F339" t="s">
        <v>23</v>
      </c>
      <c r="G339">
        <f>INDEX(Question_Bank!$J$3:$J$14,MATCH(D339,Question_Bank!$A$3:$A$14,0))</f>
        <v>0</v>
      </c>
      <c r="H339">
        <f>IF(F339=G339,1,0)</f>
        <v>0</v>
      </c>
      <c r="I339">
        <f>H339*INDEX(Question_Bank!$M$3:$M$14,MATCH(D339,Question_Bank!$A$3:$A$14,0))</f>
        <v>0</v>
      </c>
      <c r="J339">
        <f>SUMIFS($I$3:$I$566,$A$3:$A$566,A339)</f>
        <v>0</v>
      </c>
      <c r="K339" s="5">
        <f>J339/SUM(Question_Bank!$M$3:$M$14)</f>
        <v>0</v>
      </c>
      <c r="L339" s="5">
        <f>SUMIFS($I$3:$I$566,$A$3:$A$566,A339,$E$3:$E$566,E339)/SUMIFS(Question_Bank!$M$3:$M$14,Question_Bank!$B$3:$B$14,E339)</f>
        <v>0</v>
      </c>
      <c r="M339" t="s">
        <v>190</v>
      </c>
    </row>
    <row r="340" spans="1:13">
      <c r="A340" t="s">
        <v>189</v>
      </c>
      <c r="B340" t="s">
        <v>132</v>
      </c>
      <c r="C340" t="s">
        <v>227</v>
      </c>
      <c r="D340" t="s">
        <v>26</v>
      </c>
      <c r="E340" t="s">
        <v>15</v>
      </c>
      <c r="F340" t="s">
        <v>34</v>
      </c>
      <c r="G340">
        <f>INDEX(Question_Bank!$J$3:$J$14,MATCH(D340,Question_Bank!$A$3:$A$14,0))</f>
        <v>0</v>
      </c>
      <c r="H340">
        <f>IF(F340=G340,1,0)</f>
        <v>0</v>
      </c>
      <c r="I340">
        <f>H340*INDEX(Question_Bank!$M$3:$M$14,MATCH(D340,Question_Bank!$A$3:$A$14,0))</f>
        <v>0</v>
      </c>
      <c r="J340">
        <f>SUMIFS($I$3:$I$566,$A$3:$A$566,A340)</f>
        <v>0</v>
      </c>
      <c r="K340" s="5">
        <f>J340/SUM(Question_Bank!$M$3:$M$14)</f>
        <v>0</v>
      </c>
      <c r="L340" s="5">
        <f>SUMIFS($I$3:$I$566,$A$3:$A$566,A340,$E$3:$E$566,E340)/SUMIFS(Question_Bank!$M$3:$M$14,Question_Bank!$B$3:$B$14,E340)</f>
        <v>0</v>
      </c>
      <c r="M340" t="s">
        <v>190</v>
      </c>
    </row>
    <row r="341" spans="1:13">
      <c r="A341" t="s">
        <v>189</v>
      </c>
      <c r="B341" t="s">
        <v>132</v>
      </c>
      <c r="C341" t="s">
        <v>227</v>
      </c>
      <c r="D341" t="s">
        <v>37</v>
      </c>
      <c r="E341" t="s">
        <v>15</v>
      </c>
      <c r="F341" t="s">
        <v>20</v>
      </c>
      <c r="G341">
        <f>INDEX(Question_Bank!$J$3:$J$14,MATCH(D341,Question_Bank!$A$3:$A$14,0))</f>
        <v>0</v>
      </c>
      <c r="H341">
        <f>IF(F341=G341,1,0)</f>
        <v>0</v>
      </c>
      <c r="I341">
        <f>H341*INDEX(Question_Bank!$M$3:$M$14,MATCH(D341,Question_Bank!$A$3:$A$14,0))</f>
        <v>0</v>
      </c>
      <c r="J341">
        <f>SUMIFS($I$3:$I$566,$A$3:$A$566,A341)</f>
        <v>0</v>
      </c>
      <c r="K341" s="5">
        <f>J341/SUM(Question_Bank!$M$3:$M$14)</f>
        <v>0</v>
      </c>
      <c r="L341" s="5">
        <f>SUMIFS($I$3:$I$566,$A$3:$A$566,A341,$E$3:$E$566,E341)/SUMIFS(Question_Bank!$M$3:$M$14,Question_Bank!$B$3:$B$14,E341)</f>
        <v>0</v>
      </c>
      <c r="M341" t="s">
        <v>190</v>
      </c>
    </row>
    <row r="342" spans="1:13">
      <c r="A342" t="s">
        <v>189</v>
      </c>
      <c r="B342" t="s">
        <v>132</v>
      </c>
      <c r="C342" t="s">
        <v>227</v>
      </c>
      <c r="D342" t="s">
        <v>45</v>
      </c>
      <c r="E342" t="s">
        <v>46</v>
      </c>
      <c r="F342" t="s">
        <v>31</v>
      </c>
      <c r="G342">
        <f>INDEX(Question_Bank!$J$3:$J$14,MATCH(D342,Question_Bank!$A$3:$A$14,0))</f>
        <v>0</v>
      </c>
      <c r="H342">
        <f>IF(F342=G342,1,0)</f>
        <v>0</v>
      </c>
      <c r="I342">
        <f>H342*INDEX(Question_Bank!$M$3:$M$14,MATCH(D342,Question_Bank!$A$3:$A$14,0))</f>
        <v>0</v>
      </c>
      <c r="J342">
        <f>SUMIFS($I$3:$I$566,$A$3:$A$566,A342)</f>
        <v>0</v>
      </c>
      <c r="K342" s="5">
        <f>J342/SUM(Question_Bank!$M$3:$M$14)</f>
        <v>0</v>
      </c>
      <c r="L342" s="5">
        <f>SUMIFS($I$3:$I$566,$A$3:$A$566,A342,$E$3:$E$566,E342)/SUMIFS(Question_Bank!$M$3:$M$14,Question_Bank!$B$3:$B$14,E342)</f>
        <v>0</v>
      </c>
      <c r="M342" t="s">
        <v>190</v>
      </c>
    </row>
    <row r="343" spans="1:13">
      <c r="A343" t="s">
        <v>189</v>
      </c>
      <c r="B343" t="s">
        <v>132</v>
      </c>
      <c r="C343" t="s">
        <v>227</v>
      </c>
      <c r="D343" t="s">
        <v>54</v>
      </c>
      <c r="E343" t="s">
        <v>46</v>
      </c>
      <c r="F343" t="s">
        <v>23</v>
      </c>
      <c r="G343">
        <f>INDEX(Question_Bank!$J$3:$J$14,MATCH(D343,Question_Bank!$A$3:$A$14,0))</f>
        <v>0</v>
      </c>
      <c r="H343">
        <f>IF(F343=G343,1,0)</f>
        <v>0</v>
      </c>
      <c r="I343">
        <f>H343*INDEX(Question_Bank!$M$3:$M$14,MATCH(D343,Question_Bank!$A$3:$A$14,0))</f>
        <v>0</v>
      </c>
      <c r="J343">
        <f>SUMIFS($I$3:$I$566,$A$3:$A$566,A343)</f>
        <v>0</v>
      </c>
      <c r="K343" s="5">
        <f>J343/SUM(Question_Bank!$M$3:$M$14)</f>
        <v>0</v>
      </c>
      <c r="L343" s="5">
        <f>SUMIFS($I$3:$I$566,$A$3:$A$566,A343,$E$3:$E$566,E343)/SUMIFS(Question_Bank!$M$3:$M$14,Question_Bank!$B$3:$B$14,E343)</f>
        <v>0</v>
      </c>
      <c r="M343" t="s">
        <v>190</v>
      </c>
    </row>
    <row r="344" spans="1:13">
      <c r="A344" t="s">
        <v>189</v>
      </c>
      <c r="B344" t="s">
        <v>132</v>
      </c>
      <c r="C344" t="s">
        <v>227</v>
      </c>
      <c r="D344" t="s">
        <v>62</v>
      </c>
      <c r="E344" t="s">
        <v>46</v>
      </c>
      <c r="F344" t="s">
        <v>34</v>
      </c>
      <c r="G344">
        <f>INDEX(Question_Bank!$J$3:$J$14,MATCH(D344,Question_Bank!$A$3:$A$14,0))</f>
        <v>0</v>
      </c>
      <c r="H344">
        <f>IF(F344=G344,1,0)</f>
        <v>0</v>
      </c>
      <c r="I344">
        <f>H344*INDEX(Question_Bank!$M$3:$M$14,MATCH(D344,Question_Bank!$A$3:$A$14,0))</f>
        <v>0</v>
      </c>
      <c r="J344">
        <f>SUMIFS($I$3:$I$566,$A$3:$A$566,A344)</f>
        <v>0</v>
      </c>
      <c r="K344" s="5">
        <f>J344/SUM(Question_Bank!$M$3:$M$14)</f>
        <v>0</v>
      </c>
      <c r="L344" s="5">
        <f>SUMIFS($I$3:$I$566,$A$3:$A$566,A344,$E$3:$E$566,E344)/SUMIFS(Question_Bank!$M$3:$M$14,Question_Bank!$B$3:$B$14,E344)</f>
        <v>0</v>
      </c>
      <c r="M344" t="s">
        <v>190</v>
      </c>
    </row>
    <row r="345" spans="1:13">
      <c r="A345" t="s">
        <v>189</v>
      </c>
      <c r="B345" t="s">
        <v>132</v>
      </c>
      <c r="C345" t="s">
        <v>227</v>
      </c>
      <c r="D345" t="s">
        <v>70</v>
      </c>
      <c r="E345" t="s">
        <v>71</v>
      </c>
      <c r="F345" t="s">
        <v>20</v>
      </c>
      <c r="G345">
        <f>INDEX(Question_Bank!$J$3:$J$14,MATCH(D345,Question_Bank!$A$3:$A$14,0))</f>
        <v>0</v>
      </c>
      <c r="H345">
        <f>IF(F345=G345,1,0)</f>
        <v>0</v>
      </c>
      <c r="I345">
        <f>H345*INDEX(Question_Bank!$M$3:$M$14,MATCH(D345,Question_Bank!$A$3:$A$14,0))</f>
        <v>0</v>
      </c>
      <c r="J345">
        <f>SUMIFS($I$3:$I$566,$A$3:$A$566,A345)</f>
        <v>0</v>
      </c>
      <c r="K345" s="5">
        <f>J345/SUM(Question_Bank!$M$3:$M$14)</f>
        <v>0</v>
      </c>
      <c r="L345" s="5">
        <f>SUMIFS($I$3:$I$566,$A$3:$A$566,A345,$E$3:$E$566,E345)/SUMIFS(Question_Bank!$M$3:$M$14,Question_Bank!$B$3:$B$14,E345)</f>
        <v>0</v>
      </c>
      <c r="M345" t="s">
        <v>190</v>
      </c>
    </row>
    <row r="346" spans="1:13">
      <c r="A346" t="s">
        <v>189</v>
      </c>
      <c r="B346" t="s">
        <v>132</v>
      </c>
      <c r="C346" t="s">
        <v>227</v>
      </c>
      <c r="D346" t="s">
        <v>79</v>
      </c>
      <c r="E346" t="s">
        <v>71</v>
      </c>
      <c r="F346" t="s">
        <v>31</v>
      </c>
      <c r="G346">
        <f>INDEX(Question_Bank!$J$3:$J$14,MATCH(D346,Question_Bank!$A$3:$A$14,0))</f>
        <v>0</v>
      </c>
      <c r="H346">
        <f>IF(F346=G346,1,0)</f>
        <v>0</v>
      </c>
      <c r="I346">
        <f>H346*INDEX(Question_Bank!$M$3:$M$14,MATCH(D346,Question_Bank!$A$3:$A$14,0))</f>
        <v>0</v>
      </c>
      <c r="J346">
        <f>SUMIFS($I$3:$I$566,$A$3:$A$566,A346)</f>
        <v>0</v>
      </c>
      <c r="K346" s="5">
        <f>J346/SUM(Question_Bank!$M$3:$M$14)</f>
        <v>0</v>
      </c>
      <c r="L346" s="5">
        <f>SUMIFS($I$3:$I$566,$A$3:$A$566,A346,$E$3:$E$566,E346)/SUMIFS(Question_Bank!$M$3:$M$14,Question_Bank!$B$3:$B$14,E346)</f>
        <v>0</v>
      </c>
      <c r="M346" t="s">
        <v>190</v>
      </c>
    </row>
    <row r="347" spans="1:13">
      <c r="A347" t="s">
        <v>189</v>
      </c>
      <c r="B347" t="s">
        <v>132</v>
      </c>
      <c r="C347" t="s">
        <v>227</v>
      </c>
      <c r="D347" t="s">
        <v>87</v>
      </c>
      <c r="E347" t="s">
        <v>71</v>
      </c>
      <c r="F347" t="s">
        <v>23</v>
      </c>
      <c r="G347">
        <f>INDEX(Question_Bank!$J$3:$J$14,MATCH(D347,Question_Bank!$A$3:$A$14,0))</f>
        <v>0</v>
      </c>
      <c r="H347">
        <f>IF(F347=G347,1,0)</f>
        <v>0</v>
      </c>
      <c r="I347">
        <f>H347*INDEX(Question_Bank!$M$3:$M$14,MATCH(D347,Question_Bank!$A$3:$A$14,0))</f>
        <v>0</v>
      </c>
      <c r="J347">
        <f>SUMIFS($I$3:$I$566,$A$3:$A$566,A347)</f>
        <v>0</v>
      </c>
      <c r="K347" s="5">
        <f>J347/SUM(Question_Bank!$M$3:$M$14)</f>
        <v>0</v>
      </c>
      <c r="L347" s="5">
        <f>SUMIFS($I$3:$I$566,$A$3:$A$566,A347,$E$3:$E$566,E347)/SUMIFS(Question_Bank!$M$3:$M$14,Question_Bank!$B$3:$B$14,E347)</f>
        <v>0</v>
      </c>
      <c r="M347" t="s">
        <v>190</v>
      </c>
    </row>
    <row r="348" spans="1:13">
      <c r="A348" t="s">
        <v>189</v>
      </c>
      <c r="B348" t="s">
        <v>132</v>
      </c>
      <c r="C348" t="s">
        <v>227</v>
      </c>
      <c r="D348" t="s">
        <v>95</v>
      </c>
      <c r="E348" t="s">
        <v>96</v>
      </c>
      <c r="F348" t="s">
        <v>34</v>
      </c>
      <c r="G348">
        <f>INDEX(Question_Bank!$J$3:$J$14,MATCH(D348,Question_Bank!$A$3:$A$14,0))</f>
        <v>0</v>
      </c>
      <c r="H348">
        <f>IF(F348=G348,1,0)</f>
        <v>0</v>
      </c>
      <c r="I348">
        <f>H348*INDEX(Question_Bank!$M$3:$M$14,MATCH(D348,Question_Bank!$A$3:$A$14,0))</f>
        <v>0</v>
      </c>
      <c r="J348">
        <f>SUMIFS($I$3:$I$566,$A$3:$A$566,A348)</f>
        <v>0</v>
      </c>
      <c r="K348" s="5">
        <f>J348/SUM(Question_Bank!$M$3:$M$14)</f>
        <v>0</v>
      </c>
      <c r="L348" s="5">
        <f>SUMIFS($I$3:$I$566,$A$3:$A$566,A348,$E$3:$E$566,E348)/SUMIFS(Question_Bank!$M$3:$M$14,Question_Bank!$B$3:$B$14,E348)</f>
        <v>0</v>
      </c>
      <c r="M348" t="s">
        <v>190</v>
      </c>
    </row>
    <row r="349" spans="1:13">
      <c r="A349" t="s">
        <v>189</v>
      </c>
      <c r="B349" t="s">
        <v>132</v>
      </c>
      <c r="C349" t="s">
        <v>227</v>
      </c>
      <c r="D349" t="s">
        <v>104</v>
      </c>
      <c r="E349" t="s">
        <v>96</v>
      </c>
      <c r="F349" t="s">
        <v>20</v>
      </c>
      <c r="G349">
        <f>INDEX(Question_Bank!$J$3:$J$14,MATCH(D349,Question_Bank!$A$3:$A$14,0))</f>
        <v>0</v>
      </c>
      <c r="H349">
        <f>IF(F349=G349,1,0)</f>
        <v>0</v>
      </c>
      <c r="I349">
        <f>H349*INDEX(Question_Bank!$M$3:$M$14,MATCH(D349,Question_Bank!$A$3:$A$14,0))</f>
        <v>0</v>
      </c>
      <c r="J349">
        <f>SUMIFS($I$3:$I$566,$A$3:$A$566,A349)</f>
        <v>0</v>
      </c>
      <c r="K349" s="5">
        <f>J349/SUM(Question_Bank!$M$3:$M$14)</f>
        <v>0</v>
      </c>
      <c r="L349" s="5">
        <f>SUMIFS($I$3:$I$566,$A$3:$A$566,A349,$E$3:$E$566,E349)/SUMIFS(Question_Bank!$M$3:$M$14,Question_Bank!$B$3:$B$14,E349)</f>
        <v>0</v>
      </c>
      <c r="M349" t="s">
        <v>190</v>
      </c>
    </row>
    <row r="350" spans="1:13">
      <c r="A350" t="s">
        <v>189</v>
      </c>
      <c r="B350" t="s">
        <v>132</v>
      </c>
      <c r="C350" t="s">
        <v>227</v>
      </c>
      <c r="D350" t="s">
        <v>112</v>
      </c>
      <c r="E350" t="s">
        <v>96</v>
      </c>
      <c r="F350" t="s">
        <v>31</v>
      </c>
      <c r="G350">
        <f>INDEX(Question_Bank!$J$3:$J$14,MATCH(D350,Question_Bank!$A$3:$A$14,0))</f>
        <v>0</v>
      </c>
      <c r="H350">
        <f>IF(F350=G350,1,0)</f>
        <v>0</v>
      </c>
      <c r="I350">
        <f>H350*INDEX(Question_Bank!$M$3:$M$14,MATCH(D350,Question_Bank!$A$3:$A$14,0))</f>
        <v>0</v>
      </c>
      <c r="J350">
        <f>SUMIFS($I$3:$I$566,$A$3:$A$566,A350)</f>
        <v>0</v>
      </c>
      <c r="K350" s="5">
        <f>J350/SUM(Question_Bank!$M$3:$M$14)</f>
        <v>0</v>
      </c>
      <c r="L350" s="5">
        <f>SUMIFS($I$3:$I$566,$A$3:$A$566,A350,$E$3:$E$566,E350)/SUMIFS(Question_Bank!$M$3:$M$14,Question_Bank!$B$3:$B$14,E350)</f>
        <v>0</v>
      </c>
      <c r="M350" t="s">
        <v>190</v>
      </c>
    </row>
    <row r="351" spans="1:13">
      <c r="A351" t="s">
        <v>191</v>
      </c>
      <c r="B351" t="s">
        <v>132</v>
      </c>
      <c r="C351" t="s">
        <v>227</v>
      </c>
      <c r="D351" t="s">
        <v>14</v>
      </c>
      <c r="E351" t="s">
        <v>15</v>
      </c>
      <c r="F351" t="s">
        <v>23</v>
      </c>
      <c r="G351">
        <f>INDEX(Question_Bank!$J$3:$J$14,MATCH(D351,Question_Bank!$A$3:$A$14,0))</f>
        <v>0</v>
      </c>
      <c r="H351">
        <f>IF(F351=G351,1,0)</f>
        <v>0</v>
      </c>
      <c r="I351">
        <f>H351*INDEX(Question_Bank!$M$3:$M$14,MATCH(D351,Question_Bank!$A$3:$A$14,0))</f>
        <v>0</v>
      </c>
      <c r="J351">
        <f>SUMIFS($I$3:$I$566,$A$3:$A$566,A351)</f>
        <v>0</v>
      </c>
      <c r="K351" s="5">
        <f>J351/SUM(Question_Bank!$M$3:$M$14)</f>
        <v>0</v>
      </c>
      <c r="L351" s="5">
        <f>SUMIFS($I$3:$I$566,$A$3:$A$566,A351,$E$3:$E$566,E351)/SUMIFS(Question_Bank!$M$3:$M$14,Question_Bank!$B$3:$B$14,E351)</f>
        <v>0</v>
      </c>
      <c r="M351" t="s">
        <v>192</v>
      </c>
    </row>
    <row r="352" spans="1:13">
      <c r="A352" t="s">
        <v>191</v>
      </c>
      <c r="B352" t="s">
        <v>132</v>
      </c>
      <c r="C352" t="s">
        <v>227</v>
      </c>
      <c r="D352" t="s">
        <v>26</v>
      </c>
      <c r="E352" t="s">
        <v>15</v>
      </c>
      <c r="F352" t="s">
        <v>34</v>
      </c>
      <c r="G352">
        <f>INDEX(Question_Bank!$J$3:$J$14,MATCH(D352,Question_Bank!$A$3:$A$14,0))</f>
        <v>0</v>
      </c>
      <c r="H352">
        <f>IF(F352=G352,1,0)</f>
        <v>0</v>
      </c>
      <c r="I352">
        <f>H352*INDEX(Question_Bank!$M$3:$M$14,MATCH(D352,Question_Bank!$A$3:$A$14,0))</f>
        <v>0</v>
      </c>
      <c r="J352">
        <f>SUMIFS($I$3:$I$566,$A$3:$A$566,A352)</f>
        <v>0</v>
      </c>
      <c r="K352" s="5">
        <f>J352/SUM(Question_Bank!$M$3:$M$14)</f>
        <v>0</v>
      </c>
      <c r="L352" s="5">
        <f>SUMIFS($I$3:$I$566,$A$3:$A$566,A352,$E$3:$E$566,E352)/SUMIFS(Question_Bank!$M$3:$M$14,Question_Bank!$B$3:$B$14,E352)</f>
        <v>0</v>
      </c>
      <c r="M352" t="s">
        <v>192</v>
      </c>
    </row>
    <row r="353" spans="1:13">
      <c r="A353" t="s">
        <v>191</v>
      </c>
      <c r="B353" t="s">
        <v>132</v>
      </c>
      <c r="C353" t="s">
        <v>227</v>
      </c>
      <c r="D353" t="s">
        <v>37</v>
      </c>
      <c r="E353" t="s">
        <v>15</v>
      </c>
      <c r="F353" t="s">
        <v>20</v>
      </c>
      <c r="G353">
        <f>INDEX(Question_Bank!$J$3:$J$14,MATCH(D353,Question_Bank!$A$3:$A$14,0))</f>
        <v>0</v>
      </c>
      <c r="H353">
        <f>IF(F353=G353,1,0)</f>
        <v>0</v>
      </c>
      <c r="I353">
        <f>H353*INDEX(Question_Bank!$M$3:$M$14,MATCH(D353,Question_Bank!$A$3:$A$14,0))</f>
        <v>0</v>
      </c>
      <c r="J353">
        <f>SUMIFS($I$3:$I$566,$A$3:$A$566,A353)</f>
        <v>0</v>
      </c>
      <c r="K353" s="5">
        <f>J353/SUM(Question_Bank!$M$3:$M$14)</f>
        <v>0</v>
      </c>
      <c r="L353" s="5">
        <f>SUMIFS($I$3:$I$566,$A$3:$A$566,A353,$E$3:$E$566,E353)/SUMIFS(Question_Bank!$M$3:$M$14,Question_Bank!$B$3:$B$14,E353)</f>
        <v>0</v>
      </c>
      <c r="M353" t="s">
        <v>192</v>
      </c>
    </row>
    <row r="354" spans="1:13">
      <c r="A354" t="s">
        <v>191</v>
      </c>
      <c r="B354" t="s">
        <v>132</v>
      </c>
      <c r="C354" t="s">
        <v>227</v>
      </c>
      <c r="D354" t="s">
        <v>45</v>
      </c>
      <c r="E354" t="s">
        <v>46</v>
      </c>
      <c r="F354" t="s">
        <v>31</v>
      </c>
      <c r="G354">
        <f>INDEX(Question_Bank!$J$3:$J$14,MATCH(D354,Question_Bank!$A$3:$A$14,0))</f>
        <v>0</v>
      </c>
      <c r="H354">
        <f>IF(F354=G354,1,0)</f>
        <v>0</v>
      </c>
      <c r="I354">
        <f>H354*INDEX(Question_Bank!$M$3:$M$14,MATCH(D354,Question_Bank!$A$3:$A$14,0))</f>
        <v>0</v>
      </c>
      <c r="J354">
        <f>SUMIFS($I$3:$I$566,$A$3:$A$566,A354)</f>
        <v>0</v>
      </c>
      <c r="K354" s="5">
        <f>J354/SUM(Question_Bank!$M$3:$M$14)</f>
        <v>0</v>
      </c>
      <c r="L354" s="5">
        <f>SUMIFS($I$3:$I$566,$A$3:$A$566,A354,$E$3:$E$566,E354)/SUMIFS(Question_Bank!$M$3:$M$14,Question_Bank!$B$3:$B$14,E354)</f>
        <v>0</v>
      </c>
      <c r="M354" t="s">
        <v>192</v>
      </c>
    </row>
    <row r="355" spans="1:13">
      <c r="A355" t="s">
        <v>191</v>
      </c>
      <c r="B355" t="s">
        <v>132</v>
      </c>
      <c r="C355" t="s">
        <v>227</v>
      </c>
      <c r="D355" t="s">
        <v>54</v>
      </c>
      <c r="E355" t="s">
        <v>46</v>
      </c>
      <c r="F355" t="s">
        <v>31</v>
      </c>
      <c r="G355">
        <f>INDEX(Question_Bank!$J$3:$J$14,MATCH(D355,Question_Bank!$A$3:$A$14,0))</f>
        <v>0</v>
      </c>
      <c r="H355">
        <f>IF(F355=G355,1,0)</f>
        <v>0</v>
      </c>
      <c r="I355">
        <f>H355*INDEX(Question_Bank!$M$3:$M$14,MATCH(D355,Question_Bank!$A$3:$A$14,0))</f>
        <v>0</v>
      </c>
      <c r="J355">
        <f>SUMIFS($I$3:$I$566,$A$3:$A$566,A355)</f>
        <v>0</v>
      </c>
      <c r="K355" s="5">
        <f>J355/SUM(Question_Bank!$M$3:$M$14)</f>
        <v>0</v>
      </c>
      <c r="L355" s="5">
        <f>SUMIFS($I$3:$I$566,$A$3:$A$566,A355,$E$3:$E$566,E355)/SUMIFS(Question_Bank!$M$3:$M$14,Question_Bank!$B$3:$B$14,E355)</f>
        <v>0</v>
      </c>
      <c r="M355" t="s">
        <v>192</v>
      </c>
    </row>
    <row r="356" spans="1:13">
      <c r="A356" t="s">
        <v>191</v>
      </c>
      <c r="B356" t="s">
        <v>132</v>
      </c>
      <c r="C356" t="s">
        <v>227</v>
      </c>
      <c r="D356" t="s">
        <v>62</v>
      </c>
      <c r="E356" t="s">
        <v>46</v>
      </c>
      <c r="F356" t="s">
        <v>34</v>
      </c>
      <c r="G356">
        <f>INDEX(Question_Bank!$J$3:$J$14,MATCH(D356,Question_Bank!$A$3:$A$14,0))</f>
        <v>0</v>
      </c>
      <c r="H356">
        <f>IF(F356=G356,1,0)</f>
        <v>0</v>
      </c>
      <c r="I356">
        <f>H356*INDEX(Question_Bank!$M$3:$M$14,MATCH(D356,Question_Bank!$A$3:$A$14,0))</f>
        <v>0</v>
      </c>
      <c r="J356">
        <f>SUMIFS($I$3:$I$566,$A$3:$A$566,A356)</f>
        <v>0</v>
      </c>
      <c r="K356" s="5">
        <f>J356/SUM(Question_Bank!$M$3:$M$14)</f>
        <v>0</v>
      </c>
      <c r="L356" s="5">
        <f>SUMIFS($I$3:$I$566,$A$3:$A$566,A356,$E$3:$E$566,E356)/SUMIFS(Question_Bank!$M$3:$M$14,Question_Bank!$B$3:$B$14,E356)</f>
        <v>0</v>
      </c>
      <c r="M356" t="s">
        <v>192</v>
      </c>
    </row>
    <row r="357" spans="1:13">
      <c r="A357" t="s">
        <v>191</v>
      </c>
      <c r="B357" t="s">
        <v>132</v>
      </c>
      <c r="C357" t="s">
        <v>227</v>
      </c>
      <c r="D357" t="s">
        <v>70</v>
      </c>
      <c r="E357" t="s">
        <v>71</v>
      </c>
      <c r="F357" t="s">
        <v>20</v>
      </c>
      <c r="G357">
        <f>INDEX(Question_Bank!$J$3:$J$14,MATCH(D357,Question_Bank!$A$3:$A$14,0))</f>
        <v>0</v>
      </c>
      <c r="H357">
        <f>IF(F357=G357,1,0)</f>
        <v>0</v>
      </c>
      <c r="I357">
        <f>H357*INDEX(Question_Bank!$M$3:$M$14,MATCH(D357,Question_Bank!$A$3:$A$14,0))</f>
        <v>0</v>
      </c>
      <c r="J357">
        <f>SUMIFS($I$3:$I$566,$A$3:$A$566,A357)</f>
        <v>0</v>
      </c>
      <c r="K357" s="5">
        <f>J357/SUM(Question_Bank!$M$3:$M$14)</f>
        <v>0</v>
      </c>
      <c r="L357" s="5">
        <f>SUMIFS($I$3:$I$566,$A$3:$A$566,A357,$E$3:$E$566,E357)/SUMIFS(Question_Bank!$M$3:$M$14,Question_Bank!$B$3:$B$14,E357)</f>
        <v>0</v>
      </c>
      <c r="M357" t="s">
        <v>192</v>
      </c>
    </row>
    <row r="358" spans="1:13">
      <c r="A358" t="s">
        <v>191</v>
      </c>
      <c r="B358" t="s">
        <v>132</v>
      </c>
      <c r="C358" t="s">
        <v>227</v>
      </c>
      <c r="D358" t="s">
        <v>79</v>
      </c>
      <c r="E358" t="s">
        <v>71</v>
      </c>
      <c r="F358" t="s">
        <v>31</v>
      </c>
      <c r="G358">
        <f>INDEX(Question_Bank!$J$3:$J$14,MATCH(D358,Question_Bank!$A$3:$A$14,0))</f>
        <v>0</v>
      </c>
      <c r="H358">
        <f>IF(F358=G358,1,0)</f>
        <v>0</v>
      </c>
      <c r="I358">
        <f>H358*INDEX(Question_Bank!$M$3:$M$14,MATCH(D358,Question_Bank!$A$3:$A$14,0))</f>
        <v>0</v>
      </c>
      <c r="J358">
        <f>SUMIFS($I$3:$I$566,$A$3:$A$566,A358)</f>
        <v>0</v>
      </c>
      <c r="K358" s="5">
        <f>J358/SUM(Question_Bank!$M$3:$M$14)</f>
        <v>0</v>
      </c>
      <c r="L358" s="5">
        <f>SUMIFS($I$3:$I$566,$A$3:$A$566,A358,$E$3:$E$566,E358)/SUMIFS(Question_Bank!$M$3:$M$14,Question_Bank!$B$3:$B$14,E358)</f>
        <v>0</v>
      </c>
      <c r="M358" t="s">
        <v>192</v>
      </c>
    </row>
    <row r="359" spans="1:13">
      <c r="A359" t="s">
        <v>191</v>
      </c>
      <c r="B359" t="s">
        <v>132</v>
      </c>
      <c r="C359" t="s">
        <v>227</v>
      </c>
      <c r="D359" t="s">
        <v>87</v>
      </c>
      <c r="E359" t="s">
        <v>71</v>
      </c>
      <c r="F359" t="s">
        <v>23</v>
      </c>
      <c r="G359">
        <f>INDEX(Question_Bank!$J$3:$J$14,MATCH(D359,Question_Bank!$A$3:$A$14,0))</f>
        <v>0</v>
      </c>
      <c r="H359">
        <f>IF(F359=G359,1,0)</f>
        <v>0</v>
      </c>
      <c r="I359">
        <f>H359*INDEX(Question_Bank!$M$3:$M$14,MATCH(D359,Question_Bank!$A$3:$A$14,0))</f>
        <v>0</v>
      </c>
      <c r="J359">
        <f>SUMIFS($I$3:$I$566,$A$3:$A$566,A359)</f>
        <v>0</v>
      </c>
      <c r="K359" s="5">
        <f>J359/SUM(Question_Bank!$M$3:$M$14)</f>
        <v>0</v>
      </c>
      <c r="L359" s="5">
        <f>SUMIFS($I$3:$I$566,$A$3:$A$566,A359,$E$3:$E$566,E359)/SUMIFS(Question_Bank!$M$3:$M$14,Question_Bank!$B$3:$B$14,E359)</f>
        <v>0</v>
      </c>
      <c r="M359" t="s">
        <v>192</v>
      </c>
    </row>
    <row r="360" spans="1:13">
      <c r="A360" t="s">
        <v>191</v>
      </c>
      <c r="B360" t="s">
        <v>132</v>
      </c>
      <c r="C360" t="s">
        <v>227</v>
      </c>
      <c r="D360" t="s">
        <v>95</v>
      </c>
      <c r="E360" t="s">
        <v>96</v>
      </c>
      <c r="F360" t="s">
        <v>34</v>
      </c>
      <c r="G360">
        <f>INDEX(Question_Bank!$J$3:$J$14,MATCH(D360,Question_Bank!$A$3:$A$14,0))</f>
        <v>0</v>
      </c>
      <c r="H360">
        <f>IF(F360=G360,1,0)</f>
        <v>0</v>
      </c>
      <c r="I360">
        <f>H360*INDEX(Question_Bank!$M$3:$M$14,MATCH(D360,Question_Bank!$A$3:$A$14,0))</f>
        <v>0</v>
      </c>
      <c r="J360">
        <f>SUMIFS($I$3:$I$566,$A$3:$A$566,A360)</f>
        <v>0</v>
      </c>
      <c r="K360" s="5">
        <f>J360/SUM(Question_Bank!$M$3:$M$14)</f>
        <v>0</v>
      </c>
      <c r="L360" s="5">
        <f>SUMIFS($I$3:$I$566,$A$3:$A$566,A360,$E$3:$E$566,E360)/SUMIFS(Question_Bank!$M$3:$M$14,Question_Bank!$B$3:$B$14,E360)</f>
        <v>0</v>
      </c>
      <c r="M360" t="s">
        <v>192</v>
      </c>
    </row>
    <row r="361" spans="1:13">
      <c r="A361" t="s">
        <v>191</v>
      </c>
      <c r="B361" t="s">
        <v>132</v>
      </c>
      <c r="C361" t="s">
        <v>227</v>
      </c>
      <c r="D361" t="s">
        <v>104</v>
      </c>
      <c r="E361" t="s">
        <v>96</v>
      </c>
      <c r="F361" t="s">
        <v>20</v>
      </c>
      <c r="G361">
        <f>INDEX(Question_Bank!$J$3:$J$14,MATCH(D361,Question_Bank!$A$3:$A$14,0))</f>
        <v>0</v>
      </c>
      <c r="H361">
        <f>IF(F361=G361,1,0)</f>
        <v>0</v>
      </c>
      <c r="I361">
        <f>H361*INDEX(Question_Bank!$M$3:$M$14,MATCH(D361,Question_Bank!$A$3:$A$14,0))</f>
        <v>0</v>
      </c>
      <c r="J361">
        <f>SUMIFS($I$3:$I$566,$A$3:$A$566,A361)</f>
        <v>0</v>
      </c>
      <c r="K361" s="5">
        <f>J361/SUM(Question_Bank!$M$3:$M$14)</f>
        <v>0</v>
      </c>
      <c r="L361" s="5">
        <f>SUMIFS($I$3:$I$566,$A$3:$A$566,A361,$E$3:$E$566,E361)/SUMIFS(Question_Bank!$M$3:$M$14,Question_Bank!$B$3:$B$14,E361)</f>
        <v>0</v>
      </c>
      <c r="M361" t="s">
        <v>192</v>
      </c>
    </row>
    <row r="362" spans="1:13">
      <c r="A362" t="s">
        <v>191</v>
      </c>
      <c r="B362" t="s">
        <v>132</v>
      </c>
      <c r="C362" t="s">
        <v>227</v>
      </c>
      <c r="D362" t="s">
        <v>112</v>
      </c>
      <c r="E362" t="s">
        <v>96</v>
      </c>
      <c r="F362" t="s">
        <v>31</v>
      </c>
      <c r="G362">
        <f>INDEX(Question_Bank!$J$3:$J$14,MATCH(D362,Question_Bank!$A$3:$A$14,0))</f>
        <v>0</v>
      </c>
      <c r="H362">
        <f>IF(F362=G362,1,0)</f>
        <v>0</v>
      </c>
      <c r="I362">
        <f>H362*INDEX(Question_Bank!$M$3:$M$14,MATCH(D362,Question_Bank!$A$3:$A$14,0))</f>
        <v>0</v>
      </c>
      <c r="J362">
        <f>SUMIFS($I$3:$I$566,$A$3:$A$566,A362)</f>
        <v>0</v>
      </c>
      <c r="K362" s="5">
        <f>J362/SUM(Question_Bank!$M$3:$M$14)</f>
        <v>0</v>
      </c>
      <c r="L362" s="5">
        <f>SUMIFS($I$3:$I$566,$A$3:$A$566,A362,$E$3:$E$566,E362)/SUMIFS(Question_Bank!$M$3:$M$14,Question_Bank!$B$3:$B$14,E362)</f>
        <v>0</v>
      </c>
      <c r="M362" t="s">
        <v>192</v>
      </c>
    </row>
    <row r="363" spans="1:13">
      <c r="A363" t="s">
        <v>193</v>
      </c>
      <c r="B363" t="s">
        <v>132</v>
      </c>
      <c r="C363" t="s">
        <v>227</v>
      </c>
      <c r="D363" t="s">
        <v>14</v>
      </c>
      <c r="E363" t="s">
        <v>15</v>
      </c>
      <c r="F363" t="s">
        <v>23</v>
      </c>
      <c r="G363">
        <f>INDEX(Question_Bank!$J$3:$J$14,MATCH(D363,Question_Bank!$A$3:$A$14,0))</f>
        <v>0</v>
      </c>
      <c r="H363">
        <f>IF(F363=G363,1,0)</f>
        <v>0</v>
      </c>
      <c r="I363">
        <f>H363*INDEX(Question_Bank!$M$3:$M$14,MATCH(D363,Question_Bank!$A$3:$A$14,0))</f>
        <v>0</v>
      </c>
      <c r="J363">
        <f>SUMIFS($I$3:$I$566,$A$3:$A$566,A363)</f>
        <v>0</v>
      </c>
      <c r="K363" s="5">
        <f>J363/SUM(Question_Bank!$M$3:$M$14)</f>
        <v>0</v>
      </c>
      <c r="L363" s="5">
        <f>SUMIFS($I$3:$I$566,$A$3:$A$566,A363,$E$3:$E$566,E363)/SUMIFS(Question_Bank!$M$3:$M$14,Question_Bank!$B$3:$B$14,E363)</f>
        <v>0</v>
      </c>
      <c r="M363" t="s">
        <v>194</v>
      </c>
    </row>
    <row r="364" spans="1:13">
      <c r="A364" t="s">
        <v>193</v>
      </c>
      <c r="B364" t="s">
        <v>132</v>
      </c>
      <c r="C364" t="s">
        <v>227</v>
      </c>
      <c r="D364" t="s">
        <v>26</v>
      </c>
      <c r="E364" t="s">
        <v>15</v>
      </c>
      <c r="F364" t="s">
        <v>34</v>
      </c>
      <c r="G364">
        <f>INDEX(Question_Bank!$J$3:$J$14,MATCH(D364,Question_Bank!$A$3:$A$14,0))</f>
        <v>0</v>
      </c>
      <c r="H364">
        <f>IF(F364=G364,1,0)</f>
        <v>0</v>
      </c>
      <c r="I364">
        <f>H364*INDEX(Question_Bank!$M$3:$M$14,MATCH(D364,Question_Bank!$A$3:$A$14,0))</f>
        <v>0</v>
      </c>
      <c r="J364">
        <f>SUMIFS($I$3:$I$566,$A$3:$A$566,A364)</f>
        <v>0</v>
      </c>
      <c r="K364" s="5">
        <f>J364/SUM(Question_Bank!$M$3:$M$14)</f>
        <v>0</v>
      </c>
      <c r="L364" s="5">
        <f>SUMIFS($I$3:$I$566,$A$3:$A$566,A364,$E$3:$E$566,E364)/SUMIFS(Question_Bank!$M$3:$M$14,Question_Bank!$B$3:$B$14,E364)</f>
        <v>0</v>
      </c>
      <c r="M364" t="s">
        <v>194</v>
      </c>
    </row>
    <row r="365" spans="1:13">
      <c r="A365" t="s">
        <v>193</v>
      </c>
      <c r="B365" t="s">
        <v>132</v>
      </c>
      <c r="C365" t="s">
        <v>227</v>
      </c>
      <c r="D365" t="s">
        <v>37</v>
      </c>
      <c r="E365" t="s">
        <v>15</v>
      </c>
      <c r="F365" t="s">
        <v>20</v>
      </c>
      <c r="G365">
        <f>INDEX(Question_Bank!$J$3:$J$14,MATCH(D365,Question_Bank!$A$3:$A$14,0))</f>
        <v>0</v>
      </c>
      <c r="H365">
        <f>IF(F365=G365,1,0)</f>
        <v>0</v>
      </c>
      <c r="I365">
        <f>H365*INDEX(Question_Bank!$M$3:$M$14,MATCH(D365,Question_Bank!$A$3:$A$14,0))</f>
        <v>0</v>
      </c>
      <c r="J365">
        <f>SUMIFS($I$3:$I$566,$A$3:$A$566,A365)</f>
        <v>0</v>
      </c>
      <c r="K365" s="5">
        <f>J365/SUM(Question_Bank!$M$3:$M$14)</f>
        <v>0</v>
      </c>
      <c r="L365" s="5">
        <f>SUMIFS($I$3:$I$566,$A$3:$A$566,A365,$E$3:$E$566,E365)/SUMIFS(Question_Bank!$M$3:$M$14,Question_Bank!$B$3:$B$14,E365)</f>
        <v>0</v>
      </c>
      <c r="M365" t="s">
        <v>194</v>
      </c>
    </row>
    <row r="366" spans="1:13">
      <c r="A366" t="s">
        <v>193</v>
      </c>
      <c r="B366" t="s">
        <v>132</v>
      </c>
      <c r="C366" t="s">
        <v>227</v>
      </c>
      <c r="D366" t="s">
        <v>45</v>
      </c>
      <c r="E366" t="s">
        <v>46</v>
      </c>
      <c r="F366" t="s">
        <v>31</v>
      </c>
      <c r="G366">
        <f>INDEX(Question_Bank!$J$3:$J$14,MATCH(D366,Question_Bank!$A$3:$A$14,0))</f>
        <v>0</v>
      </c>
      <c r="H366">
        <f>IF(F366=G366,1,0)</f>
        <v>0</v>
      </c>
      <c r="I366">
        <f>H366*INDEX(Question_Bank!$M$3:$M$14,MATCH(D366,Question_Bank!$A$3:$A$14,0))</f>
        <v>0</v>
      </c>
      <c r="J366">
        <f>SUMIFS($I$3:$I$566,$A$3:$A$566,A366)</f>
        <v>0</v>
      </c>
      <c r="K366" s="5">
        <f>J366/SUM(Question_Bank!$M$3:$M$14)</f>
        <v>0</v>
      </c>
      <c r="L366" s="5">
        <f>SUMIFS($I$3:$I$566,$A$3:$A$566,A366,$E$3:$E$566,E366)/SUMIFS(Question_Bank!$M$3:$M$14,Question_Bank!$B$3:$B$14,E366)</f>
        <v>0</v>
      </c>
      <c r="M366" t="s">
        <v>194</v>
      </c>
    </row>
    <row r="367" spans="1:13">
      <c r="A367" t="s">
        <v>193</v>
      </c>
      <c r="B367" t="s">
        <v>132</v>
      </c>
      <c r="C367" t="s">
        <v>227</v>
      </c>
      <c r="D367" t="s">
        <v>54</v>
      </c>
      <c r="E367" t="s">
        <v>46</v>
      </c>
      <c r="F367" t="s">
        <v>23</v>
      </c>
      <c r="G367">
        <f>INDEX(Question_Bank!$J$3:$J$14,MATCH(D367,Question_Bank!$A$3:$A$14,0))</f>
        <v>0</v>
      </c>
      <c r="H367">
        <f>IF(F367=G367,1,0)</f>
        <v>0</v>
      </c>
      <c r="I367">
        <f>H367*INDEX(Question_Bank!$M$3:$M$14,MATCH(D367,Question_Bank!$A$3:$A$14,0))</f>
        <v>0</v>
      </c>
      <c r="J367">
        <f>SUMIFS($I$3:$I$566,$A$3:$A$566,A367)</f>
        <v>0</v>
      </c>
      <c r="K367" s="5">
        <f>J367/SUM(Question_Bank!$M$3:$M$14)</f>
        <v>0</v>
      </c>
      <c r="L367" s="5">
        <f>SUMIFS($I$3:$I$566,$A$3:$A$566,A367,$E$3:$E$566,E367)/SUMIFS(Question_Bank!$M$3:$M$14,Question_Bank!$B$3:$B$14,E367)</f>
        <v>0</v>
      </c>
      <c r="M367" t="s">
        <v>194</v>
      </c>
    </row>
    <row r="368" spans="1:13">
      <c r="A368" t="s">
        <v>193</v>
      </c>
      <c r="B368" t="s">
        <v>132</v>
      </c>
      <c r="C368" t="s">
        <v>227</v>
      </c>
      <c r="D368" t="s">
        <v>62</v>
      </c>
      <c r="E368" t="s">
        <v>46</v>
      </c>
      <c r="F368" t="s">
        <v>34</v>
      </c>
      <c r="G368">
        <f>INDEX(Question_Bank!$J$3:$J$14,MATCH(D368,Question_Bank!$A$3:$A$14,0))</f>
        <v>0</v>
      </c>
      <c r="H368">
        <f>IF(F368=G368,1,0)</f>
        <v>0</v>
      </c>
      <c r="I368">
        <f>H368*INDEX(Question_Bank!$M$3:$M$14,MATCH(D368,Question_Bank!$A$3:$A$14,0))</f>
        <v>0</v>
      </c>
      <c r="J368">
        <f>SUMIFS($I$3:$I$566,$A$3:$A$566,A368)</f>
        <v>0</v>
      </c>
      <c r="K368" s="5">
        <f>J368/SUM(Question_Bank!$M$3:$M$14)</f>
        <v>0</v>
      </c>
      <c r="L368" s="5">
        <f>SUMIFS($I$3:$I$566,$A$3:$A$566,A368,$E$3:$E$566,E368)/SUMIFS(Question_Bank!$M$3:$M$14,Question_Bank!$B$3:$B$14,E368)</f>
        <v>0</v>
      </c>
      <c r="M368" t="s">
        <v>194</v>
      </c>
    </row>
    <row r="369" spans="1:13">
      <c r="A369" t="s">
        <v>193</v>
      </c>
      <c r="B369" t="s">
        <v>132</v>
      </c>
      <c r="C369" t="s">
        <v>227</v>
      </c>
      <c r="D369" t="s">
        <v>70</v>
      </c>
      <c r="E369" t="s">
        <v>71</v>
      </c>
      <c r="F369" t="s">
        <v>31</v>
      </c>
      <c r="G369">
        <f>INDEX(Question_Bank!$J$3:$J$14,MATCH(D369,Question_Bank!$A$3:$A$14,0))</f>
        <v>0</v>
      </c>
      <c r="H369">
        <f>IF(F369=G369,1,0)</f>
        <v>0</v>
      </c>
      <c r="I369">
        <f>H369*INDEX(Question_Bank!$M$3:$M$14,MATCH(D369,Question_Bank!$A$3:$A$14,0))</f>
        <v>0</v>
      </c>
      <c r="J369">
        <f>SUMIFS($I$3:$I$566,$A$3:$A$566,A369)</f>
        <v>0</v>
      </c>
      <c r="K369" s="5">
        <f>J369/SUM(Question_Bank!$M$3:$M$14)</f>
        <v>0</v>
      </c>
      <c r="L369" s="5">
        <f>SUMIFS($I$3:$I$566,$A$3:$A$566,A369,$E$3:$E$566,E369)/SUMIFS(Question_Bank!$M$3:$M$14,Question_Bank!$B$3:$B$14,E369)</f>
        <v>0</v>
      </c>
      <c r="M369" t="s">
        <v>194</v>
      </c>
    </row>
    <row r="370" spans="1:13">
      <c r="A370" t="s">
        <v>193</v>
      </c>
      <c r="B370" t="s">
        <v>132</v>
      </c>
      <c r="C370" t="s">
        <v>227</v>
      </c>
      <c r="D370" t="s">
        <v>79</v>
      </c>
      <c r="E370" t="s">
        <v>71</v>
      </c>
      <c r="F370" t="s">
        <v>20</v>
      </c>
      <c r="G370">
        <f>INDEX(Question_Bank!$J$3:$J$14,MATCH(D370,Question_Bank!$A$3:$A$14,0))</f>
        <v>0</v>
      </c>
      <c r="H370">
        <f>IF(F370=G370,1,0)</f>
        <v>0</v>
      </c>
      <c r="I370">
        <f>H370*INDEX(Question_Bank!$M$3:$M$14,MATCH(D370,Question_Bank!$A$3:$A$14,0))</f>
        <v>0</v>
      </c>
      <c r="J370">
        <f>SUMIFS($I$3:$I$566,$A$3:$A$566,A370)</f>
        <v>0</v>
      </c>
      <c r="K370" s="5">
        <f>J370/SUM(Question_Bank!$M$3:$M$14)</f>
        <v>0</v>
      </c>
      <c r="L370" s="5">
        <f>SUMIFS($I$3:$I$566,$A$3:$A$566,A370,$E$3:$E$566,E370)/SUMIFS(Question_Bank!$M$3:$M$14,Question_Bank!$B$3:$B$14,E370)</f>
        <v>0</v>
      </c>
      <c r="M370" t="s">
        <v>194</v>
      </c>
    </row>
    <row r="371" spans="1:13">
      <c r="A371" t="s">
        <v>193</v>
      </c>
      <c r="B371" t="s">
        <v>132</v>
      </c>
      <c r="C371" t="s">
        <v>227</v>
      </c>
      <c r="D371" t="s">
        <v>87</v>
      </c>
      <c r="E371" t="s">
        <v>71</v>
      </c>
      <c r="F371" t="s">
        <v>20</v>
      </c>
      <c r="G371">
        <f>INDEX(Question_Bank!$J$3:$J$14,MATCH(D371,Question_Bank!$A$3:$A$14,0))</f>
        <v>0</v>
      </c>
      <c r="H371">
        <f>IF(F371=G371,1,0)</f>
        <v>0</v>
      </c>
      <c r="I371">
        <f>H371*INDEX(Question_Bank!$M$3:$M$14,MATCH(D371,Question_Bank!$A$3:$A$14,0))</f>
        <v>0</v>
      </c>
      <c r="J371">
        <f>SUMIFS($I$3:$I$566,$A$3:$A$566,A371)</f>
        <v>0</v>
      </c>
      <c r="K371" s="5">
        <f>J371/SUM(Question_Bank!$M$3:$M$14)</f>
        <v>0</v>
      </c>
      <c r="L371" s="5">
        <f>SUMIFS($I$3:$I$566,$A$3:$A$566,A371,$E$3:$E$566,E371)/SUMIFS(Question_Bank!$M$3:$M$14,Question_Bank!$B$3:$B$14,E371)</f>
        <v>0</v>
      </c>
      <c r="M371" t="s">
        <v>194</v>
      </c>
    </row>
    <row r="372" spans="1:13">
      <c r="A372" t="s">
        <v>193</v>
      </c>
      <c r="B372" t="s">
        <v>132</v>
      </c>
      <c r="C372" t="s">
        <v>227</v>
      </c>
      <c r="D372" t="s">
        <v>95</v>
      </c>
      <c r="E372" t="s">
        <v>96</v>
      </c>
      <c r="F372" t="s">
        <v>34</v>
      </c>
      <c r="G372">
        <f>INDEX(Question_Bank!$J$3:$J$14,MATCH(D372,Question_Bank!$A$3:$A$14,0))</f>
        <v>0</v>
      </c>
      <c r="H372">
        <f>IF(F372=G372,1,0)</f>
        <v>0</v>
      </c>
      <c r="I372">
        <f>H372*INDEX(Question_Bank!$M$3:$M$14,MATCH(D372,Question_Bank!$A$3:$A$14,0))</f>
        <v>0</v>
      </c>
      <c r="J372">
        <f>SUMIFS($I$3:$I$566,$A$3:$A$566,A372)</f>
        <v>0</v>
      </c>
      <c r="K372" s="5">
        <f>J372/SUM(Question_Bank!$M$3:$M$14)</f>
        <v>0</v>
      </c>
      <c r="L372" s="5">
        <f>SUMIFS($I$3:$I$566,$A$3:$A$566,A372,$E$3:$E$566,E372)/SUMIFS(Question_Bank!$M$3:$M$14,Question_Bank!$B$3:$B$14,E372)</f>
        <v>0</v>
      </c>
      <c r="M372" t="s">
        <v>194</v>
      </c>
    </row>
    <row r="373" spans="1:13">
      <c r="A373" t="s">
        <v>193</v>
      </c>
      <c r="B373" t="s">
        <v>132</v>
      </c>
      <c r="C373" t="s">
        <v>227</v>
      </c>
      <c r="D373" t="s">
        <v>104</v>
      </c>
      <c r="E373" t="s">
        <v>96</v>
      </c>
      <c r="F373" t="s">
        <v>23</v>
      </c>
      <c r="G373">
        <f>INDEX(Question_Bank!$J$3:$J$14,MATCH(D373,Question_Bank!$A$3:$A$14,0))</f>
        <v>0</v>
      </c>
      <c r="H373">
        <f>IF(F373=G373,1,0)</f>
        <v>0</v>
      </c>
      <c r="I373">
        <f>H373*INDEX(Question_Bank!$M$3:$M$14,MATCH(D373,Question_Bank!$A$3:$A$14,0))</f>
        <v>0</v>
      </c>
      <c r="J373">
        <f>SUMIFS($I$3:$I$566,$A$3:$A$566,A373)</f>
        <v>0</v>
      </c>
      <c r="K373" s="5">
        <f>J373/SUM(Question_Bank!$M$3:$M$14)</f>
        <v>0</v>
      </c>
      <c r="L373" s="5">
        <f>SUMIFS($I$3:$I$566,$A$3:$A$566,A373,$E$3:$E$566,E373)/SUMIFS(Question_Bank!$M$3:$M$14,Question_Bank!$B$3:$B$14,E373)</f>
        <v>0</v>
      </c>
      <c r="M373" t="s">
        <v>194</v>
      </c>
    </row>
    <row r="374" spans="1:13">
      <c r="A374" t="s">
        <v>193</v>
      </c>
      <c r="B374" t="s">
        <v>132</v>
      </c>
      <c r="C374" t="s">
        <v>227</v>
      </c>
      <c r="D374" t="s">
        <v>112</v>
      </c>
      <c r="E374" t="s">
        <v>96</v>
      </c>
      <c r="F374" t="s">
        <v>31</v>
      </c>
      <c r="G374">
        <f>INDEX(Question_Bank!$J$3:$J$14,MATCH(D374,Question_Bank!$A$3:$A$14,0))</f>
        <v>0</v>
      </c>
      <c r="H374">
        <f>IF(F374=G374,1,0)</f>
        <v>0</v>
      </c>
      <c r="I374">
        <f>H374*INDEX(Question_Bank!$M$3:$M$14,MATCH(D374,Question_Bank!$A$3:$A$14,0))</f>
        <v>0</v>
      </c>
      <c r="J374">
        <f>SUMIFS($I$3:$I$566,$A$3:$A$566,A374)</f>
        <v>0</v>
      </c>
      <c r="K374" s="5">
        <f>J374/SUM(Question_Bank!$M$3:$M$14)</f>
        <v>0</v>
      </c>
      <c r="L374" s="5">
        <f>SUMIFS($I$3:$I$566,$A$3:$A$566,A374,$E$3:$E$566,E374)/SUMIFS(Question_Bank!$M$3:$M$14,Question_Bank!$B$3:$B$14,E374)</f>
        <v>0</v>
      </c>
      <c r="M374" t="s">
        <v>194</v>
      </c>
    </row>
    <row r="375" spans="1:13">
      <c r="A375" t="s">
        <v>195</v>
      </c>
      <c r="B375" t="s">
        <v>132</v>
      </c>
      <c r="C375" t="s">
        <v>227</v>
      </c>
      <c r="D375" t="s">
        <v>14</v>
      </c>
      <c r="E375" t="s">
        <v>15</v>
      </c>
      <c r="F375" t="s">
        <v>23</v>
      </c>
      <c r="G375">
        <f>INDEX(Question_Bank!$J$3:$J$14,MATCH(D375,Question_Bank!$A$3:$A$14,0))</f>
        <v>0</v>
      </c>
      <c r="H375">
        <f>IF(F375=G375,1,0)</f>
        <v>0</v>
      </c>
      <c r="I375">
        <f>H375*INDEX(Question_Bank!$M$3:$M$14,MATCH(D375,Question_Bank!$A$3:$A$14,0))</f>
        <v>0</v>
      </c>
      <c r="J375">
        <f>SUMIFS($I$3:$I$566,$A$3:$A$566,A375)</f>
        <v>0</v>
      </c>
      <c r="K375" s="5">
        <f>J375/SUM(Question_Bank!$M$3:$M$14)</f>
        <v>0</v>
      </c>
      <c r="L375" s="5">
        <f>SUMIFS($I$3:$I$566,$A$3:$A$566,A375,$E$3:$E$566,E375)/SUMIFS(Question_Bank!$M$3:$M$14,Question_Bank!$B$3:$B$14,E375)</f>
        <v>0</v>
      </c>
      <c r="M375" t="s">
        <v>196</v>
      </c>
    </row>
    <row r="376" spans="1:13">
      <c r="A376" t="s">
        <v>195</v>
      </c>
      <c r="B376" t="s">
        <v>132</v>
      </c>
      <c r="C376" t="s">
        <v>227</v>
      </c>
      <c r="D376" t="s">
        <v>26</v>
      </c>
      <c r="E376" t="s">
        <v>15</v>
      </c>
      <c r="F376" t="s">
        <v>34</v>
      </c>
      <c r="G376">
        <f>INDEX(Question_Bank!$J$3:$J$14,MATCH(D376,Question_Bank!$A$3:$A$14,0))</f>
        <v>0</v>
      </c>
      <c r="H376">
        <f>IF(F376=G376,1,0)</f>
        <v>0</v>
      </c>
      <c r="I376">
        <f>H376*INDEX(Question_Bank!$M$3:$M$14,MATCH(D376,Question_Bank!$A$3:$A$14,0))</f>
        <v>0</v>
      </c>
      <c r="J376">
        <f>SUMIFS($I$3:$I$566,$A$3:$A$566,A376)</f>
        <v>0</v>
      </c>
      <c r="K376" s="5">
        <f>J376/SUM(Question_Bank!$M$3:$M$14)</f>
        <v>0</v>
      </c>
      <c r="L376" s="5">
        <f>SUMIFS($I$3:$I$566,$A$3:$A$566,A376,$E$3:$E$566,E376)/SUMIFS(Question_Bank!$M$3:$M$14,Question_Bank!$B$3:$B$14,E376)</f>
        <v>0</v>
      </c>
      <c r="M376" t="s">
        <v>196</v>
      </c>
    </row>
    <row r="377" spans="1:13">
      <c r="A377" t="s">
        <v>195</v>
      </c>
      <c r="B377" t="s">
        <v>132</v>
      </c>
      <c r="C377" t="s">
        <v>227</v>
      </c>
      <c r="D377" t="s">
        <v>37</v>
      </c>
      <c r="E377" t="s">
        <v>15</v>
      </c>
      <c r="F377" t="s">
        <v>34</v>
      </c>
      <c r="G377">
        <f>INDEX(Question_Bank!$J$3:$J$14,MATCH(D377,Question_Bank!$A$3:$A$14,0))</f>
        <v>0</v>
      </c>
      <c r="H377">
        <f>IF(F377=G377,1,0)</f>
        <v>0</v>
      </c>
      <c r="I377">
        <f>H377*INDEX(Question_Bank!$M$3:$M$14,MATCH(D377,Question_Bank!$A$3:$A$14,0))</f>
        <v>0</v>
      </c>
      <c r="J377">
        <f>SUMIFS($I$3:$I$566,$A$3:$A$566,A377)</f>
        <v>0</v>
      </c>
      <c r="K377" s="5">
        <f>J377/SUM(Question_Bank!$M$3:$M$14)</f>
        <v>0</v>
      </c>
      <c r="L377" s="5">
        <f>SUMIFS($I$3:$I$566,$A$3:$A$566,A377,$E$3:$E$566,E377)/SUMIFS(Question_Bank!$M$3:$M$14,Question_Bank!$B$3:$B$14,E377)</f>
        <v>0</v>
      </c>
      <c r="M377" t="s">
        <v>196</v>
      </c>
    </row>
    <row r="378" spans="1:13">
      <c r="A378" t="s">
        <v>195</v>
      </c>
      <c r="B378" t="s">
        <v>132</v>
      </c>
      <c r="C378" t="s">
        <v>227</v>
      </c>
      <c r="D378" t="s">
        <v>45</v>
      </c>
      <c r="E378" t="s">
        <v>46</v>
      </c>
      <c r="F378" t="s">
        <v>34</v>
      </c>
      <c r="G378">
        <f>INDEX(Question_Bank!$J$3:$J$14,MATCH(D378,Question_Bank!$A$3:$A$14,0))</f>
        <v>0</v>
      </c>
      <c r="H378">
        <f>IF(F378=G378,1,0)</f>
        <v>0</v>
      </c>
      <c r="I378">
        <f>H378*INDEX(Question_Bank!$M$3:$M$14,MATCH(D378,Question_Bank!$A$3:$A$14,0))</f>
        <v>0</v>
      </c>
      <c r="J378">
        <f>SUMIFS($I$3:$I$566,$A$3:$A$566,A378)</f>
        <v>0</v>
      </c>
      <c r="K378" s="5">
        <f>J378/SUM(Question_Bank!$M$3:$M$14)</f>
        <v>0</v>
      </c>
      <c r="L378" s="5">
        <f>SUMIFS($I$3:$I$566,$A$3:$A$566,A378,$E$3:$E$566,E378)/SUMIFS(Question_Bank!$M$3:$M$14,Question_Bank!$B$3:$B$14,E378)</f>
        <v>0</v>
      </c>
      <c r="M378" t="s">
        <v>196</v>
      </c>
    </row>
    <row r="379" spans="1:13">
      <c r="A379" t="s">
        <v>195</v>
      </c>
      <c r="B379" t="s">
        <v>132</v>
      </c>
      <c r="C379" t="s">
        <v>227</v>
      </c>
      <c r="D379" t="s">
        <v>54</v>
      </c>
      <c r="E379" t="s">
        <v>46</v>
      </c>
      <c r="F379" t="s">
        <v>23</v>
      </c>
      <c r="G379">
        <f>INDEX(Question_Bank!$J$3:$J$14,MATCH(D379,Question_Bank!$A$3:$A$14,0))</f>
        <v>0</v>
      </c>
      <c r="H379">
        <f>IF(F379=G379,1,0)</f>
        <v>0</v>
      </c>
      <c r="I379">
        <f>H379*INDEX(Question_Bank!$M$3:$M$14,MATCH(D379,Question_Bank!$A$3:$A$14,0))</f>
        <v>0</v>
      </c>
      <c r="J379">
        <f>SUMIFS($I$3:$I$566,$A$3:$A$566,A379)</f>
        <v>0</v>
      </c>
      <c r="K379" s="5">
        <f>J379/SUM(Question_Bank!$M$3:$M$14)</f>
        <v>0</v>
      </c>
      <c r="L379" s="5">
        <f>SUMIFS($I$3:$I$566,$A$3:$A$566,A379,$E$3:$E$566,E379)/SUMIFS(Question_Bank!$M$3:$M$14,Question_Bank!$B$3:$B$14,E379)</f>
        <v>0</v>
      </c>
      <c r="M379" t="s">
        <v>196</v>
      </c>
    </row>
    <row r="380" spans="1:13">
      <c r="A380" t="s">
        <v>195</v>
      </c>
      <c r="B380" t="s">
        <v>132</v>
      </c>
      <c r="C380" t="s">
        <v>227</v>
      </c>
      <c r="D380" t="s">
        <v>62</v>
      </c>
      <c r="E380" t="s">
        <v>46</v>
      </c>
      <c r="F380" t="s">
        <v>34</v>
      </c>
      <c r="G380">
        <f>INDEX(Question_Bank!$J$3:$J$14,MATCH(D380,Question_Bank!$A$3:$A$14,0))</f>
        <v>0</v>
      </c>
      <c r="H380">
        <f>IF(F380=G380,1,0)</f>
        <v>0</v>
      </c>
      <c r="I380">
        <f>H380*INDEX(Question_Bank!$M$3:$M$14,MATCH(D380,Question_Bank!$A$3:$A$14,0))</f>
        <v>0</v>
      </c>
      <c r="J380">
        <f>SUMIFS($I$3:$I$566,$A$3:$A$566,A380)</f>
        <v>0</v>
      </c>
      <c r="K380" s="5">
        <f>J380/SUM(Question_Bank!$M$3:$M$14)</f>
        <v>0</v>
      </c>
      <c r="L380" s="5">
        <f>SUMIFS($I$3:$I$566,$A$3:$A$566,A380,$E$3:$E$566,E380)/SUMIFS(Question_Bank!$M$3:$M$14,Question_Bank!$B$3:$B$14,E380)</f>
        <v>0</v>
      </c>
      <c r="M380" t="s">
        <v>196</v>
      </c>
    </row>
    <row r="381" spans="1:13">
      <c r="A381" t="s">
        <v>195</v>
      </c>
      <c r="B381" t="s">
        <v>132</v>
      </c>
      <c r="C381" t="s">
        <v>227</v>
      </c>
      <c r="D381" t="s">
        <v>70</v>
      </c>
      <c r="E381" t="s">
        <v>71</v>
      </c>
      <c r="F381" t="s">
        <v>23</v>
      </c>
      <c r="G381">
        <f>INDEX(Question_Bank!$J$3:$J$14,MATCH(D381,Question_Bank!$A$3:$A$14,0))</f>
        <v>0</v>
      </c>
      <c r="H381">
        <f>IF(F381=G381,1,0)</f>
        <v>0</v>
      </c>
      <c r="I381">
        <f>H381*INDEX(Question_Bank!$M$3:$M$14,MATCH(D381,Question_Bank!$A$3:$A$14,0))</f>
        <v>0</v>
      </c>
      <c r="J381">
        <f>SUMIFS($I$3:$I$566,$A$3:$A$566,A381)</f>
        <v>0</v>
      </c>
      <c r="K381" s="5">
        <f>J381/SUM(Question_Bank!$M$3:$M$14)</f>
        <v>0</v>
      </c>
      <c r="L381" s="5">
        <f>SUMIFS($I$3:$I$566,$A$3:$A$566,A381,$E$3:$E$566,E381)/SUMIFS(Question_Bank!$M$3:$M$14,Question_Bank!$B$3:$B$14,E381)</f>
        <v>0</v>
      </c>
      <c r="M381" t="s">
        <v>196</v>
      </c>
    </row>
    <row r="382" spans="1:13">
      <c r="A382" t="s">
        <v>195</v>
      </c>
      <c r="B382" t="s">
        <v>132</v>
      </c>
      <c r="C382" t="s">
        <v>227</v>
      </c>
      <c r="D382" t="s">
        <v>79</v>
      </c>
      <c r="E382" t="s">
        <v>71</v>
      </c>
      <c r="F382" t="s">
        <v>31</v>
      </c>
      <c r="G382">
        <f>INDEX(Question_Bank!$J$3:$J$14,MATCH(D382,Question_Bank!$A$3:$A$14,0))</f>
        <v>0</v>
      </c>
      <c r="H382">
        <f>IF(F382=G382,1,0)</f>
        <v>0</v>
      </c>
      <c r="I382">
        <f>H382*INDEX(Question_Bank!$M$3:$M$14,MATCH(D382,Question_Bank!$A$3:$A$14,0))</f>
        <v>0</v>
      </c>
      <c r="J382">
        <f>SUMIFS($I$3:$I$566,$A$3:$A$566,A382)</f>
        <v>0</v>
      </c>
      <c r="K382" s="5">
        <f>J382/SUM(Question_Bank!$M$3:$M$14)</f>
        <v>0</v>
      </c>
      <c r="L382" s="5">
        <f>SUMIFS($I$3:$I$566,$A$3:$A$566,A382,$E$3:$E$566,E382)/SUMIFS(Question_Bank!$M$3:$M$14,Question_Bank!$B$3:$B$14,E382)</f>
        <v>0</v>
      </c>
      <c r="M382" t="s">
        <v>196</v>
      </c>
    </row>
    <row r="383" spans="1:13">
      <c r="A383" t="s">
        <v>195</v>
      </c>
      <c r="B383" t="s">
        <v>132</v>
      </c>
      <c r="C383" t="s">
        <v>227</v>
      </c>
      <c r="D383" t="s">
        <v>87</v>
      </c>
      <c r="E383" t="s">
        <v>71</v>
      </c>
      <c r="F383" t="s">
        <v>34</v>
      </c>
      <c r="G383">
        <f>INDEX(Question_Bank!$J$3:$J$14,MATCH(D383,Question_Bank!$A$3:$A$14,0))</f>
        <v>0</v>
      </c>
      <c r="H383">
        <f>IF(F383=G383,1,0)</f>
        <v>0</v>
      </c>
      <c r="I383">
        <f>H383*INDEX(Question_Bank!$M$3:$M$14,MATCH(D383,Question_Bank!$A$3:$A$14,0))</f>
        <v>0</v>
      </c>
      <c r="J383">
        <f>SUMIFS($I$3:$I$566,$A$3:$A$566,A383)</f>
        <v>0</v>
      </c>
      <c r="K383" s="5">
        <f>J383/SUM(Question_Bank!$M$3:$M$14)</f>
        <v>0</v>
      </c>
      <c r="L383" s="5">
        <f>SUMIFS($I$3:$I$566,$A$3:$A$566,A383,$E$3:$E$566,E383)/SUMIFS(Question_Bank!$M$3:$M$14,Question_Bank!$B$3:$B$14,E383)</f>
        <v>0</v>
      </c>
      <c r="M383" t="s">
        <v>196</v>
      </c>
    </row>
    <row r="384" spans="1:13">
      <c r="A384" t="s">
        <v>195</v>
      </c>
      <c r="B384" t="s">
        <v>132</v>
      </c>
      <c r="C384" t="s">
        <v>227</v>
      </c>
      <c r="D384" t="s">
        <v>95</v>
      </c>
      <c r="E384" t="s">
        <v>96</v>
      </c>
      <c r="F384" t="s">
        <v>34</v>
      </c>
      <c r="G384">
        <f>INDEX(Question_Bank!$J$3:$J$14,MATCH(D384,Question_Bank!$A$3:$A$14,0))</f>
        <v>0</v>
      </c>
      <c r="H384">
        <f>IF(F384=G384,1,0)</f>
        <v>0</v>
      </c>
      <c r="I384">
        <f>H384*INDEX(Question_Bank!$M$3:$M$14,MATCH(D384,Question_Bank!$A$3:$A$14,0))</f>
        <v>0</v>
      </c>
      <c r="J384">
        <f>SUMIFS($I$3:$I$566,$A$3:$A$566,A384)</f>
        <v>0</v>
      </c>
      <c r="K384" s="5">
        <f>J384/SUM(Question_Bank!$M$3:$M$14)</f>
        <v>0</v>
      </c>
      <c r="L384" s="5">
        <f>SUMIFS($I$3:$I$566,$A$3:$A$566,A384,$E$3:$E$566,E384)/SUMIFS(Question_Bank!$M$3:$M$14,Question_Bank!$B$3:$B$14,E384)</f>
        <v>0</v>
      </c>
      <c r="M384" t="s">
        <v>196</v>
      </c>
    </row>
    <row r="385" spans="1:13">
      <c r="A385" t="s">
        <v>195</v>
      </c>
      <c r="B385" t="s">
        <v>132</v>
      </c>
      <c r="C385" t="s">
        <v>227</v>
      </c>
      <c r="D385" t="s">
        <v>104</v>
      </c>
      <c r="E385" t="s">
        <v>96</v>
      </c>
      <c r="F385" t="s">
        <v>20</v>
      </c>
      <c r="G385">
        <f>INDEX(Question_Bank!$J$3:$J$14,MATCH(D385,Question_Bank!$A$3:$A$14,0))</f>
        <v>0</v>
      </c>
      <c r="H385">
        <f>IF(F385=G385,1,0)</f>
        <v>0</v>
      </c>
      <c r="I385">
        <f>H385*INDEX(Question_Bank!$M$3:$M$14,MATCH(D385,Question_Bank!$A$3:$A$14,0))</f>
        <v>0</v>
      </c>
      <c r="J385">
        <f>SUMIFS($I$3:$I$566,$A$3:$A$566,A385)</f>
        <v>0</v>
      </c>
      <c r="K385" s="5">
        <f>J385/SUM(Question_Bank!$M$3:$M$14)</f>
        <v>0</v>
      </c>
      <c r="L385" s="5">
        <f>SUMIFS($I$3:$I$566,$A$3:$A$566,A385,$E$3:$E$566,E385)/SUMIFS(Question_Bank!$M$3:$M$14,Question_Bank!$B$3:$B$14,E385)</f>
        <v>0</v>
      </c>
      <c r="M385" t="s">
        <v>196</v>
      </c>
    </row>
    <row r="386" spans="1:13">
      <c r="A386" t="s">
        <v>195</v>
      </c>
      <c r="B386" t="s">
        <v>132</v>
      </c>
      <c r="C386" t="s">
        <v>227</v>
      </c>
      <c r="D386" t="s">
        <v>112</v>
      </c>
      <c r="E386" t="s">
        <v>96</v>
      </c>
      <c r="F386" t="s">
        <v>31</v>
      </c>
      <c r="G386">
        <f>INDEX(Question_Bank!$J$3:$J$14,MATCH(D386,Question_Bank!$A$3:$A$14,0))</f>
        <v>0</v>
      </c>
      <c r="H386">
        <f>IF(F386=G386,1,0)</f>
        <v>0</v>
      </c>
      <c r="I386">
        <f>H386*INDEX(Question_Bank!$M$3:$M$14,MATCH(D386,Question_Bank!$A$3:$A$14,0))</f>
        <v>0</v>
      </c>
      <c r="J386">
        <f>SUMIFS($I$3:$I$566,$A$3:$A$566,A386)</f>
        <v>0</v>
      </c>
      <c r="K386" s="5">
        <f>J386/SUM(Question_Bank!$M$3:$M$14)</f>
        <v>0</v>
      </c>
      <c r="L386" s="5">
        <f>SUMIFS($I$3:$I$566,$A$3:$A$566,A386,$E$3:$E$566,E386)/SUMIFS(Question_Bank!$M$3:$M$14,Question_Bank!$B$3:$B$14,E386)</f>
        <v>0</v>
      </c>
      <c r="M386" t="s">
        <v>196</v>
      </c>
    </row>
    <row r="387" spans="1:13">
      <c r="A387" t="s">
        <v>197</v>
      </c>
      <c r="B387" t="s">
        <v>132</v>
      </c>
      <c r="C387" t="s">
        <v>227</v>
      </c>
      <c r="D387" t="s">
        <v>14</v>
      </c>
      <c r="E387" t="s">
        <v>15</v>
      </c>
      <c r="F387" t="s">
        <v>23</v>
      </c>
      <c r="G387">
        <f>INDEX(Question_Bank!$J$3:$J$14,MATCH(D387,Question_Bank!$A$3:$A$14,0))</f>
        <v>0</v>
      </c>
      <c r="H387">
        <f>IF(F387=G387,1,0)</f>
        <v>0</v>
      </c>
      <c r="I387">
        <f>H387*INDEX(Question_Bank!$M$3:$M$14,MATCH(D387,Question_Bank!$A$3:$A$14,0))</f>
        <v>0</v>
      </c>
      <c r="J387">
        <f>SUMIFS($I$3:$I$566,$A$3:$A$566,A387)</f>
        <v>0</v>
      </c>
      <c r="K387" s="5">
        <f>J387/SUM(Question_Bank!$M$3:$M$14)</f>
        <v>0</v>
      </c>
      <c r="L387" s="5">
        <f>SUMIFS($I$3:$I$566,$A$3:$A$566,A387,$E$3:$E$566,E387)/SUMIFS(Question_Bank!$M$3:$M$14,Question_Bank!$B$3:$B$14,E387)</f>
        <v>0</v>
      </c>
      <c r="M387" t="s">
        <v>198</v>
      </c>
    </row>
    <row r="388" spans="1:13">
      <c r="A388" t="s">
        <v>197</v>
      </c>
      <c r="B388" t="s">
        <v>132</v>
      </c>
      <c r="C388" t="s">
        <v>227</v>
      </c>
      <c r="D388" t="s">
        <v>26</v>
      </c>
      <c r="E388" t="s">
        <v>15</v>
      </c>
      <c r="F388" t="s">
        <v>34</v>
      </c>
      <c r="G388">
        <f>INDEX(Question_Bank!$J$3:$J$14,MATCH(D388,Question_Bank!$A$3:$A$14,0))</f>
        <v>0</v>
      </c>
      <c r="H388">
        <f>IF(F388=G388,1,0)</f>
        <v>0</v>
      </c>
      <c r="I388">
        <f>H388*INDEX(Question_Bank!$M$3:$M$14,MATCH(D388,Question_Bank!$A$3:$A$14,0))</f>
        <v>0</v>
      </c>
      <c r="J388">
        <f>SUMIFS($I$3:$I$566,$A$3:$A$566,A388)</f>
        <v>0</v>
      </c>
      <c r="K388" s="5">
        <f>J388/SUM(Question_Bank!$M$3:$M$14)</f>
        <v>0</v>
      </c>
      <c r="L388" s="5">
        <f>SUMIFS($I$3:$I$566,$A$3:$A$566,A388,$E$3:$E$566,E388)/SUMIFS(Question_Bank!$M$3:$M$14,Question_Bank!$B$3:$B$14,E388)</f>
        <v>0</v>
      </c>
      <c r="M388" t="s">
        <v>198</v>
      </c>
    </row>
    <row r="389" spans="1:13">
      <c r="A389" t="s">
        <v>197</v>
      </c>
      <c r="B389" t="s">
        <v>132</v>
      </c>
      <c r="C389" t="s">
        <v>227</v>
      </c>
      <c r="D389" t="s">
        <v>37</v>
      </c>
      <c r="E389" t="s">
        <v>15</v>
      </c>
      <c r="F389" t="s">
        <v>20</v>
      </c>
      <c r="G389">
        <f>INDEX(Question_Bank!$J$3:$J$14,MATCH(D389,Question_Bank!$A$3:$A$14,0))</f>
        <v>0</v>
      </c>
      <c r="H389">
        <f>IF(F389=G389,1,0)</f>
        <v>0</v>
      </c>
      <c r="I389">
        <f>H389*INDEX(Question_Bank!$M$3:$M$14,MATCH(D389,Question_Bank!$A$3:$A$14,0))</f>
        <v>0</v>
      </c>
      <c r="J389">
        <f>SUMIFS($I$3:$I$566,$A$3:$A$566,A389)</f>
        <v>0</v>
      </c>
      <c r="K389" s="5">
        <f>J389/SUM(Question_Bank!$M$3:$M$14)</f>
        <v>0</v>
      </c>
      <c r="L389" s="5">
        <f>SUMIFS($I$3:$I$566,$A$3:$A$566,A389,$E$3:$E$566,E389)/SUMIFS(Question_Bank!$M$3:$M$14,Question_Bank!$B$3:$B$14,E389)</f>
        <v>0</v>
      </c>
      <c r="M389" t="s">
        <v>198</v>
      </c>
    </row>
    <row r="390" spans="1:13">
      <c r="A390" t="s">
        <v>197</v>
      </c>
      <c r="B390" t="s">
        <v>132</v>
      </c>
      <c r="C390" t="s">
        <v>227</v>
      </c>
      <c r="D390" t="s">
        <v>45</v>
      </c>
      <c r="E390" t="s">
        <v>46</v>
      </c>
      <c r="F390" t="s">
        <v>31</v>
      </c>
      <c r="G390">
        <f>INDEX(Question_Bank!$J$3:$J$14,MATCH(D390,Question_Bank!$A$3:$A$14,0))</f>
        <v>0</v>
      </c>
      <c r="H390">
        <f>IF(F390=G390,1,0)</f>
        <v>0</v>
      </c>
      <c r="I390">
        <f>H390*INDEX(Question_Bank!$M$3:$M$14,MATCH(D390,Question_Bank!$A$3:$A$14,0))</f>
        <v>0</v>
      </c>
      <c r="J390">
        <f>SUMIFS($I$3:$I$566,$A$3:$A$566,A390)</f>
        <v>0</v>
      </c>
      <c r="K390" s="5">
        <f>J390/SUM(Question_Bank!$M$3:$M$14)</f>
        <v>0</v>
      </c>
      <c r="L390" s="5">
        <f>SUMIFS($I$3:$I$566,$A$3:$A$566,A390,$E$3:$E$566,E390)/SUMIFS(Question_Bank!$M$3:$M$14,Question_Bank!$B$3:$B$14,E390)</f>
        <v>0</v>
      </c>
      <c r="M390" t="s">
        <v>198</v>
      </c>
    </row>
    <row r="391" spans="1:13">
      <c r="A391" t="s">
        <v>197</v>
      </c>
      <c r="B391" t="s">
        <v>132</v>
      </c>
      <c r="C391" t="s">
        <v>227</v>
      </c>
      <c r="D391" t="s">
        <v>54</v>
      </c>
      <c r="E391" t="s">
        <v>46</v>
      </c>
      <c r="F391" t="s">
        <v>23</v>
      </c>
      <c r="G391">
        <f>INDEX(Question_Bank!$J$3:$J$14,MATCH(D391,Question_Bank!$A$3:$A$14,0))</f>
        <v>0</v>
      </c>
      <c r="H391">
        <f>IF(F391=G391,1,0)</f>
        <v>0</v>
      </c>
      <c r="I391">
        <f>H391*INDEX(Question_Bank!$M$3:$M$14,MATCH(D391,Question_Bank!$A$3:$A$14,0))</f>
        <v>0</v>
      </c>
      <c r="J391">
        <f>SUMIFS($I$3:$I$566,$A$3:$A$566,A391)</f>
        <v>0</v>
      </c>
      <c r="K391" s="5">
        <f>J391/SUM(Question_Bank!$M$3:$M$14)</f>
        <v>0</v>
      </c>
      <c r="L391" s="5">
        <f>SUMIFS($I$3:$I$566,$A$3:$A$566,A391,$E$3:$E$566,E391)/SUMIFS(Question_Bank!$M$3:$M$14,Question_Bank!$B$3:$B$14,E391)</f>
        <v>0</v>
      </c>
      <c r="M391" t="s">
        <v>198</v>
      </c>
    </row>
    <row r="392" spans="1:13">
      <c r="A392" t="s">
        <v>197</v>
      </c>
      <c r="B392" t="s">
        <v>132</v>
      </c>
      <c r="C392" t="s">
        <v>227</v>
      </c>
      <c r="D392" t="s">
        <v>62</v>
      </c>
      <c r="E392" t="s">
        <v>46</v>
      </c>
      <c r="F392" t="s">
        <v>34</v>
      </c>
      <c r="G392">
        <f>INDEX(Question_Bank!$J$3:$J$14,MATCH(D392,Question_Bank!$A$3:$A$14,0))</f>
        <v>0</v>
      </c>
      <c r="H392">
        <f>IF(F392=G392,1,0)</f>
        <v>0</v>
      </c>
      <c r="I392">
        <f>H392*INDEX(Question_Bank!$M$3:$M$14,MATCH(D392,Question_Bank!$A$3:$A$14,0))</f>
        <v>0</v>
      </c>
      <c r="J392">
        <f>SUMIFS($I$3:$I$566,$A$3:$A$566,A392)</f>
        <v>0</v>
      </c>
      <c r="K392" s="5">
        <f>J392/SUM(Question_Bank!$M$3:$M$14)</f>
        <v>0</v>
      </c>
      <c r="L392" s="5">
        <f>SUMIFS($I$3:$I$566,$A$3:$A$566,A392,$E$3:$E$566,E392)/SUMIFS(Question_Bank!$M$3:$M$14,Question_Bank!$B$3:$B$14,E392)</f>
        <v>0</v>
      </c>
      <c r="M392" t="s">
        <v>198</v>
      </c>
    </row>
    <row r="393" spans="1:13">
      <c r="A393" t="s">
        <v>197</v>
      </c>
      <c r="B393" t="s">
        <v>132</v>
      </c>
      <c r="C393" t="s">
        <v>227</v>
      </c>
      <c r="D393" t="s">
        <v>70</v>
      </c>
      <c r="E393" t="s">
        <v>71</v>
      </c>
      <c r="F393" t="s">
        <v>23</v>
      </c>
      <c r="G393">
        <f>INDEX(Question_Bank!$J$3:$J$14,MATCH(D393,Question_Bank!$A$3:$A$14,0))</f>
        <v>0</v>
      </c>
      <c r="H393">
        <f>IF(F393=G393,1,0)</f>
        <v>0</v>
      </c>
      <c r="I393">
        <f>H393*INDEX(Question_Bank!$M$3:$M$14,MATCH(D393,Question_Bank!$A$3:$A$14,0))</f>
        <v>0</v>
      </c>
      <c r="J393">
        <f>SUMIFS($I$3:$I$566,$A$3:$A$566,A393)</f>
        <v>0</v>
      </c>
      <c r="K393" s="5">
        <f>J393/SUM(Question_Bank!$M$3:$M$14)</f>
        <v>0</v>
      </c>
      <c r="L393" s="5">
        <f>SUMIFS($I$3:$I$566,$A$3:$A$566,A393,$E$3:$E$566,E393)/SUMIFS(Question_Bank!$M$3:$M$14,Question_Bank!$B$3:$B$14,E393)</f>
        <v>0</v>
      </c>
      <c r="M393" t="s">
        <v>198</v>
      </c>
    </row>
    <row r="394" spans="1:13">
      <c r="A394" t="s">
        <v>197</v>
      </c>
      <c r="B394" t="s">
        <v>132</v>
      </c>
      <c r="C394" t="s">
        <v>227</v>
      </c>
      <c r="D394" t="s">
        <v>79</v>
      </c>
      <c r="E394" t="s">
        <v>71</v>
      </c>
      <c r="F394" t="s">
        <v>31</v>
      </c>
      <c r="G394">
        <f>INDEX(Question_Bank!$J$3:$J$14,MATCH(D394,Question_Bank!$A$3:$A$14,0))</f>
        <v>0</v>
      </c>
      <c r="H394">
        <f>IF(F394=G394,1,0)</f>
        <v>0</v>
      </c>
      <c r="I394">
        <f>H394*INDEX(Question_Bank!$M$3:$M$14,MATCH(D394,Question_Bank!$A$3:$A$14,0))</f>
        <v>0</v>
      </c>
      <c r="J394">
        <f>SUMIFS($I$3:$I$566,$A$3:$A$566,A394)</f>
        <v>0</v>
      </c>
      <c r="K394" s="5">
        <f>J394/SUM(Question_Bank!$M$3:$M$14)</f>
        <v>0</v>
      </c>
      <c r="L394" s="5">
        <f>SUMIFS($I$3:$I$566,$A$3:$A$566,A394,$E$3:$E$566,E394)/SUMIFS(Question_Bank!$M$3:$M$14,Question_Bank!$B$3:$B$14,E394)</f>
        <v>0</v>
      </c>
      <c r="M394" t="s">
        <v>198</v>
      </c>
    </row>
    <row r="395" spans="1:13">
      <c r="A395" t="s">
        <v>197</v>
      </c>
      <c r="B395" t="s">
        <v>132</v>
      </c>
      <c r="C395" t="s">
        <v>227</v>
      </c>
      <c r="D395" t="s">
        <v>87</v>
      </c>
      <c r="E395" t="s">
        <v>71</v>
      </c>
      <c r="F395" t="s">
        <v>34</v>
      </c>
      <c r="G395">
        <f>INDEX(Question_Bank!$J$3:$J$14,MATCH(D395,Question_Bank!$A$3:$A$14,0))</f>
        <v>0</v>
      </c>
      <c r="H395">
        <f>IF(F395=G395,1,0)</f>
        <v>0</v>
      </c>
      <c r="I395">
        <f>H395*INDEX(Question_Bank!$M$3:$M$14,MATCH(D395,Question_Bank!$A$3:$A$14,0))</f>
        <v>0</v>
      </c>
      <c r="J395">
        <f>SUMIFS($I$3:$I$566,$A$3:$A$566,A395)</f>
        <v>0</v>
      </c>
      <c r="K395" s="5">
        <f>J395/SUM(Question_Bank!$M$3:$M$14)</f>
        <v>0</v>
      </c>
      <c r="L395" s="5">
        <f>SUMIFS($I$3:$I$566,$A$3:$A$566,A395,$E$3:$E$566,E395)/SUMIFS(Question_Bank!$M$3:$M$14,Question_Bank!$B$3:$B$14,E395)</f>
        <v>0</v>
      </c>
      <c r="M395" t="s">
        <v>198</v>
      </c>
    </row>
    <row r="396" spans="1:13">
      <c r="A396" t="s">
        <v>197</v>
      </c>
      <c r="B396" t="s">
        <v>132</v>
      </c>
      <c r="C396" t="s">
        <v>227</v>
      </c>
      <c r="D396" t="s">
        <v>95</v>
      </c>
      <c r="E396" t="s">
        <v>96</v>
      </c>
      <c r="F396" t="s">
        <v>34</v>
      </c>
      <c r="G396">
        <f>INDEX(Question_Bank!$J$3:$J$14,MATCH(D396,Question_Bank!$A$3:$A$14,0))</f>
        <v>0</v>
      </c>
      <c r="H396">
        <f>IF(F396=G396,1,0)</f>
        <v>0</v>
      </c>
      <c r="I396">
        <f>H396*INDEX(Question_Bank!$M$3:$M$14,MATCH(D396,Question_Bank!$A$3:$A$14,0))</f>
        <v>0</v>
      </c>
      <c r="J396">
        <f>SUMIFS($I$3:$I$566,$A$3:$A$566,A396)</f>
        <v>0</v>
      </c>
      <c r="K396" s="5">
        <f>J396/SUM(Question_Bank!$M$3:$M$14)</f>
        <v>0</v>
      </c>
      <c r="L396" s="5">
        <f>SUMIFS($I$3:$I$566,$A$3:$A$566,A396,$E$3:$E$566,E396)/SUMIFS(Question_Bank!$M$3:$M$14,Question_Bank!$B$3:$B$14,E396)</f>
        <v>0</v>
      </c>
      <c r="M396" t="s">
        <v>198</v>
      </c>
    </row>
    <row r="397" spans="1:13">
      <c r="A397" t="s">
        <v>197</v>
      </c>
      <c r="B397" t="s">
        <v>132</v>
      </c>
      <c r="C397" t="s">
        <v>227</v>
      </c>
      <c r="D397" t="s">
        <v>104</v>
      </c>
      <c r="E397" t="s">
        <v>96</v>
      </c>
      <c r="F397" t="s">
        <v>20</v>
      </c>
      <c r="G397">
        <f>INDEX(Question_Bank!$J$3:$J$14,MATCH(D397,Question_Bank!$A$3:$A$14,0))</f>
        <v>0</v>
      </c>
      <c r="H397">
        <f>IF(F397=G397,1,0)</f>
        <v>0</v>
      </c>
      <c r="I397">
        <f>H397*INDEX(Question_Bank!$M$3:$M$14,MATCH(D397,Question_Bank!$A$3:$A$14,0))</f>
        <v>0</v>
      </c>
      <c r="J397">
        <f>SUMIFS($I$3:$I$566,$A$3:$A$566,A397)</f>
        <v>0</v>
      </c>
      <c r="K397" s="5">
        <f>J397/SUM(Question_Bank!$M$3:$M$14)</f>
        <v>0</v>
      </c>
      <c r="L397" s="5">
        <f>SUMIFS($I$3:$I$566,$A$3:$A$566,A397,$E$3:$E$566,E397)/SUMIFS(Question_Bank!$M$3:$M$14,Question_Bank!$B$3:$B$14,E397)</f>
        <v>0</v>
      </c>
      <c r="M397" t="s">
        <v>198</v>
      </c>
    </row>
    <row r="398" spans="1:13">
      <c r="A398" t="s">
        <v>197</v>
      </c>
      <c r="B398" t="s">
        <v>132</v>
      </c>
      <c r="C398" t="s">
        <v>227</v>
      </c>
      <c r="D398" t="s">
        <v>112</v>
      </c>
      <c r="E398" t="s">
        <v>96</v>
      </c>
      <c r="F398" t="s">
        <v>31</v>
      </c>
      <c r="G398">
        <f>INDEX(Question_Bank!$J$3:$J$14,MATCH(D398,Question_Bank!$A$3:$A$14,0))</f>
        <v>0</v>
      </c>
      <c r="H398">
        <f>IF(F398=G398,1,0)</f>
        <v>0</v>
      </c>
      <c r="I398">
        <f>H398*INDEX(Question_Bank!$M$3:$M$14,MATCH(D398,Question_Bank!$A$3:$A$14,0))</f>
        <v>0</v>
      </c>
      <c r="J398">
        <f>SUMIFS($I$3:$I$566,$A$3:$A$566,A398)</f>
        <v>0</v>
      </c>
      <c r="K398" s="5">
        <f>J398/SUM(Question_Bank!$M$3:$M$14)</f>
        <v>0</v>
      </c>
      <c r="L398" s="5">
        <f>SUMIFS($I$3:$I$566,$A$3:$A$566,A398,$E$3:$E$566,E398)/SUMIFS(Question_Bank!$M$3:$M$14,Question_Bank!$B$3:$B$14,E398)</f>
        <v>0</v>
      </c>
      <c r="M398" t="s">
        <v>198</v>
      </c>
    </row>
    <row r="399" spans="1:13">
      <c r="A399" t="s">
        <v>199</v>
      </c>
      <c r="B399" t="s">
        <v>132</v>
      </c>
      <c r="C399" t="s">
        <v>227</v>
      </c>
      <c r="D399" t="s">
        <v>14</v>
      </c>
      <c r="E399" t="s">
        <v>15</v>
      </c>
      <c r="F399" t="s">
        <v>31</v>
      </c>
      <c r="G399">
        <f>INDEX(Question_Bank!$J$3:$J$14,MATCH(D399,Question_Bank!$A$3:$A$14,0))</f>
        <v>0</v>
      </c>
      <c r="H399">
        <f>IF(F399=G399,1,0)</f>
        <v>0</v>
      </c>
      <c r="I399">
        <f>H399*INDEX(Question_Bank!$M$3:$M$14,MATCH(D399,Question_Bank!$A$3:$A$14,0))</f>
        <v>0</v>
      </c>
      <c r="J399">
        <f>SUMIFS($I$3:$I$566,$A$3:$A$566,A399)</f>
        <v>0</v>
      </c>
      <c r="K399" s="5">
        <f>J399/SUM(Question_Bank!$M$3:$M$14)</f>
        <v>0</v>
      </c>
      <c r="L399" s="5">
        <f>SUMIFS($I$3:$I$566,$A$3:$A$566,A399,$E$3:$E$566,E399)/SUMIFS(Question_Bank!$M$3:$M$14,Question_Bank!$B$3:$B$14,E399)</f>
        <v>0</v>
      </c>
      <c r="M399" t="s">
        <v>200</v>
      </c>
    </row>
    <row r="400" spans="1:13">
      <c r="A400" t="s">
        <v>199</v>
      </c>
      <c r="B400" t="s">
        <v>132</v>
      </c>
      <c r="C400" t="s">
        <v>227</v>
      </c>
      <c r="D400" t="s">
        <v>26</v>
      </c>
      <c r="E400" t="s">
        <v>15</v>
      </c>
      <c r="F400" t="s">
        <v>23</v>
      </c>
      <c r="G400">
        <f>INDEX(Question_Bank!$J$3:$J$14,MATCH(D400,Question_Bank!$A$3:$A$14,0))</f>
        <v>0</v>
      </c>
      <c r="H400">
        <f>IF(F400=G400,1,0)</f>
        <v>0</v>
      </c>
      <c r="I400">
        <f>H400*INDEX(Question_Bank!$M$3:$M$14,MATCH(D400,Question_Bank!$A$3:$A$14,0))</f>
        <v>0</v>
      </c>
      <c r="J400">
        <f>SUMIFS($I$3:$I$566,$A$3:$A$566,A400)</f>
        <v>0</v>
      </c>
      <c r="K400" s="5">
        <f>J400/SUM(Question_Bank!$M$3:$M$14)</f>
        <v>0</v>
      </c>
      <c r="L400" s="5">
        <f>SUMIFS($I$3:$I$566,$A$3:$A$566,A400,$E$3:$E$566,E400)/SUMIFS(Question_Bank!$M$3:$M$14,Question_Bank!$B$3:$B$14,E400)</f>
        <v>0</v>
      </c>
      <c r="M400" t="s">
        <v>200</v>
      </c>
    </row>
    <row r="401" spans="1:13">
      <c r="A401" t="s">
        <v>199</v>
      </c>
      <c r="B401" t="s">
        <v>132</v>
      </c>
      <c r="C401" t="s">
        <v>227</v>
      </c>
      <c r="D401" t="s">
        <v>37</v>
      </c>
      <c r="E401" t="s">
        <v>15</v>
      </c>
      <c r="F401" t="s">
        <v>31</v>
      </c>
      <c r="G401">
        <f>INDEX(Question_Bank!$J$3:$J$14,MATCH(D401,Question_Bank!$A$3:$A$14,0))</f>
        <v>0</v>
      </c>
      <c r="H401">
        <f>IF(F401=G401,1,0)</f>
        <v>0</v>
      </c>
      <c r="I401">
        <f>H401*INDEX(Question_Bank!$M$3:$M$14,MATCH(D401,Question_Bank!$A$3:$A$14,0))</f>
        <v>0</v>
      </c>
      <c r="J401">
        <f>SUMIFS($I$3:$I$566,$A$3:$A$566,A401)</f>
        <v>0</v>
      </c>
      <c r="K401" s="5">
        <f>J401/SUM(Question_Bank!$M$3:$M$14)</f>
        <v>0</v>
      </c>
      <c r="L401" s="5">
        <f>SUMIFS($I$3:$I$566,$A$3:$A$566,A401,$E$3:$E$566,E401)/SUMIFS(Question_Bank!$M$3:$M$14,Question_Bank!$B$3:$B$14,E401)</f>
        <v>0</v>
      </c>
      <c r="M401" t="s">
        <v>200</v>
      </c>
    </row>
    <row r="402" spans="1:13">
      <c r="A402" t="s">
        <v>199</v>
      </c>
      <c r="B402" t="s">
        <v>132</v>
      </c>
      <c r="C402" t="s">
        <v>227</v>
      </c>
      <c r="D402" t="s">
        <v>45</v>
      </c>
      <c r="E402" t="s">
        <v>46</v>
      </c>
      <c r="F402" t="s">
        <v>34</v>
      </c>
      <c r="G402">
        <f>INDEX(Question_Bank!$J$3:$J$14,MATCH(D402,Question_Bank!$A$3:$A$14,0))</f>
        <v>0</v>
      </c>
      <c r="H402">
        <f>IF(F402=G402,1,0)</f>
        <v>0</v>
      </c>
      <c r="I402">
        <f>H402*INDEX(Question_Bank!$M$3:$M$14,MATCH(D402,Question_Bank!$A$3:$A$14,0))</f>
        <v>0</v>
      </c>
      <c r="J402">
        <f>SUMIFS($I$3:$I$566,$A$3:$A$566,A402)</f>
        <v>0</v>
      </c>
      <c r="K402" s="5">
        <f>J402/SUM(Question_Bank!$M$3:$M$14)</f>
        <v>0</v>
      </c>
      <c r="L402" s="5">
        <f>SUMIFS($I$3:$I$566,$A$3:$A$566,A402,$E$3:$E$566,E402)/SUMIFS(Question_Bank!$M$3:$M$14,Question_Bank!$B$3:$B$14,E402)</f>
        <v>0</v>
      </c>
      <c r="M402" t="s">
        <v>200</v>
      </c>
    </row>
    <row r="403" spans="1:13">
      <c r="A403" t="s">
        <v>199</v>
      </c>
      <c r="B403" t="s">
        <v>132</v>
      </c>
      <c r="C403" t="s">
        <v>227</v>
      </c>
      <c r="D403" t="s">
        <v>54</v>
      </c>
      <c r="E403" t="s">
        <v>46</v>
      </c>
      <c r="F403" t="s">
        <v>23</v>
      </c>
      <c r="G403">
        <f>INDEX(Question_Bank!$J$3:$J$14,MATCH(D403,Question_Bank!$A$3:$A$14,0))</f>
        <v>0</v>
      </c>
      <c r="H403">
        <f>IF(F403=G403,1,0)</f>
        <v>0</v>
      </c>
      <c r="I403">
        <f>H403*INDEX(Question_Bank!$M$3:$M$14,MATCH(D403,Question_Bank!$A$3:$A$14,0))</f>
        <v>0</v>
      </c>
      <c r="J403">
        <f>SUMIFS($I$3:$I$566,$A$3:$A$566,A403)</f>
        <v>0</v>
      </c>
      <c r="K403" s="5">
        <f>J403/SUM(Question_Bank!$M$3:$M$14)</f>
        <v>0</v>
      </c>
      <c r="L403" s="5">
        <f>SUMIFS($I$3:$I$566,$A$3:$A$566,A403,$E$3:$E$566,E403)/SUMIFS(Question_Bank!$M$3:$M$14,Question_Bank!$B$3:$B$14,E403)</f>
        <v>0</v>
      </c>
      <c r="M403" t="s">
        <v>200</v>
      </c>
    </row>
    <row r="404" spans="1:13">
      <c r="A404" t="s">
        <v>199</v>
      </c>
      <c r="B404" t="s">
        <v>132</v>
      </c>
      <c r="C404" t="s">
        <v>227</v>
      </c>
      <c r="D404" t="s">
        <v>62</v>
      </c>
      <c r="E404" t="s">
        <v>46</v>
      </c>
      <c r="F404" t="s">
        <v>31</v>
      </c>
      <c r="G404">
        <f>INDEX(Question_Bank!$J$3:$J$14,MATCH(D404,Question_Bank!$A$3:$A$14,0))</f>
        <v>0</v>
      </c>
      <c r="H404">
        <f>IF(F404=G404,1,0)</f>
        <v>0</v>
      </c>
      <c r="I404">
        <f>H404*INDEX(Question_Bank!$M$3:$M$14,MATCH(D404,Question_Bank!$A$3:$A$14,0))</f>
        <v>0</v>
      </c>
      <c r="J404">
        <f>SUMIFS($I$3:$I$566,$A$3:$A$566,A404)</f>
        <v>0</v>
      </c>
      <c r="K404" s="5">
        <f>J404/SUM(Question_Bank!$M$3:$M$14)</f>
        <v>0</v>
      </c>
      <c r="L404" s="5">
        <f>SUMIFS($I$3:$I$566,$A$3:$A$566,A404,$E$3:$E$566,E404)/SUMIFS(Question_Bank!$M$3:$M$14,Question_Bank!$B$3:$B$14,E404)</f>
        <v>0</v>
      </c>
      <c r="M404" t="s">
        <v>200</v>
      </c>
    </row>
    <row r="405" spans="1:13">
      <c r="A405" t="s">
        <v>199</v>
      </c>
      <c r="B405" t="s">
        <v>132</v>
      </c>
      <c r="C405" t="s">
        <v>227</v>
      </c>
      <c r="D405" t="s">
        <v>70</v>
      </c>
      <c r="E405" t="s">
        <v>71</v>
      </c>
      <c r="F405" t="s">
        <v>34</v>
      </c>
      <c r="G405">
        <f>INDEX(Question_Bank!$J$3:$J$14,MATCH(D405,Question_Bank!$A$3:$A$14,0))</f>
        <v>0</v>
      </c>
      <c r="H405">
        <f>IF(F405=G405,1,0)</f>
        <v>0</v>
      </c>
      <c r="I405">
        <f>H405*INDEX(Question_Bank!$M$3:$M$14,MATCH(D405,Question_Bank!$A$3:$A$14,0))</f>
        <v>0</v>
      </c>
      <c r="J405">
        <f>SUMIFS($I$3:$I$566,$A$3:$A$566,A405)</f>
        <v>0</v>
      </c>
      <c r="K405" s="5">
        <f>J405/SUM(Question_Bank!$M$3:$M$14)</f>
        <v>0</v>
      </c>
      <c r="L405" s="5">
        <f>SUMIFS($I$3:$I$566,$A$3:$A$566,A405,$E$3:$E$566,E405)/SUMIFS(Question_Bank!$M$3:$M$14,Question_Bank!$B$3:$B$14,E405)</f>
        <v>0</v>
      </c>
      <c r="M405" t="s">
        <v>200</v>
      </c>
    </row>
    <row r="406" spans="1:13">
      <c r="A406" t="s">
        <v>199</v>
      </c>
      <c r="B406" t="s">
        <v>132</v>
      </c>
      <c r="C406" t="s">
        <v>227</v>
      </c>
      <c r="D406" t="s">
        <v>79</v>
      </c>
      <c r="E406" t="s">
        <v>71</v>
      </c>
      <c r="F406" t="s">
        <v>34</v>
      </c>
      <c r="G406">
        <f>INDEX(Question_Bank!$J$3:$J$14,MATCH(D406,Question_Bank!$A$3:$A$14,0))</f>
        <v>0</v>
      </c>
      <c r="H406">
        <f>IF(F406=G406,1,0)</f>
        <v>0</v>
      </c>
      <c r="I406">
        <f>H406*INDEX(Question_Bank!$M$3:$M$14,MATCH(D406,Question_Bank!$A$3:$A$14,0))</f>
        <v>0</v>
      </c>
      <c r="J406">
        <f>SUMIFS($I$3:$I$566,$A$3:$A$566,A406)</f>
        <v>0</v>
      </c>
      <c r="K406" s="5">
        <f>J406/SUM(Question_Bank!$M$3:$M$14)</f>
        <v>0</v>
      </c>
      <c r="L406" s="5">
        <f>SUMIFS($I$3:$I$566,$A$3:$A$566,A406,$E$3:$E$566,E406)/SUMIFS(Question_Bank!$M$3:$M$14,Question_Bank!$B$3:$B$14,E406)</f>
        <v>0</v>
      </c>
      <c r="M406" t="s">
        <v>200</v>
      </c>
    </row>
    <row r="407" spans="1:13">
      <c r="A407" t="s">
        <v>199</v>
      </c>
      <c r="B407" t="s">
        <v>132</v>
      </c>
      <c r="C407" t="s">
        <v>227</v>
      </c>
      <c r="D407" t="s">
        <v>87</v>
      </c>
      <c r="E407" t="s">
        <v>71</v>
      </c>
      <c r="F407" t="s">
        <v>31</v>
      </c>
      <c r="G407">
        <f>INDEX(Question_Bank!$J$3:$J$14,MATCH(D407,Question_Bank!$A$3:$A$14,0))</f>
        <v>0</v>
      </c>
      <c r="H407">
        <f>IF(F407=G407,1,0)</f>
        <v>0</v>
      </c>
      <c r="I407">
        <f>H407*INDEX(Question_Bank!$M$3:$M$14,MATCH(D407,Question_Bank!$A$3:$A$14,0))</f>
        <v>0</v>
      </c>
      <c r="J407">
        <f>SUMIFS($I$3:$I$566,$A$3:$A$566,A407)</f>
        <v>0</v>
      </c>
      <c r="K407" s="5">
        <f>J407/SUM(Question_Bank!$M$3:$M$14)</f>
        <v>0</v>
      </c>
      <c r="L407" s="5">
        <f>SUMIFS($I$3:$I$566,$A$3:$A$566,A407,$E$3:$E$566,E407)/SUMIFS(Question_Bank!$M$3:$M$14,Question_Bank!$B$3:$B$14,E407)</f>
        <v>0</v>
      </c>
      <c r="M407" t="s">
        <v>200</v>
      </c>
    </row>
    <row r="408" spans="1:13">
      <c r="A408" t="s">
        <v>199</v>
      </c>
      <c r="B408" t="s">
        <v>132</v>
      </c>
      <c r="C408" t="s">
        <v>227</v>
      </c>
      <c r="D408" t="s">
        <v>95</v>
      </c>
      <c r="E408" t="s">
        <v>96</v>
      </c>
      <c r="F408" t="s">
        <v>23</v>
      </c>
      <c r="G408">
        <f>INDEX(Question_Bank!$J$3:$J$14,MATCH(D408,Question_Bank!$A$3:$A$14,0))</f>
        <v>0</v>
      </c>
      <c r="H408">
        <f>IF(F408=G408,1,0)</f>
        <v>0</v>
      </c>
      <c r="I408">
        <f>H408*INDEX(Question_Bank!$M$3:$M$14,MATCH(D408,Question_Bank!$A$3:$A$14,0))</f>
        <v>0</v>
      </c>
      <c r="J408">
        <f>SUMIFS($I$3:$I$566,$A$3:$A$566,A408)</f>
        <v>0</v>
      </c>
      <c r="K408" s="5">
        <f>J408/SUM(Question_Bank!$M$3:$M$14)</f>
        <v>0</v>
      </c>
      <c r="L408" s="5">
        <f>SUMIFS($I$3:$I$566,$A$3:$A$566,A408,$E$3:$E$566,E408)/SUMIFS(Question_Bank!$M$3:$M$14,Question_Bank!$B$3:$B$14,E408)</f>
        <v>0</v>
      </c>
      <c r="M408" t="s">
        <v>200</v>
      </c>
    </row>
    <row r="409" spans="1:13">
      <c r="A409" t="s">
        <v>199</v>
      </c>
      <c r="B409" t="s">
        <v>132</v>
      </c>
      <c r="C409" t="s">
        <v>227</v>
      </c>
      <c r="D409" t="s">
        <v>104</v>
      </c>
      <c r="E409" t="s">
        <v>96</v>
      </c>
      <c r="F409" t="s">
        <v>20</v>
      </c>
      <c r="G409">
        <f>INDEX(Question_Bank!$J$3:$J$14,MATCH(D409,Question_Bank!$A$3:$A$14,0))</f>
        <v>0</v>
      </c>
      <c r="H409">
        <f>IF(F409=G409,1,0)</f>
        <v>0</v>
      </c>
      <c r="I409">
        <f>H409*INDEX(Question_Bank!$M$3:$M$14,MATCH(D409,Question_Bank!$A$3:$A$14,0))</f>
        <v>0</v>
      </c>
      <c r="J409">
        <f>SUMIFS($I$3:$I$566,$A$3:$A$566,A409)</f>
        <v>0</v>
      </c>
      <c r="K409" s="5">
        <f>J409/SUM(Question_Bank!$M$3:$M$14)</f>
        <v>0</v>
      </c>
      <c r="L409" s="5">
        <f>SUMIFS($I$3:$I$566,$A$3:$A$566,A409,$E$3:$E$566,E409)/SUMIFS(Question_Bank!$M$3:$M$14,Question_Bank!$B$3:$B$14,E409)</f>
        <v>0</v>
      </c>
      <c r="M409" t="s">
        <v>200</v>
      </c>
    </row>
    <row r="410" spans="1:13">
      <c r="A410" t="s">
        <v>199</v>
      </c>
      <c r="B410" t="s">
        <v>132</v>
      </c>
      <c r="C410" t="s">
        <v>227</v>
      </c>
      <c r="D410" t="s">
        <v>112</v>
      </c>
      <c r="E410" t="s">
        <v>96</v>
      </c>
      <c r="F410" t="s">
        <v>20</v>
      </c>
      <c r="G410">
        <f>INDEX(Question_Bank!$J$3:$J$14,MATCH(D410,Question_Bank!$A$3:$A$14,0))</f>
        <v>0</v>
      </c>
      <c r="H410">
        <f>IF(F410=G410,1,0)</f>
        <v>0</v>
      </c>
      <c r="I410">
        <f>H410*INDEX(Question_Bank!$M$3:$M$14,MATCH(D410,Question_Bank!$A$3:$A$14,0))</f>
        <v>0</v>
      </c>
      <c r="J410">
        <f>SUMIFS($I$3:$I$566,$A$3:$A$566,A410)</f>
        <v>0</v>
      </c>
      <c r="K410" s="5">
        <f>J410/SUM(Question_Bank!$M$3:$M$14)</f>
        <v>0</v>
      </c>
      <c r="L410" s="5">
        <f>SUMIFS($I$3:$I$566,$A$3:$A$566,A410,$E$3:$E$566,E410)/SUMIFS(Question_Bank!$M$3:$M$14,Question_Bank!$B$3:$B$14,E410)</f>
        <v>0</v>
      </c>
      <c r="M410" t="s">
        <v>200</v>
      </c>
    </row>
    <row r="411" spans="1:13">
      <c r="A411" t="s">
        <v>201</v>
      </c>
      <c r="B411" t="s">
        <v>132</v>
      </c>
      <c r="C411" t="s">
        <v>227</v>
      </c>
      <c r="D411" t="s">
        <v>14</v>
      </c>
      <c r="E411" t="s">
        <v>15</v>
      </c>
      <c r="F411" t="s">
        <v>31</v>
      </c>
      <c r="G411">
        <f>INDEX(Question_Bank!$J$3:$J$14,MATCH(D411,Question_Bank!$A$3:$A$14,0))</f>
        <v>0</v>
      </c>
      <c r="H411">
        <f>IF(F411=G411,1,0)</f>
        <v>0</v>
      </c>
      <c r="I411">
        <f>H411*INDEX(Question_Bank!$M$3:$M$14,MATCH(D411,Question_Bank!$A$3:$A$14,0))</f>
        <v>0</v>
      </c>
      <c r="J411">
        <f>SUMIFS($I$3:$I$566,$A$3:$A$566,A411)</f>
        <v>0</v>
      </c>
      <c r="K411" s="5">
        <f>J411/SUM(Question_Bank!$M$3:$M$14)</f>
        <v>0</v>
      </c>
      <c r="L411" s="5">
        <f>SUMIFS($I$3:$I$566,$A$3:$A$566,A411,$E$3:$E$566,E411)/SUMIFS(Question_Bank!$M$3:$M$14,Question_Bank!$B$3:$B$14,E411)</f>
        <v>0</v>
      </c>
      <c r="M411" t="s">
        <v>202</v>
      </c>
    </row>
    <row r="412" spans="1:13">
      <c r="A412" t="s">
        <v>201</v>
      </c>
      <c r="B412" t="s">
        <v>132</v>
      </c>
      <c r="C412" t="s">
        <v>227</v>
      </c>
      <c r="D412" t="s">
        <v>26</v>
      </c>
      <c r="E412" t="s">
        <v>15</v>
      </c>
      <c r="F412" t="s">
        <v>31</v>
      </c>
      <c r="G412">
        <f>INDEX(Question_Bank!$J$3:$J$14,MATCH(D412,Question_Bank!$A$3:$A$14,0))</f>
        <v>0</v>
      </c>
      <c r="H412">
        <f>IF(F412=G412,1,0)</f>
        <v>0</v>
      </c>
      <c r="I412">
        <f>H412*INDEX(Question_Bank!$M$3:$M$14,MATCH(D412,Question_Bank!$A$3:$A$14,0))</f>
        <v>0</v>
      </c>
      <c r="J412">
        <f>SUMIFS($I$3:$I$566,$A$3:$A$566,A412)</f>
        <v>0</v>
      </c>
      <c r="K412" s="5">
        <f>J412/SUM(Question_Bank!$M$3:$M$14)</f>
        <v>0</v>
      </c>
      <c r="L412" s="5">
        <f>SUMIFS($I$3:$I$566,$A$3:$A$566,A412,$E$3:$E$566,E412)/SUMIFS(Question_Bank!$M$3:$M$14,Question_Bank!$B$3:$B$14,E412)</f>
        <v>0</v>
      </c>
      <c r="M412" t="s">
        <v>202</v>
      </c>
    </row>
    <row r="413" spans="1:13">
      <c r="A413" t="s">
        <v>201</v>
      </c>
      <c r="B413" t="s">
        <v>132</v>
      </c>
      <c r="C413" t="s">
        <v>227</v>
      </c>
      <c r="D413" t="s">
        <v>37</v>
      </c>
      <c r="E413" t="s">
        <v>15</v>
      </c>
      <c r="F413" t="s">
        <v>23</v>
      </c>
      <c r="G413">
        <f>INDEX(Question_Bank!$J$3:$J$14,MATCH(D413,Question_Bank!$A$3:$A$14,0))</f>
        <v>0</v>
      </c>
      <c r="H413">
        <f>IF(F413=G413,1,0)</f>
        <v>0</v>
      </c>
      <c r="I413">
        <f>H413*INDEX(Question_Bank!$M$3:$M$14,MATCH(D413,Question_Bank!$A$3:$A$14,0))</f>
        <v>0</v>
      </c>
      <c r="J413">
        <f>SUMIFS($I$3:$I$566,$A$3:$A$566,A413)</f>
        <v>0</v>
      </c>
      <c r="K413" s="5">
        <f>J413/SUM(Question_Bank!$M$3:$M$14)</f>
        <v>0</v>
      </c>
      <c r="L413" s="5">
        <f>SUMIFS($I$3:$I$566,$A$3:$A$566,A413,$E$3:$E$566,E413)/SUMIFS(Question_Bank!$M$3:$M$14,Question_Bank!$B$3:$B$14,E413)</f>
        <v>0</v>
      </c>
      <c r="M413" t="s">
        <v>202</v>
      </c>
    </row>
    <row r="414" spans="1:13">
      <c r="A414" t="s">
        <v>201</v>
      </c>
      <c r="B414" t="s">
        <v>132</v>
      </c>
      <c r="C414" t="s">
        <v>227</v>
      </c>
      <c r="D414" t="s">
        <v>45</v>
      </c>
      <c r="E414" t="s">
        <v>46</v>
      </c>
      <c r="F414" t="s">
        <v>31</v>
      </c>
      <c r="G414">
        <f>INDEX(Question_Bank!$J$3:$J$14,MATCH(D414,Question_Bank!$A$3:$A$14,0))</f>
        <v>0</v>
      </c>
      <c r="H414">
        <f>IF(F414=G414,1,0)</f>
        <v>0</v>
      </c>
      <c r="I414">
        <f>H414*INDEX(Question_Bank!$M$3:$M$14,MATCH(D414,Question_Bank!$A$3:$A$14,0))</f>
        <v>0</v>
      </c>
      <c r="J414">
        <f>SUMIFS($I$3:$I$566,$A$3:$A$566,A414)</f>
        <v>0</v>
      </c>
      <c r="K414" s="5">
        <f>J414/SUM(Question_Bank!$M$3:$M$14)</f>
        <v>0</v>
      </c>
      <c r="L414" s="5">
        <f>SUMIFS($I$3:$I$566,$A$3:$A$566,A414,$E$3:$E$566,E414)/SUMIFS(Question_Bank!$M$3:$M$14,Question_Bank!$B$3:$B$14,E414)</f>
        <v>0</v>
      </c>
      <c r="M414" t="s">
        <v>202</v>
      </c>
    </row>
    <row r="415" spans="1:13">
      <c r="A415" t="s">
        <v>201</v>
      </c>
      <c r="B415" t="s">
        <v>132</v>
      </c>
      <c r="C415" t="s">
        <v>227</v>
      </c>
      <c r="D415" t="s">
        <v>54</v>
      </c>
      <c r="E415" t="s">
        <v>46</v>
      </c>
      <c r="F415" t="s">
        <v>23</v>
      </c>
      <c r="G415">
        <f>INDEX(Question_Bank!$J$3:$J$14,MATCH(D415,Question_Bank!$A$3:$A$14,0))</f>
        <v>0</v>
      </c>
      <c r="H415">
        <f>IF(F415=G415,1,0)</f>
        <v>0</v>
      </c>
      <c r="I415">
        <f>H415*INDEX(Question_Bank!$M$3:$M$14,MATCH(D415,Question_Bank!$A$3:$A$14,0))</f>
        <v>0</v>
      </c>
      <c r="J415">
        <f>SUMIFS($I$3:$I$566,$A$3:$A$566,A415)</f>
        <v>0</v>
      </c>
      <c r="K415" s="5">
        <f>J415/SUM(Question_Bank!$M$3:$M$14)</f>
        <v>0</v>
      </c>
      <c r="L415" s="5">
        <f>SUMIFS($I$3:$I$566,$A$3:$A$566,A415,$E$3:$E$566,E415)/SUMIFS(Question_Bank!$M$3:$M$14,Question_Bank!$B$3:$B$14,E415)</f>
        <v>0</v>
      </c>
      <c r="M415" t="s">
        <v>202</v>
      </c>
    </row>
    <row r="416" spans="1:13">
      <c r="A416" t="s">
        <v>201</v>
      </c>
      <c r="B416" t="s">
        <v>132</v>
      </c>
      <c r="C416" t="s">
        <v>227</v>
      </c>
      <c r="D416" t="s">
        <v>62</v>
      </c>
      <c r="E416" t="s">
        <v>46</v>
      </c>
      <c r="F416" t="s">
        <v>34</v>
      </c>
      <c r="G416">
        <f>INDEX(Question_Bank!$J$3:$J$14,MATCH(D416,Question_Bank!$A$3:$A$14,0))</f>
        <v>0</v>
      </c>
      <c r="H416">
        <f>IF(F416=G416,1,0)</f>
        <v>0</v>
      </c>
      <c r="I416">
        <f>H416*INDEX(Question_Bank!$M$3:$M$14,MATCH(D416,Question_Bank!$A$3:$A$14,0))</f>
        <v>0</v>
      </c>
      <c r="J416">
        <f>SUMIFS($I$3:$I$566,$A$3:$A$566,A416)</f>
        <v>0</v>
      </c>
      <c r="K416" s="5">
        <f>J416/SUM(Question_Bank!$M$3:$M$14)</f>
        <v>0</v>
      </c>
      <c r="L416" s="5">
        <f>SUMIFS($I$3:$I$566,$A$3:$A$566,A416,$E$3:$E$566,E416)/SUMIFS(Question_Bank!$M$3:$M$14,Question_Bank!$B$3:$B$14,E416)</f>
        <v>0</v>
      </c>
      <c r="M416" t="s">
        <v>202</v>
      </c>
    </row>
    <row r="417" spans="1:13">
      <c r="A417" t="s">
        <v>201</v>
      </c>
      <c r="B417" t="s">
        <v>132</v>
      </c>
      <c r="C417" t="s">
        <v>227</v>
      </c>
      <c r="D417" t="s">
        <v>70</v>
      </c>
      <c r="E417" t="s">
        <v>71</v>
      </c>
      <c r="F417" t="s">
        <v>20</v>
      </c>
      <c r="G417">
        <f>INDEX(Question_Bank!$J$3:$J$14,MATCH(D417,Question_Bank!$A$3:$A$14,0))</f>
        <v>0</v>
      </c>
      <c r="H417">
        <f>IF(F417=G417,1,0)</f>
        <v>0</v>
      </c>
      <c r="I417">
        <f>H417*INDEX(Question_Bank!$M$3:$M$14,MATCH(D417,Question_Bank!$A$3:$A$14,0))</f>
        <v>0</v>
      </c>
      <c r="J417">
        <f>SUMIFS($I$3:$I$566,$A$3:$A$566,A417)</f>
        <v>0</v>
      </c>
      <c r="K417" s="5">
        <f>J417/SUM(Question_Bank!$M$3:$M$14)</f>
        <v>0</v>
      </c>
      <c r="L417" s="5">
        <f>SUMIFS($I$3:$I$566,$A$3:$A$566,A417,$E$3:$E$566,E417)/SUMIFS(Question_Bank!$M$3:$M$14,Question_Bank!$B$3:$B$14,E417)</f>
        <v>0</v>
      </c>
      <c r="M417" t="s">
        <v>202</v>
      </c>
    </row>
    <row r="418" spans="1:13">
      <c r="A418" t="s">
        <v>201</v>
      </c>
      <c r="B418" t="s">
        <v>132</v>
      </c>
      <c r="C418" t="s">
        <v>227</v>
      </c>
      <c r="D418" t="s">
        <v>79</v>
      </c>
      <c r="E418" t="s">
        <v>71</v>
      </c>
      <c r="F418" t="s">
        <v>23</v>
      </c>
      <c r="G418">
        <f>INDEX(Question_Bank!$J$3:$J$14,MATCH(D418,Question_Bank!$A$3:$A$14,0))</f>
        <v>0</v>
      </c>
      <c r="H418">
        <f>IF(F418=G418,1,0)</f>
        <v>0</v>
      </c>
      <c r="I418">
        <f>H418*INDEX(Question_Bank!$M$3:$M$14,MATCH(D418,Question_Bank!$A$3:$A$14,0))</f>
        <v>0</v>
      </c>
      <c r="J418">
        <f>SUMIFS($I$3:$I$566,$A$3:$A$566,A418)</f>
        <v>0</v>
      </c>
      <c r="K418" s="5">
        <f>J418/SUM(Question_Bank!$M$3:$M$14)</f>
        <v>0</v>
      </c>
      <c r="L418" s="5">
        <f>SUMIFS($I$3:$I$566,$A$3:$A$566,A418,$E$3:$E$566,E418)/SUMIFS(Question_Bank!$M$3:$M$14,Question_Bank!$B$3:$B$14,E418)</f>
        <v>0</v>
      </c>
      <c r="M418" t="s">
        <v>202</v>
      </c>
    </row>
    <row r="419" spans="1:13">
      <c r="A419" t="s">
        <v>201</v>
      </c>
      <c r="B419" t="s">
        <v>132</v>
      </c>
      <c r="C419" t="s">
        <v>227</v>
      </c>
      <c r="D419" t="s">
        <v>87</v>
      </c>
      <c r="E419" t="s">
        <v>71</v>
      </c>
      <c r="F419" t="s">
        <v>20</v>
      </c>
      <c r="G419">
        <f>INDEX(Question_Bank!$J$3:$J$14,MATCH(D419,Question_Bank!$A$3:$A$14,0))</f>
        <v>0</v>
      </c>
      <c r="H419">
        <f>IF(F419=G419,1,0)</f>
        <v>0</v>
      </c>
      <c r="I419">
        <f>H419*INDEX(Question_Bank!$M$3:$M$14,MATCH(D419,Question_Bank!$A$3:$A$14,0))</f>
        <v>0</v>
      </c>
      <c r="J419">
        <f>SUMIFS($I$3:$I$566,$A$3:$A$566,A419)</f>
        <v>0</v>
      </c>
      <c r="K419" s="5">
        <f>J419/SUM(Question_Bank!$M$3:$M$14)</f>
        <v>0</v>
      </c>
      <c r="L419" s="5">
        <f>SUMIFS($I$3:$I$566,$A$3:$A$566,A419,$E$3:$E$566,E419)/SUMIFS(Question_Bank!$M$3:$M$14,Question_Bank!$B$3:$B$14,E419)</f>
        <v>0</v>
      </c>
      <c r="M419" t="s">
        <v>202</v>
      </c>
    </row>
    <row r="420" spans="1:13">
      <c r="A420" t="s">
        <v>201</v>
      </c>
      <c r="B420" t="s">
        <v>132</v>
      </c>
      <c r="C420" t="s">
        <v>227</v>
      </c>
      <c r="D420" t="s">
        <v>95</v>
      </c>
      <c r="E420" t="s">
        <v>96</v>
      </c>
      <c r="F420" t="s">
        <v>34</v>
      </c>
      <c r="G420">
        <f>INDEX(Question_Bank!$J$3:$J$14,MATCH(D420,Question_Bank!$A$3:$A$14,0))</f>
        <v>0</v>
      </c>
      <c r="H420">
        <f>IF(F420=G420,1,0)</f>
        <v>0</v>
      </c>
      <c r="I420">
        <f>H420*INDEX(Question_Bank!$M$3:$M$14,MATCH(D420,Question_Bank!$A$3:$A$14,0))</f>
        <v>0</v>
      </c>
      <c r="J420">
        <f>SUMIFS($I$3:$I$566,$A$3:$A$566,A420)</f>
        <v>0</v>
      </c>
      <c r="K420" s="5">
        <f>J420/SUM(Question_Bank!$M$3:$M$14)</f>
        <v>0</v>
      </c>
      <c r="L420" s="5">
        <f>SUMIFS($I$3:$I$566,$A$3:$A$566,A420,$E$3:$E$566,E420)/SUMIFS(Question_Bank!$M$3:$M$14,Question_Bank!$B$3:$B$14,E420)</f>
        <v>0</v>
      </c>
      <c r="M420" t="s">
        <v>202</v>
      </c>
    </row>
    <row r="421" spans="1:13">
      <c r="A421" t="s">
        <v>201</v>
      </c>
      <c r="B421" t="s">
        <v>132</v>
      </c>
      <c r="C421" t="s">
        <v>227</v>
      </c>
      <c r="D421" t="s">
        <v>104</v>
      </c>
      <c r="E421" t="s">
        <v>96</v>
      </c>
      <c r="F421" t="s">
        <v>20</v>
      </c>
      <c r="G421">
        <f>INDEX(Question_Bank!$J$3:$J$14,MATCH(D421,Question_Bank!$A$3:$A$14,0))</f>
        <v>0</v>
      </c>
      <c r="H421">
        <f>IF(F421=G421,1,0)</f>
        <v>0</v>
      </c>
      <c r="I421">
        <f>H421*INDEX(Question_Bank!$M$3:$M$14,MATCH(D421,Question_Bank!$A$3:$A$14,0))</f>
        <v>0</v>
      </c>
      <c r="J421">
        <f>SUMIFS($I$3:$I$566,$A$3:$A$566,A421)</f>
        <v>0</v>
      </c>
      <c r="K421" s="5">
        <f>J421/SUM(Question_Bank!$M$3:$M$14)</f>
        <v>0</v>
      </c>
      <c r="L421" s="5">
        <f>SUMIFS($I$3:$I$566,$A$3:$A$566,A421,$E$3:$E$566,E421)/SUMIFS(Question_Bank!$M$3:$M$14,Question_Bank!$B$3:$B$14,E421)</f>
        <v>0</v>
      </c>
      <c r="M421" t="s">
        <v>202</v>
      </c>
    </row>
    <row r="422" spans="1:13">
      <c r="A422" t="s">
        <v>201</v>
      </c>
      <c r="B422" t="s">
        <v>132</v>
      </c>
      <c r="C422" t="s">
        <v>227</v>
      </c>
      <c r="D422" t="s">
        <v>112</v>
      </c>
      <c r="E422" t="s">
        <v>96</v>
      </c>
      <c r="F422" t="s">
        <v>34</v>
      </c>
      <c r="G422">
        <f>INDEX(Question_Bank!$J$3:$J$14,MATCH(D422,Question_Bank!$A$3:$A$14,0))</f>
        <v>0</v>
      </c>
      <c r="H422">
        <f>IF(F422=G422,1,0)</f>
        <v>0</v>
      </c>
      <c r="I422">
        <f>H422*INDEX(Question_Bank!$M$3:$M$14,MATCH(D422,Question_Bank!$A$3:$A$14,0))</f>
        <v>0</v>
      </c>
      <c r="J422">
        <f>SUMIFS($I$3:$I$566,$A$3:$A$566,A422)</f>
        <v>0</v>
      </c>
      <c r="K422" s="5">
        <f>J422/SUM(Question_Bank!$M$3:$M$14)</f>
        <v>0</v>
      </c>
      <c r="L422" s="5">
        <f>SUMIFS($I$3:$I$566,$A$3:$A$566,A422,$E$3:$E$566,E422)/SUMIFS(Question_Bank!$M$3:$M$14,Question_Bank!$B$3:$B$14,E422)</f>
        <v>0</v>
      </c>
      <c r="M422" t="s">
        <v>202</v>
      </c>
    </row>
    <row r="423" spans="1:13">
      <c r="A423" t="s">
        <v>203</v>
      </c>
      <c r="B423" t="s">
        <v>132</v>
      </c>
      <c r="C423" t="s">
        <v>227</v>
      </c>
      <c r="D423" t="s">
        <v>14</v>
      </c>
      <c r="E423" t="s">
        <v>15</v>
      </c>
      <c r="F423" t="s">
        <v>23</v>
      </c>
      <c r="G423">
        <f>INDEX(Question_Bank!$J$3:$J$14,MATCH(D423,Question_Bank!$A$3:$A$14,0))</f>
        <v>0</v>
      </c>
      <c r="H423">
        <f>IF(F423=G423,1,0)</f>
        <v>0</v>
      </c>
      <c r="I423">
        <f>H423*INDEX(Question_Bank!$M$3:$M$14,MATCH(D423,Question_Bank!$A$3:$A$14,0))</f>
        <v>0</v>
      </c>
      <c r="J423">
        <f>SUMIFS($I$3:$I$566,$A$3:$A$566,A423)</f>
        <v>0</v>
      </c>
      <c r="K423" s="5">
        <f>J423/SUM(Question_Bank!$M$3:$M$14)</f>
        <v>0</v>
      </c>
      <c r="L423" s="5">
        <f>SUMIFS($I$3:$I$566,$A$3:$A$566,A423,$E$3:$E$566,E423)/SUMIFS(Question_Bank!$M$3:$M$14,Question_Bank!$B$3:$B$14,E423)</f>
        <v>0</v>
      </c>
      <c r="M423" t="s">
        <v>204</v>
      </c>
    </row>
    <row r="424" spans="1:13">
      <c r="A424" t="s">
        <v>203</v>
      </c>
      <c r="B424" t="s">
        <v>132</v>
      </c>
      <c r="C424" t="s">
        <v>227</v>
      </c>
      <c r="D424" t="s">
        <v>26</v>
      </c>
      <c r="E424" t="s">
        <v>15</v>
      </c>
      <c r="F424" t="s">
        <v>34</v>
      </c>
      <c r="G424">
        <f>INDEX(Question_Bank!$J$3:$J$14,MATCH(D424,Question_Bank!$A$3:$A$14,0))</f>
        <v>0</v>
      </c>
      <c r="H424">
        <f>IF(F424=G424,1,0)</f>
        <v>0</v>
      </c>
      <c r="I424">
        <f>H424*INDEX(Question_Bank!$M$3:$M$14,MATCH(D424,Question_Bank!$A$3:$A$14,0))</f>
        <v>0</v>
      </c>
      <c r="J424">
        <f>SUMIFS($I$3:$I$566,$A$3:$A$566,A424)</f>
        <v>0</v>
      </c>
      <c r="K424" s="5">
        <f>J424/SUM(Question_Bank!$M$3:$M$14)</f>
        <v>0</v>
      </c>
      <c r="L424" s="5">
        <f>SUMIFS($I$3:$I$566,$A$3:$A$566,A424,$E$3:$E$566,E424)/SUMIFS(Question_Bank!$M$3:$M$14,Question_Bank!$B$3:$B$14,E424)</f>
        <v>0</v>
      </c>
      <c r="M424" t="s">
        <v>204</v>
      </c>
    </row>
    <row r="425" spans="1:13">
      <c r="A425" t="s">
        <v>203</v>
      </c>
      <c r="B425" t="s">
        <v>132</v>
      </c>
      <c r="C425" t="s">
        <v>227</v>
      </c>
      <c r="D425" t="s">
        <v>37</v>
      </c>
      <c r="E425" t="s">
        <v>15</v>
      </c>
      <c r="F425" t="s">
        <v>20</v>
      </c>
      <c r="G425">
        <f>INDEX(Question_Bank!$J$3:$J$14,MATCH(D425,Question_Bank!$A$3:$A$14,0))</f>
        <v>0</v>
      </c>
      <c r="H425">
        <f>IF(F425=G425,1,0)</f>
        <v>0</v>
      </c>
      <c r="I425">
        <f>H425*INDEX(Question_Bank!$M$3:$M$14,MATCH(D425,Question_Bank!$A$3:$A$14,0))</f>
        <v>0</v>
      </c>
      <c r="J425">
        <f>SUMIFS($I$3:$I$566,$A$3:$A$566,A425)</f>
        <v>0</v>
      </c>
      <c r="K425" s="5">
        <f>J425/SUM(Question_Bank!$M$3:$M$14)</f>
        <v>0</v>
      </c>
      <c r="L425" s="5">
        <f>SUMIFS($I$3:$I$566,$A$3:$A$566,A425,$E$3:$E$566,E425)/SUMIFS(Question_Bank!$M$3:$M$14,Question_Bank!$B$3:$B$14,E425)</f>
        <v>0</v>
      </c>
      <c r="M425" t="s">
        <v>204</v>
      </c>
    </row>
    <row r="426" spans="1:13">
      <c r="A426" t="s">
        <v>203</v>
      </c>
      <c r="B426" t="s">
        <v>132</v>
      </c>
      <c r="C426" t="s">
        <v>227</v>
      </c>
      <c r="D426" t="s">
        <v>45</v>
      </c>
      <c r="E426" t="s">
        <v>46</v>
      </c>
      <c r="F426" t="s">
        <v>34</v>
      </c>
      <c r="G426">
        <f>INDEX(Question_Bank!$J$3:$J$14,MATCH(D426,Question_Bank!$A$3:$A$14,0))</f>
        <v>0</v>
      </c>
      <c r="H426">
        <f>IF(F426=G426,1,0)</f>
        <v>0</v>
      </c>
      <c r="I426">
        <f>H426*INDEX(Question_Bank!$M$3:$M$14,MATCH(D426,Question_Bank!$A$3:$A$14,0))</f>
        <v>0</v>
      </c>
      <c r="J426">
        <f>SUMIFS($I$3:$I$566,$A$3:$A$566,A426)</f>
        <v>0</v>
      </c>
      <c r="K426" s="5">
        <f>J426/SUM(Question_Bank!$M$3:$M$14)</f>
        <v>0</v>
      </c>
      <c r="L426" s="5">
        <f>SUMIFS($I$3:$I$566,$A$3:$A$566,A426,$E$3:$E$566,E426)/SUMIFS(Question_Bank!$M$3:$M$14,Question_Bank!$B$3:$B$14,E426)</f>
        <v>0</v>
      </c>
      <c r="M426" t="s">
        <v>204</v>
      </c>
    </row>
    <row r="427" spans="1:13">
      <c r="A427" t="s">
        <v>203</v>
      </c>
      <c r="B427" t="s">
        <v>132</v>
      </c>
      <c r="C427" t="s">
        <v>227</v>
      </c>
      <c r="D427" t="s">
        <v>54</v>
      </c>
      <c r="E427" t="s">
        <v>46</v>
      </c>
      <c r="F427" t="s">
        <v>23</v>
      </c>
      <c r="G427">
        <f>INDEX(Question_Bank!$J$3:$J$14,MATCH(D427,Question_Bank!$A$3:$A$14,0))</f>
        <v>0</v>
      </c>
      <c r="H427">
        <f>IF(F427=G427,1,0)</f>
        <v>0</v>
      </c>
      <c r="I427">
        <f>H427*INDEX(Question_Bank!$M$3:$M$14,MATCH(D427,Question_Bank!$A$3:$A$14,0))</f>
        <v>0</v>
      </c>
      <c r="J427">
        <f>SUMIFS($I$3:$I$566,$A$3:$A$566,A427)</f>
        <v>0</v>
      </c>
      <c r="K427" s="5">
        <f>J427/SUM(Question_Bank!$M$3:$M$14)</f>
        <v>0</v>
      </c>
      <c r="L427" s="5">
        <f>SUMIFS($I$3:$I$566,$A$3:$A$566,A427,$E$3:$E$566,E427)/SUMIFS(Question_Bank!$M$3:$M$14,Question_Bank!$B$3:$B$14,E427)</f>
        <v>0</v>
      </c>
      <c r="M427" t="s">
        <v>204</v>
      </c>
    </row>
    <row r="428" spans="1:13">
      <c r="A428" t="s">
        <v>203</v>
      </c>
      <c r="B428" t="s">
        <v>132</v>
      </c>
      <c r="C428" t="s">
        <v>227</v>
      </c>
      <c r="D428" t="s">
        <v>62</v>
      </c>
      <c r="E428" t="s">
        <v>46</v>
      </c>
      <c r="F428" t="s">
        <v>34</v>
      </c>
      <c r="G428">
        <f>INDEX(Question_Bank!$J$3:$J$14,MATCH(D428,Question_Bank!$A$3:$A$14,0))</f>
        <v>0</v>
      </c>
      <c r="H428">
        <f>IF(F428=G428,1,0)</f>
        <v>0</v>
      </c>
      <c r="I428">
        <f>H428*INDEX(Question_Bank!$M$3:$M$14,MATCH(D428,Question_Bank!$A$3:$A$14,0))</f>
        <v>0</v>
      </c>
      <c r="J428">
        <f>SUMIFS($I$3:$I$566,$A$3:$A$566,A428)</f>
        <v>0</v>
      </c>
      <c r="K428" s="5">
        <f>J428/SUM(Question_Bank!$M$3:$M$14)</f>
        <v>0</v>
      </c>
      <c r="L428" s="5">
        <f>SUMIFS($I$3:$I$566,$A$3:$A$566,A428,$E$3:$E$566,E428)/SUMIFS(Question_Bank!$M$3:$M$14,Question_Bank!$B$3:$B$14,E428)</f>
        <v>0</v>
      </c>
      <c r="M428" t="s">
        <v>204</v>
      </c>
    </row>
    <row r="429" spans="1:13">
      <c r="A429" t="s">
        <v>203</v>
      </c>
      <c r="B429" t="s">
        <v>132</v>
      </c>
      <c r="C429" t="s">
        <v>227</v>
      </c>
      <c r="D429" t="s">
        <v>70</v>
      </c>
      <c r="E429" t="s">
        <v>71</v>
      </c>
      <c r="F429" t="s">
        <v>31</v>
      </c>
      <c r="G429">
        <f>INDEX(Question_Bank!$J$3:$J$14,MATCH(D429,Question_Bank!$A$3:$A$14,0))</f>
        <v>0</v>
      </c>
      <c r="H429">
        <f>IF(F429=G429,1,0)</f>
        <v>0</v>
      </c>
      <c r="I429">
        <f>H429*INDEX(Question_Bank!$M$3:$M$14,MATCH(D429,Question_Bank!$A$3:$A$14,0))</f>
        <v>0</v>
      </c>
      <c r="J429">
        <f>SUMIFS($I$3:$I$566,$A$3:$A$566,A429)</f>
        <v>0</v>
      </c>
      <c r="K429" s="5">
        <f>J429/SUM(Question_Bank!$M$3:$M$14)</f>
        <v>0</v>
      </c>
      <c r="L429" s="5">
        <f>SUMIFS($I$3:$I$566,$A$3:$A$566,A429,$E$3:$E$566,E429)/SUMIFS(Question_Bank!$M$3:$M$14,Question_Bank!$B$3:$B$14,E429)</f>
        <v>0</v>
      </c>
      <c r="M429" t="s">
        <v>204</v>
      </c>
    </row>
    <row r="430" spans="1:13">
      <c r="A430" t="s">
        <v>203</v>
      </c>
      <c r="B430" t="s">
        <v>132</v>
      </c>
      <c r="C430" t="s">
        <v>227</v>
      </c>
      <c r="D430" t="s">
        <v>79</v>
      </c>
      <c r="E430" t="s">
        <v>71</v>
      </c>
      <c r="F430" t="s">
        <v>31</v>
      </c>
      <c r="G430">
        <f>INDEX(Question_Bank!$J$3:$J$14,MATCH(D430,Question_Bank!$A$3:$A$14,0))</f>
        <v>0</v>
      </c>
      <c r="H430">
        <f>IF(F430=G430,1,0)</f>
        <v>0</v>
      </c>
      <c r="I430">
        <f>H430*INDEX(Question_Bank!$M$3:$M$14,MATCH(D430,Question_Bank!$A$3:$A$14,0))</f>
        <v>0</v>
      </c>
      <c r="J430">
        <f>SUMIFS($I$3:$I$566,$A$3:$A$566,A430)</f>
        <v>0</v>
      </c>
      <c r="K430" s="5">
        <f>J430/SUM(Question_Bank!$M$3:$M$14)</f>
        <v>0</v>
      </c>
      <c r="L430" s="5">
        <f>SUMIFS($I$3:$I$566,$A$3:$A$566,A430,$E$3:$E$566,E430)/SUMIFS(Question_Bank!$M$3:$M$14,Question_Bank!$B$3:$B$14,E430)</f>
        <v>0</v>
      </c>
      <c r="M430" t="s">
        <v>204</v>
      </c>
    </row>
    <row r="431" spans="1:13">
      <c r="A431" t="s">
        <v>203</v>
      </c>
      <c r="B431" t="s">
        <v>132</v>
      </c>
      <c r="C431" t="s">
        <v>227</v>
      </c>
      <c r="D431" t="s">
        <v>87</v>
      </c>
      <c r="E431" t="s">
        <v>71</v>
      </c>
      <c r="F431" t="s">
        <v>20</v>
      </c>
      <c r="G431">
        <f>INDEX(Question_Bank!$J$3:$J$14,MATCH(D431,Question_Bank!$A$3:$A$14,0))</f>
        <v>0</v>
      </c>
      <c r="H431">
        <f>IF(F431=G431,1,0)</f>
        <v>0</v>
      </c>
      <c r="I431">
        <f>H431*INDEX(Question_Bank!$M$3:$M$14,MATCH(D431,Question_Bank!$A$3:$A$14,0))</f>
        <v>0</v>
      </c>
      <c r="J431">
        <f>SUMIFS($I$3:$I$566,$A$3:$A$566,A431)</f>
        <v>0</v>
      </c>
      <c r="K431" s="5">
        <f>J431/SUM(Question_Bank!$M$3:$M$14)</f>
        <v>0</v>
      </c>
      <c r="L431" s="5">
        <f>SUMIFS($I$3:$I$566,$A$3:$A$566,A431,$E$3:$E$566,E431)/SUMIFS(Question_Bank!$M$3:$M$14,Question_Bank!$B$3:$B$14,E431)</f>
        <v>0</v>
      </c>
      <c r="M431" t="s">
        <v>204</v>
      </c>
    </row>
    <row r="432" spans="1:13">
      <c r="A432" t="s">
        <v>203</v>
      </c>
      <c r="B432" t="s">
        <v>132</v>
      </c>
      <c r="C432" t="s">
        <v>227</v>
      </c>
      <c r="D432" t="s">
        <v>95</v>
      </c>
      <c r="E432" t="s">
        <v>96</v>
      </c>
      <c r="F432" t="s">
        <v>23</v>
      </c>
      <c r="G432">
        <f>INDEX(Question_Bank!$J$3:$J$14,MATCH(D432,Question_Bank!$A$3:$A$14,0))</f>
        <v>0</v>
      </c>
      <c r="H432">
        <f>IF(F432=G432,1,0)</f>
        <v>0</v>
      </c>
      <c r="I432">
        <f>H432*INDEX(Question_Bank!$M$3:$M$14,MATCH(D432,Question_Bank!$A$3:$A$14,0))</f>
        <v>0</v>
      </c>
      <c r="J432">
        <f>SUMIFS($I$3:$I$566,$A$3:$A$566,A432)</f>
        <v>0</v>
      </c>
      <c r="K432" s="5">
        <f>J432/SUM(Question_Bank!$M$3:$M$14)</f>
        <v>0</v>
      </c>
      <c r="L432" s="5">
        <f>SUMIFS($I$3:$I$566,$A$3:$A$566,A432,$E$3:$E$566,E432)/SUMIFS(Question_Bank!$M$3:$M$14,Question_Bank!$B$3:$B$14,E432)</f>
        <v>0</v>
      </c>
      <c r="M432" t="s">
        <v>204</v>
      </c>
    </row>
    <row r="433" spans="1:13">
      <c r="A433" t="s">
        <v>203</v>
      </c>
      <c r="B433" t="s">
        <v>132</v>
      </c>
      <c r="C433" t="s">
        <v>227</v>
      </c>
      <c r="D433" t="s">
        <v>104</v>
      </c>
      <c r="E433" t="s">
        <v>96</v>
      </c>
      <c r="F433" t="s">
        <v>20</v>
      </c>
      <c r="G433">
        <f>INDEX(Question_Bank!$J$3:$J$14,MATCH(D433,Question_Bank!$A$3:$A$14,0))</f>
        <v>0</v>
      </c>
      <c r="H433">
        <f>IF(F433=G433,1,0)</f>
        <v>0</v>
      </c>
      <c r="I433">
        <f>H433*INDEX(Question_Bank!$M$3:$M$14,MATCH(D433,Question_Bank!$A$3:$A$14,0))</f>
        <v>0</v>
      </c>
      <c r="J433">
        <f>SUMIFS($I$3:$I$566,$A$3:$A$566,A433)</f>
        <v>0</v>
      </c>
      <c r="K433" s="5">
        <f>J433/SUM(Question_Bank!$M$3:$M$14)</f>
        <v>0</v>
      </c>
      <c r="L433" s="5">
        <f>SUMIFS($I$3:$I$566,$A$3:$A$566,A433,$E$3:$E$566,E433)/SUMIFS(Question_Bank!$M$3:$M$14,Question_Bank!$B$3:$B$14,E433)</f>
        <v>0</v>
      </c>
      <c r="M433" t="s">
        <v>204</v>
      </c>
    </row>
    <row r="434" spans="1:13">
      <c r="A434" t="s">
        <v>203</v>
      </c>
      <c r="B434" t="s">
        <v>132</v>
      </c>
      <c r="C434" t="s">
        <v>227</v>
      </c>
      <c r="D434" t="s">
        <v>112</v>
      </c>
      <c r="E434" t="s">
        <v>96</v>
      </c>
      <c r="F434" t="s">
        <v>20</v>
      </c>
      <c r="G434">
        <f>INDEX(Question_Bank!$J$3:$J$14,MATCH(D434,Question_Bank!$A$3:$A$14,0))</f>
        <v>0</v>
      </c>
      <c r="H434">
        <f>IF(F434=G434,1,0)</f>
        <v>0</v>
      </c>
      <c r="I434">
        <f>H434*INDEX(Question_Bank!$M$3:$M$14,MATCH(D434,Question_Bank!$A$3:$A$14,0))</f>
        <v>0</v>
      </c>
      <c r="J434">
        <f>SUMIFS($I$3:$I$566,$A$3:$A$566,A434)</f>
        <v>0</v>
      </c>
      <c r="K434" s="5">
        <f>J434/SUM(Question_Bank!$M$3:$M$14)</f>
        <v>0</v>
      </c>
      <c r="L434" s="5">
        <f>SUMIFS($I$3:$I$566,$A$3:$A$566,A434,$E$3:$E$566,E434)/SUMIFS(Question_Bank!$M$3:$M$14,Question_Bank!$B$3:$B$14,E434)</f>
        <v>0</v>
      </c>
      <c r="M434" t="s">
        <v>204</v>
      </c>
    </row>
    <row r="435" spans="1:13">
      <c r="A435" t="s">
        <v>205</v>
      </c>
      <c r="B435" t="s">
        <v>132</v>
      </c>
      <c r="C435" t="s">
        <v>227</v>
      </c>
      <c r="D435" t="s">
        <v>14</v>
      </c>
      <c r="E435" t="s">
        <v>15</v>
      </c>
      <c r="F435" t="s">
        <v>23</v>
      </c>
      <c r="G435">
        <f>INDEX(Question_Bank!$J$3:$J$14,MATCH(D435,Question_Bank!$A$3:$A$14,0))</f>
        <v>0</v>
      </c>
      <c r="H435">
        <f>IF(F435=G435,1,0)</f>
        <v>0</v>
      </c>
      <c r="I435">
        <f>H435*INDEX(Question_Bank!$M$3:$M$14,MATCH(D435,Question_Bank!$A$3:$A$14,0))</f>
        <v>0</v>
      </c>
      <c r="J435">
        <f>SUMIFS($I$3:$I$566,$A$3:$A$566,A435)</f>
        <v>0</v>
      </c>
      <c r="K435" s="5">
        <f>J435/SUM(Question_Bank!$M$3:$M$14)</f>
        <v>0</v>
      </c>
      <c r="L435" s="5">
        <f>SUMIFS($I$3:$I$566,$A$3:$A$566,A435,$E$3:$E$566,E435)/SUMIFS(Question_Bank!$M$3:$M$14,Question_Bank!$B$3:$B$14,E435)</f>
        <v>0</v>
      </c>
      <c r="M435" t="s">
        <v>206</v>
      </c>
    </row>
    <row r="436" spans="1:13">
      <c r="A436" t="s">
        <v>205</v>
      </c>
      <c r="B436" t="s">
        <v>132</v>
      </c>
      <c r="C436" t="s">
        <v>227</v>
      </c>
      <c r="D436" t="s">
        <v>26</v>
      </c>
      <c r="E436" t="s">
        <v>15</v>
      </c>
      <c r="F436" t="s">
        <v>23</v>
      </c>
      <c r="G436">
        <f>INDEX(Question_Bank!$J$3:$J$14,MATCH(D436,Question_Bank!$A$3:$A$14,0))</f>
        <v>0</v>
      </c>
      <c r="H436">
        <f>IF(F436=G436,1,0)</f>
        <v>0</v>
      </c>
      <c r="I436">
        <f>H436*INDEX(Question_Bank!$M$3:$M$14,MATCH(D436,Question_Bank!$A$3:$A$14,0))</f>
        <v>0</v>
      </c>
      <c r="J436">
        <f>SUMIFS($I$3:$I$566,$A$3:$A$566,A436)</f>
        <v>0</v>
      </c>
      <c r="K436" s="5">
        <f>J436/SUM(Question_Bank!$M$3:$M$14)</f>
        <v>0</v>
      </c>
      <c r="L436" s="5">
        <f>SUMIFS($I$3:$I$566,$A$3:$A$566,A436,$E$3:$E$566,E436)/SUMIFS(Question_Bank!$M$3:$M$14,Question_Bank!$B$3:$B$14,E436)</f>
        <v>0</v>
      </c>
      <c r="M436" t="s">
        <v>206</v>
      </c>
    </row>
    <row r="437" spans="1:13">
      <c r="A437" t="s">
        <v>205</v>
      </c>
      <c r="B437" t="s">
        <v>132</v>
      </c>
      <c r="C437" t="s">
        <v>227</v>
      </c>
      <c r="D437" t="s">
        <v>37</v>
      </c>
      <c r="E437" t="s">
        <v>15</v>
      </c>
      <c r="F437" t="s">
        <v>34</v>
      </c>
      <c r="G437">
        <f>INDEX(Question_Bank!$J$3:$J$14,MATCH(D437,Question_Bank!$A$3:$A$14,0))</f>
        <v>0</v>
      </c>
      <c r="H437">
        <f>IF(F437=G437,1,0)</f>
        <v>0</v>
      </c>
      <c r="I437">
        <f>H437*INDEX(Question_Bank!$M$3:$M$14,MATCH(D437,Question_Bank!$A$3:$A$14,0))</f>
        <v>0</v>
      </c>
      <c r="J437">
        <f>SUMIFS($I$3:$I$566,$A$3:$A$566,A437)</f>
        <v>0</v>
      </c>
      <c r="K437" s="5">
        <f>J437/SUM(Question_Bank!$M$3:$M$14)</f>
        <v>0</v>
      </c>
      <c r="L437" s="5">
        <f>SUMIFS($I$3:$I$566,$A$3:$A$566,A437,$E$3:$E$566,E437)/SUMIFS(Question_Bank!$M$3:$M$14,Question_Bank!$B$3:$B$14,E437)</f>
        <v>0</v>
      </c>
      <c r="M437" t="s">
        <v>206</v>
      </c>
    </row>
    <row r="438" spans="1:13">
      <c r="A438" t="s">
        <v>205</v>
      </c>
      <c r="B438" t="s">
        <v>132</v>
      </c>
      <c r="C438" t="s">
        <v>227</v>
      </c>
      <c r="D438" t="s">
        <v>45</v>
      </c>
      <c r="E438" t="s">
        <v>46</v>
      </c>
      <c r="F438" t="s">
        <v>31</v>
      </c>
      <c r="G438">
        <f>INDEX(Question_Bank!$J$3:$J$14,MATCH(D438,Question_Bank!$A$3:$A$14,0))</f>
        <v>0</v>
      </c>
      <c r="H438">
        <f>IF(F438=G438,1,0)</f>
        <v>0</v>
      </c>
      <c r="I438">
        <f>H438*INDEX(Question_Bank!$M$3:$M$14,MATCH(D438,Question_Bank!$A$3:$A$14,0))</f>
        <v>0</v>
      </c>
      <c r="J438">
        <f>SUMIFS($I$3:$I$566,$A$3:$A$566,A438)</f>
        <v>0</v>
      </c>
      <c r="K438" s="5">
        <f>J438/SUM(Question_Bank!$M$3:$M$14)</f>
        <v>0</v>
      </c>
      <c r="L438" s="5">
        <f>SUMIFS($I$3:$I$566,$A$3:$A$566,A438,$E$3:$E$566,E438)/SUMIFS(Question_Bank!$M$3:$M$14,Question_Bank!$B$3:$B$14,E438)</f>
        <v>0</v>
      </c>
      <c r="M438" t="s">
        <v>206</v>
      </c>
    </row>
    <row r="439" spans="1:13">
      <c r="A439" t="s">
        <v>205</v>
      </c>
      <c r="B439" t="s">
        <v>132</v>
      </c>
      <c r="C439" t="s">
        <v>227</v>
      </c>
      <c r="D439" t="s">
        <v>54</v>
      </c>
      <c r="E439" t="s">
        <v>46</v>
      </c>
      <c r="F439" t="s">
        <v>23</v>
      </c>
      <c r="G439">
        <f>INDEX(Question_Bank!$J$3:$J$14,MATCH(D439,Question_Bank!$A$3:$A$14,0))</f>
        <v>0</v>
      </c>
      <c r="H439">
        <f>IF(F439=G439,1,0)</f>
        <v>0</v>
      </c>
      <c r="I439">
        <f>H439*INDEX(Question_Bank!$M$3:$M$14,MATCH(D439,Question_Bank!$A$3:$A$14,0))</f>
        <v>0</v>
      </c>
      <c r="J439">
        <f>SUMIFS($I$3:$I$566,$A$3:$A$566,A439)</f>
        <v>0</v>
      </c>
      <c r="K439" s="5">
        <f>J439/SUM(Question_Bank!$M$3:$M$14)</f>
        <v>0</v>
      </c>
      <c r="L439" s="5">
        <f>SUMIFS($I$3:$I$566,$A$3:$A$566,A439,$E$3:$E$566,E439)/SUMIFS(Question_Bank!$M$3:$M$14,Question_Bank!$B$3:$B$14,E439)</f>
        <v>0</v>
      </c>
      <c r="M439" t="s">
        <v>206</v>
      </c>
    </row>
    <row r="440" spans="1:13">
      <c r="A440" t="s">
        <v>205</v>
      </c>
      <c r="B440" t="s">
        <v>132</v>
      </c>
      <c r="C440" t="s">
        <v>227</v>
      </c>
      <c r="D440" t="s">
        <v>62</v>
      </c>
      <c r="E440" t="s">
        <v>46</v>
      </c>
      <c r="F440" t="s">
        <v>34</v>
      </c>
      <c r="G440">
        <f>INDEX(Question_Bank!$J$3:$J$14,MATCH(D440,Question_Bank!$A$3:$A$14,0))</f>
        <v>0</v>
      </c>
      <c r="H440">
        <f>IF(F440=G440,1,0)</f>
        <v>0</v>
      </c>
      <c r="I440">
        <f>H440*INDEX(Question_Bank!$M$3:$M$14,MATCH(D440,Question_Bank!$A$3:$A$14,0))</f>
        <v>0</v>
      </c>
      <c r="J440">
        <f>SUMIFS($I$3:$I$566,$A$3:$A$566,A440)</f>
        <v>0</v>
      </c>
      <c r="K440" s="5">
        <f>J440/SUM(Question_Bank!$M$3:$M$14)</f>
        <v>0</v>
      </c>
      <c r="L440" s="5">
        <f>SUMIFS($I$3:$I$566,$A$3:$A$566,A440,$E$3:$E$566,E440)/SUMIFS(Question_Bank!$M$3:$M$14,Question_Bank!$B$3:$B$14,E440)</f>
        <v>0</v>
      </c>
      <c r="M440" t="s">
        <v>206</v>
      </c>
    </row>
    <row r="441" spans="1:13">
      <c r="A441" t="s">
        <v>205</v>
      </c>
      <c r="B441" t="s">
        <v>132</v>
      </c>
      <c r="C441" t="s">
        <v>227</v>
      </c>
      <c r="D441" t="s">
        <v>70</v>
      </c>
      <c r="E441" t="s">
        <v>71</v>
      </c>
      <c r="F441" t="s">
        <v>34</v>
      </c>
      <c r="G441">
        <f>INDEX(Question_Bank!$J$3:$J$14,MATCH(D441,Question_Bank!$A$3:$A$14,0))</f>
        <v>0</v>
      </c>
      <c r="H441">
        <f>IF(F441=G441,1,0)</f>
        <v>0</v>
      </c>
      <c r="I441">
        <f>H441*INDEX(Question_Bank!$M$3:$M$14,MATCH(D441,Question_Bank!$A$3:$A$14,0))</f>
        <v>0</v>
      </c>
      <c r="J441">
        <f>SUMIFS($I$3:$I$566,$A$3:$A$566,A441)</f>
        <v>0</v>
      </c>
      <c r="K441" s="5">
        <f>J441/SUM(Question_Bank!$M$3:$M$14)</f>
        <v>0</v>
      </c>
      <c r="L441" s="5">
        <f>SUMIFS($I$3:$I$566,$A$3:$A$566,A441,$E$3:$E$566,E441)/SUMIFS(Question_Bank!$M$3:$M$14,Question_Bank!$B$3:$B$14,E441)</f>
        <v>0</v>
      </c>
      <c r="M441" t="s">
        <v>206</v>
      </c>
    </row>
    <row r="442" spans="1:13">
      <c r="A442" t="s">
        <v>205</v>
      </c>
      <c r="B442" t="s">
        <v>132</v>
      </c>
      <c r="C442" t="s">
        <v>227</v>
      </c>
      <c r="D442" t="s">
        <v>79</v>
      </c>
      <c r="E442" t="s">
        <v>71</v>
      </c>
      <c r="F442" t="s">
        <v>20</v>
      </c>
      <c r="G442">
        <f>INDEX(Question_Bank!$J$3:$J$14,MATCH(D442,Question_Bank!$A$3:$A$14,0))</f>
        <v>0</v>
      </c>
      <c r="H442">
        <f>IF(F442=G442,1,0)</f>
        <v>0</v>
      </c>
      <c r="I442">
        <f>H442*INDEX(Question_Bank!$M$3:$M$14,MATCH(D442,Question_Bank!$A$3:$A$14,0))</f>
        <v>0</v>
      </c>
      <c r="J442">
        <f>SUMIFS($I$3:$I$566,$A$3:$A$566,A442)</f>
        <v>0</v>
      </c>
      <c r="K442" s="5">
        <f>J442/SUM(Question_Bank!$M$3:$M$14)</f>
        <v>0</v>
      </c>
      <c r="L442" s="5">
        <f>SUMIFS($I$3:$I$566,$A$3:$A$566,A442,$E$3:$E$566,E442)/SUMIFS(Question_Bank!$M$3:$M$14,Question_Bank!$B$3:$B$14,E442)</f>
        <v>0</v>
      </c>
      <c r="M442" t="s">
        <v>206</v>
      </c>
    </row>
    <row r="443" spans="1:13">
      <c r="A443" t="s">
        <v>205</v>
      </c>
      <c r="B443" t="s">
        <v>132</v>
      </c>
      <c r="C443" t="s">
        <v>227</v>
      </c>
      <c r="D443" t="s">
        <v>87</v>
      </c>
      <c r="E443" t="s">
        <v>71</v>
      </c>
      <c r="F443" t="s">
        <v>23</v>
      </c>
      <c r="G443">
        <f>INDEX(Question_Bank!$J$3:$J$14,MATCH(D443,Question_Bank!$A$3:$A$14,0))</f>
        <v>0</v>
      </c>
      <c r="H443">
        <f>IF(F443=G443,1,0)</f>
        <v>0</v>
      </c>
      <c r="I443">
        <f>H443*INDEX(Question_Bank!$M$3:$M$14,MATCH(D443,Question_Bank!$A$3:$A$14,0))</f>
        <v>0</v>
      </c>
      <c r="J443">
        <f>SUMIFS($I$3:$I$566,$A$3:$A$566,A443)</f>
        <v>0</v>
      </c>
      <c r="K443" s="5">
        <f>J443/SUM(Question_Bank!$M$3:$M$14)</f>
        <v>0</v>
      </c>
      <c r="L443" s="5">
        <f>SUMIFS($I$3:$I$566,$A$3:$A$566,A443,$E$3:$E$566,E443)/SUMIFS(Question_Bank!$M$3:$M$14,Question_Bank!$B$3:$B$14,E443)</f>
        <v>0</v>
      </c>
      <c r="M443" t="s">
        <v>206</v>
      </c>
    </row>
    <row r="444" spans="1:13">
      <c r="A444" t="s">
        <v>205</v>
      </c>
      <c r="B444" t="s">
        <v>132</v>
      </c>
      <c r="C444" t="s">
        <v>227</v>
      </c>
      <c r="D444" t="s">
        <v>95</v>
      </c>
      <c r="E444" t="s">
        <v>96</v>
      </c>
      <c r="F444" t="s">
        <v>34</v>
      </c>
      <c r="G444">
        <f>INDEX(Question_Bank!$J$3:$J$14,MATCH(D444,Question_Bank!$A$3:$A$14,0))</f>
        <v>0</v>
      </c>
      <c r="H444">
        <f>IF(F444=G444,1,0)</f>
        <v>0</v>
      </c>
      <c r="I444">
        <f>H444*INDEX(Question_Bank!$M$3:$M$14,MATCH(D444,Question_Bank!$A$3:$A$14,0))</f>
        <v>0</v>
      </c>
      <c r="J444">
        <f>SUMIFS($I$3:$I$566,$A$3:$A$566,A444)</f>
        <v>0</v>
      </c>
      <c r="K444" s="5">
        <f>J444/SUM(Question_Bank!$M$3:$M$14)</f>
        <v>0</v>
      </c>
      <c r="L444" s="5">
        <f>SUMIFS($I$3:$I$566,$A$3:$A$566,A444,$E$3:$E$566,E444)/SUMIFS(Question_Bank!$M$3:$M$14,Question_Bank!$B$3:$B$14,E444)</f>
        <v>0</v>
      </c>
      <c r="M444" t="s">
        <v>206</v>
      </c>
    </row>
    <row r="445" spans="1:13">
      <c r="A445" t="s">
        <v>205</v>
      </c>
      <c r="B445" t="s">
        <v>132</v>
      </c>
      <c r="C445" t="s">
        <v>227</v>
      </c>
      <c r="D445" t="s">
        <v>104</v>
      </c>
      <c r="E445" t="s">
        <v>96</v>
      </c>
      <c r="F445" t="s">
        <v>34</v>
      </c>
      <c r="G445">
        <f>INDEX(Question_Bank!$J$3:$J$14,MATCH(D445,Question_Bank!$A$3:$A$14,0))</f>
        <v>0</v>
      </c>
      <c r="H445">
        <f>IF(F445=G445,1,0)</f>
        <v>0</v>
      </c>
      <c r="I445">
        <f>H445*INDEX(Question_Bank!$M$3:$M$14,MATCH(D445,Question_Bank!$A$3:$A$14,0))</f>
        <v>0</v>
      </c>
      <c r="J445">
        <f>SUMIFS($I$3:$I$566,$A$3:$A$566,A445)</f>
        <v>0</v>
      </c>
      <c r="K445" s="5">
        <f>J445/SUM(Question_Bank!$M$3:$M$14)</f>
        <v>0</v>
      </c>
      <c r="L445" s="5">
        <f>SUMIFS($I$3:$I$566,$A$3:$A$566,A445,$E$3:$E$566,E445)/SUMIFS(Question_Bank!$M$3:$M$14,Question_Bank!$B$3:$B$14,E445)</f>
        <v>0</v>
      </c>
      <c r="M445" t="s">
        <v>206</v>
      </c>
    </row>
    <row r="446" spans="1:13">
      <c r="A446" t="s">
        <v>205</v>
      </c>
      <c r="B446" t="s">
        <v>132</v>
      </c>
      <c r="C446" t="s">
        <v>227</v>
      </c>
      <c r="D446" t="s">
        <v>112</v>
      </c>
      <c r="E446" t="s">
        <v>96</v>
      </c>
      <c r="F446" t="s">
        <v>20</v>
      </c>
      <c r="G446">
        <f>INDEX(Question_Bank!$J$3:$J$14,MATCH(D446,Question_Bank!$A$3:$A$14,0))</f>
        <v>0</v>
      </c>
      <c r="H446">
        <f>IF(F446=G446,1,0)</f>
        <v>0</v>
      </c>
      <c r="I446">
        <f>H446*INDEX(Question_Bank!$M$3:$M$14,MATCH(D446,Question_Bank!$A$3:$A$14,0))</f>
        <v>0</v>
      </c>
      <c r="J446">
        <f>SUMIFS($I$3:$I$566,$A$3:$A$566,A446)</f>
        <v>0</v>
      </c>
      <c r="K446" s="5">
        <f>J446/SUM(Question_Bank!$M$3:$M$14)</f>
        <v>0</v>
      </c>
      <c r="L446" s="5">
        <f>SUMIFS($I$3:$I$566,$A$3:$A$566,A446,$E$3:$E$566,E446)/SUMIFS(Question_Bank!$M$3:$M$14,Question_Bank!$B$3:$B$14,E446)</f>
        <v>0</v>
      </c>
      <c r="M446" t="s">
        <v>206</v>
      </c>
    </row>
    <row r="447" spans="1:13">
      <c r="A447" t="s">
        <v>207</v>
      </c>
      <c r="B447" t="s">
        <v>132</v>
      </c>
      <c r="C447" t="s">
        <v>227</v>
      </c>
      <c r="D447" t="s">
        <v>14</v>
      </c>
      <c r="E447" t="s">
        <v>15</v>
      </c>
      <c r="F447" t="s">
        <v>31</v>
      </c>
      <c r="G447">
        <f>INDEX(Question_Bank!$J$3:$J$14,MATCH(D447,Question_Bank!$A$3:$A$14,0))</f>
        <v>0</v>
      </c>
      <c r="H447">
        <f>IF(F447=G447,1,0)</f>
        <v>0</v>
      </c>
      <c r="I447">
        <f>H447*INDEX(Question_Bank!$M$3:$M$14,MATCH(D447,Question_Bank!$A$3:$A$14,0))</f>
        <v>0</v>
      </c>
      <c r="J447">
        <f>SUMIFS($I$3:$I$566,$A$3:$A$566,A447)</f>
        <v>0</v>
      </c>
      <c r="K447" s="5">
        <f>J447/SUM(Question_Bank!$M$3:$M$14)</f>
        <v>0</v>
      </c>
      <c r="L447" s="5">
        <f>SUMIFS($I$3:$I$566,$A$3:$A$566,A447,$E$3:$E$566,E447)/SUMIFS(Question_Bank!$M$3:$M$14,Question_Bank!$B$3:$B$14,E447)</f>
        <v>0</v>
      </c>
      <c r="M447" t="s">
        <v>208</v>
      </c>
    </row>
    <row r="448" spans="1:13">
      <c r="A448" t="s">
        <v>207</v>
      </c>
      <c r="B448" t="s">
        <v>132</v>
      </c>
      <c r="C448" t="s">
        <v>227</v>
      </c>
      <c r="D448" t="s">
        <v>26</v>
      </c>
      <c r="E448" t="s">
        <v>15</v>
      </c>
      <c r="F448" t="s">
        <v>23</v>
      </c>
      <c r="G448">
        <f>INDEX(Question_Bank!$J$3:$J$14,MATCH(D448,Question_Bank!$A$3:$A$14,0))</f>
        <v>0</v>
      </c>
      <c r="H448">
        <f>IF(F448=G448,1,0)</f>
        <v>0</v>
      </c>
      <c r="I448">
        <f>H448*INDEX(Question_Bank!$M$3:$M$14,MATCH(D448,Question_Bank!$A$3:$A$14,0))</f>
        <v>0</v>
      </c>
      <c r="J448">
        <f>SUMIFS($I$3:$I$566,$A$3:$A$566,A448)</f>
        <v>0</v>
      </c>
      <c r="K448" s="5">
        <f>J448/SUM(Question_Bank!$M$3:$M$14)</f>
        <v>0</v>
      </c>
      <c r="L448" s="5">
        <f>SUMIFS($I$3:$I$566,$A$3:$A$566,A448,$E$3:$E$566,E448)/SUMIFS(Question_Bank!$M$3:$M$14,Question_Bank!$B$3:$B$14,E448)</f>
        <v>0</v>
      </c>
      <c r="M448" t="s">
        <v>208</v>
      </c>
    </row>
    <row r="449" spans="1:13">
      <c r="A449" t="s">
        <v>207</v>
      </c>
      <c r="B449" t="s">
        <v>132</v>
      </c>
      <c r="C449" t="s">
        <v>227</v>
      </c>
      <c r="D449" t="s">
        <v>37</v>
      </c>
      <c r="E449" t="s">
        <v>15</v>
      </c>
      <c r="F449" t="s">
        <v>34</v>
      </c>
      <c r="G449">
        <f>INDEX(Question_Bank!$J$3:$J$14,MATCH(D449,Question_Bank!$A$3:$A$14,0))</f>
        <v>0</v>
      </c>
      <c r="H449">
        <f>IF(F449=G449,1,0)</f>
        <v>0</v>
      </c>
      <c r="I449">
        <f>H449*INDEX(Question_Bank!$M$3:$M$14,MATCH(D449,Question_Bank!$A$3:$A$14,0))</f>
        <v>0</v>
      </c>
      <c r="J449">
        <f>SUMIFS($I$3:$I$566,$A$3:$A$566,A449)</f>
        <v>0</v>
      </c>
      <c r="K449" s="5">
        <f>J449/SUM(Question_Bank!$M$3:$M$14)</f>
        <v>0</v>
      </c>
      <c r="L449" s="5">
        <f>SUMIFS($I$3:$I$566,$A$3:$A$566,A449,$E$3:$E$566,E449)/SUMIFS(Question_Bank!$M$3:$M$14,Question_Bank!$B$3:$B$14,E449)</f>
        <v>0</v>
      </c>
      <c r="M449" t="s">
        <v>208</v>
      </c>
    </row>
    <row r="450" spans="1:13">
      <c r="A450" t="s">
        <v>207</v>
      </c>
      <c r="B450" t="s">
        <v>132</v>
      </c>
      <c r="C450" t="s">
        <v>227</v>
      </c>
      <c r="D450" t="s">
        <v>45</v>
      </c>
      <c r="E450" t="s">
        <v>46</v>
      </c>
      <c r="F450" t="s">
        <v>23</v>
      </c>
      <c r="G450">
        <f>INDEX(Question_Bank!$J$3:$J$14,MATCH(D450,Question_Bank!$A$3:$A$14,0))</f>
        <v>0</v>
      </c>
      <c r="H450">
        <f>IF(F450=G450,1,0)</f>
        <v>0</v>
      </c>
      <c r="I450">
        <f>H450*INDEX(Question_Bank!$M$3:$M$14,MATCH(D450,Question_Bank!$A$3:$A$14,0))</f>
        <v>0</v>
      </c>
      <c r="J450">
        <f>SUMIFS($I$3:$I$566,$A$3:$A$566,A450)</f>
        <v>0</v>
      </c>
      <c r="K450" s="5">
        <f>J450/SUM(Question_Bank!$M$3:$M$14)</f>
        <v>0</v>
      </c>
      <c r="L450" s="5">
        <f>SUMIFS($I$3:$I$566,$A$3:$A$566,A450,$E$3:$E$566,E450)/SUMIFS(Question_Bank!$M$3:$M$14,Question_Bank!$B$3:$B$14,E450)</f>
        <v>0</v>
      </c>
      <c r="M450" t="s">
        <v>208</v>
      </c>
    </row>
    <row r="451" spans="1:13">
      <c r="A451" t="s">
        <v>207</v>
      </c>
      <c r="B451" t="s">
        <v>132</v>
      </c>
      <c r="C451" t="s">
        <v>227</v>
      </c>
      <c r="D451" t="s">
        <v>54</v>
      </c>
      <c r="E451" t="s">
        <v>46</v>
      </c>
      <c r="F451" t="s">
        <v>34</v>
      </c>
      <c r="G451">
        <f>INDEX(Question_Bank!$J$3:$J$14,MATCH(D451,Question_Bank!$A$3:$A$14,0))</f>
        <v>0</v>
      </c>
      <c r="H451">
        <f>IF(F451=G451,1,0)</f>
        <v>0</v>
      </c>
      <c r="I451">
        <f>H451*INDEX(Question_Bank!$M$3:$M$14,MATCH(D451,Question_Bank!$A$3:$A$14,0))</f>
        <v>0</v>
      </c>
      <c r="J451">
        <f>SUMIFS($I$3:$I$566,$A$3:$A$566,A451)</f>
        <v>0</v>
      </c>
      <c r="K451" s="5">
        <f>J451/SUM(Question_Bank!$M$3:$M$14)</f>
        <v>0</v>
      </c>
      <c r="L451" s="5">
        <f>SUMIFS($I$3:$I$566,$A$3:$A$566,A451,$E$3:$E$566,E451)/SUMIFS(Question_Bank!$M$3:$M$14,Question_Bank!$B$3:$B$14,E451)</f>
        <v>0</v>
      </c>
      <c r="M451" t="s">
        <v>208</v>
      </c>
    </row>
    <row r="452" spans="1:13">
      <c r="A452" t="s">
        <v>207</v>
      </c>
      <c r="B452" t="s">
        <v>132</v>
      </c>
      <c r="C452" t="s">
        <v>227</v>
      </c>
      <c r="D452" t="s">
        <v>62</v>
      </c>
      <c r="E452" t="s">
        <v>46</v>
      </c>
      <c r="F452" t="s">
        <v>23</v>
      </c>
      <c r="G452">
        <f>INDEX(Question_Bank!$J$3:$J$14,MATCH(D452,Question_Bank!$A$3:$A$14,0))</f>
        <v>0</v>
      </c>
      <c r="H452">
        <f>IF(F452=G452,1,0)</f>
        <v>0</v>
      </c>
      <c r="I452">
        <f>H452*INDEX(Question_Bank!$M$3:$M$14,MATCH(D452,Question_Bank!$A$3:$A$14,0))</f>
        <v>0</v>
      </c>
      <c r="J452">
        <f>SUMIFS($I$3:$I$566,$A$3:$A$566,A452)</f>
        <v>0</v>
      </c>
      <c r="K452" s="5">
        <f>J452/SUM(Question_Bank!$M$3:$M$14)</f>
        <v>0</v>
      </c>
      <c r="L452" s="5">
        <f>SUMIFS($I$3:$I$566,$A$3:$A$566,A452,$E$3:$E$566,E452)/SUMIFS(Question_Bank!$M$3:$M$14,Question_Bank!$B$3:$B$14,E452)</f>
        <v>0</v>
      </c>
      <c r="M452" t="s">
        <v>208</v>
      </c>
    </row>
    <row r="453" spans="1:13">
      <c r="A453" t="s">
        <v>207</v>
      </c>
      <c r="B453" t="s">
        <v>132</v>
      </c>
      <c r="C453" t="s">
        <v>227</v>
      </c>
      <c r="D453" t="s">
        <v>70</v>
      </c>
      <c r="E453" t="s">
        <v>71</v>
      </c>
      <c r="F453" t="s">
        <v>20</v>
      </c>
      <c r="G453">
        <f>INDEX(Question_Bank!$J$3:$J$14,MATCH(D453,Question_Bank!$A$3:$A$14,0))</f>
        <v>0</v>
      </c>
      <c r="H453">
        <f>IF(F453=G453,1,0)</f>
        <v>0</v>
      </c>
      <c r="I453">
        <f>H453*INDEX(Question_Bank!$M$3:$M$14,MATCH(D453,Question_Bank!$A$3:$A$14,0))</f>
        <v>0</v>
      </c>
      <c r="J453">
        <f>SUMIFS($I$3:$I$566,$A$3:$A$566,A453)</f>
        <v>0</v>
      </c>
      <c r="K453" s="5">
        <f>J453/SUM(Question_Bank!$M$3:$M$14)</f>
        <v>0</v>
      </c>
      <c r="L453" s="5">
        <f>SUMIFS($I$3:$I$566,$A$3:$A$566,A453,$E$3:$E$566,E453)/SUMIFS(Question_Bank!$M$3:$M$14,Question_Bank!$B$3:$B$14,E453)</f>
        <v>0</v>
      </c>
      <c r="M453" t="s">
        <v>208</v>
      </c>
    </row>
    <row r="454" spans="1:13">
      <c r="A454" t="s">
        <v>207</v>
      </c>
      <c r="B454" t="s">
        <v>132</v>
      </c>
      <c r="C454" t="s">
        <v>227</v>
      </c>
      <c r="D454" t="s">
        <v>79</v>
      </c>
      <c r="E454" t="s">
        <v>71</v>
      </c>
      <c r="F454" t="s">
        <v>34</v>
      </c>
      <c r="G454">
        <f>INDEX(Question_Bank!$J$3:$J$14,MATCH(D454,Question_Bank!$A$3:$A$14,0))</f>
        <v>0</v>
      </c>
      <c r="H454">
        <f>IF(F454=G454,1,0)</f>
        <v>0</v>
      </c>
      <c r="I454">
        <f>H454*INDEX(Question_Bank!$M$3:$M$14,MATCH(D454,Question_Bank!$A$3:$A$14,0))</f>
        <v>0</v>
      </c>
      <c r="J454">
        <f>SUMIFS($I$3:$I$566,$A$3:$A$566,A454)</f>
        <v>0</v>
      </c>
      <c r="K454" s="5">
        <f>J454/SUM(Question_Bank!$M$3:$M$14)</f>
        <v>0</v>
      </c>
      <c r="L454" s="5">
        <f>SUMIFS($I$3:$I$566,$A$3:$A$566,A454,$E$3:$E$566,E454)/SUMIFS(Question_Bank!$M$3:$M$14,Question_Bank!$B$3:$B$14,E454)</f>
        <v>0</v>
      </c>
      <c r="M454" t="s">
        <v>208</v>
      </c>
    </row>
    <row r="455" spans="1:13">
      <c r="A455" t="s">
        <v>207</v>
      </c>
      <c r="B455" t="s">
        <v>132</v>
      </c>
      <c r="C455" t="s">
        <v>227</v>
      </c>
      <c r="D455" t="s">
        <v>87</v>
      </c>
      <c r="E455" t="s">
        <v>71</v>
      </c>
      <c r="F455" t="s">
        <v>34</v>
      </c>
      <c r="G455">
        <f>INDEX(Question_Bank!$J$3:$J$14,MATCH(D455,Question_Bank!$A$3:$A$14,0))</f>
        <v>0</v>
      </c>
      <c r="H455">
        <f>IF(F455=G455,1,0)</f>
        <v>0</v>
      </c>
      <c r="I455">
        <f>H455*INDEX(Question_Bank!$M$3:$M$14,MATCH(D455,Question_Bank!$A$3:$A$14,0))</f>
        <v>0</v>
      </c>
      <c r="J455">
        <f>SUMIFS($I$3:$I$566,$A$3:$A$566,A455)</f>
        <v>0</v>
      </c>
      <c r="K455" s="5">
        <f>J455/SUM(Question_Bank!$M$3:$M$14)</f>
        <v>0</v>
      </c>
      <c r="L455" s="5">
        <f>SUMIFS($I$3:$I$566,$A$3:$A$566,A455,$E$3:$E$566,E455)/SUMIFS(Question_Bank!$M$3:$M$14,Question_Bank!$B$3:$B$14,E455)</f>
        <v>0</v>
      </c>
      <c r="M455" t="s">
        <v>208</v>
      </c>
    </row>
    <row r="456" spans="1:13">
      <c r="A456" t="s">
        <v>207</v>
      </c>
      <c r="B456" t="s">
        <v>132</v>
      </c>
      <c r="C456" t="s">
        <v>227</v>
      </c>
      <c r="D456" t="s">
        <v>95</v>
      </c>
      <c r="E456" t="s">
        <v>96</v>
      </c>
      <c r="F456" t="s">
        <v>34</v>
      </c>
      <c r="G456">
        <f>INDEX(Question_Bank!$J$3:$J$14,MATCH(D456,Question_Bank!$A$3:$A$14,0))</f>
        <v>0</v>
      </c>
      <c r="H456">
        <f>IF(F456=G456,1,0)</f>
        <v>0</v>
      </c>
      <c r="I456">
        <f>H456*INDEX(Question_Bank!$M$3:$M$14,MATCH(D456,Question_Bank!$A$3:$A$14,0))</f>
        <v>0</v>
      </c>
      <c r="J456">
        <f>SUMIFS($I$3:$I$566,$A$3:$A$566,A456)</f>
        <v>0</v>
      </c>
      <c r="K456" s="5">
        <f>J456/SUM(Question_Bank!$M$3:$M$14)</f>
        <v>0</v>
      </c>
      <c r="L456" s="5">
        <f>SUMIFS($I$3:$I$566,$A$3:$A$566,A456,$E$3:$E$566,E456)/SUMIFS(Question_Bank!$M$3:$M$14,Question_Bank!$B$3:$B$14,E456)</f>
        <v>0</v>
      </c>
      <c r="M456" t="s">
        <v>208</v>
      </c>
    </row>
    <row r="457" spans="1:13">
      <c r="A457" t="s">
        <v>207</v>
      </c>
      <c r="B457" t="s">
        <v>132</v>
      </c>
      <c r="C457" t="s">
        <v>227</v>
      </c>
      <c r="D457" t="s">
        <v>104</v>
      </c>
      <c r="E457" t="s">
        <v>96</v>
      </c>
      <c r="F457" t="s">
        <v>23</v>
      </c>
      <c r="G457">
        <f>INDEX(Question_Bank!$J$3:$J$14,MATCH(D457,Question_Bank!$A$3:$A$14,0))</f>
        <v>0</v>
      </c>
      <c r="H457">
        <f>IF(F457=G457,1,0)</f>
        <v>0</v>
      </c>
      <c r="I457">
        <f>H457*INDEX(Question_Bank!$M$3:$M$14,MATCH(D457,Question_Bank!$A$3:$A$14,0))</f>
        <v>0</v>
      </c>
      <c r="J457">
        <f>SUMIFS($I$3:$I$566,$A$3:$A$566,A457)</f>
        <v>0</v>
      </c>
      <c r="K457" s="5">
        <f>J457/SUM(Question_Bank!$M$3:$M$14)</f>
        <v>0</v>
      </c>
      <c r="L457" s="5">
        <f>SUMIFS($I$3:$I$566,$A$3:$A$566,A457,$E$3:$E$566,E457)/SUMIFS(Question_Bank!$M$3:$M$14,Question_Bank!$B$3:$B$14,E457)</f>
        <v>0</v>
      </c>
      <c r="M457" t="s">
        <v>208</v>
      </c>
    </row>
    <row r="458" spans="1:13">
      <c r="A458" t="s">
        <v>207</v>
      </c>
      <c r="B458" t="s">
        <v>132</v>
      </c>
      <c r="C458" t="s">
        <v>227</v>
      </c>
      <c r="D458" t="s">
        <v>112</v>
      </c>
      <c r="E458" t="s">
        <v>96</v>
      </c>
      <c r="F458" t="s">
        <v>31</v>
      </c>
      <c r="G458">
        <f>INDEX(Question_Bank!$J$3:$J$14,MATCH(D458,Question_Bank!$A$3:$A$14,0))</f>
        <v>0</v>
      </c>
      <c r="H458">
        <f>IF(F458=G458,1,0)</f>
        <v>0</v>
      </c>
      <c r="I458">
        <f>H458*INDEX(Question_Bank!$M$3:$M$14,MATCH(D458,Question_Bank!$A$3:$A$14,0))</f>
        <v>0</v>
      </c>
      <c r="J458">
        <f>SUMIFS($I$3:$I$566,$A$3:$A$566,A458)</f>
        <v>0</v>
      </c>
      <c r="K458" s="5">
        <f>J458/SUM(Question_Bank!$M$3:$M$14)</f>
        <v>0</v>
      </c>
      <c r="L458" s="5">
        <f>SUMIFS($I$3:$I$566,$A$3:$A$566,A458,$E$3:$E$566,E458)/SUMIFS(Question_Bank!$M$3:$M$14,Question_Bank!$B$3:$B$14,E458)</f>
        <v>0</v>
      </c>
      <c r="M458" t="s">
        <v>208</v>
      </c>
    </row>
    <row r="459" spans="1:13">
      <c r="A459" t="s">
        <v>209</v>
      </c>
      <c r="B459" t="s">
        <v>132</v>
      </c>
      <c r="C459" t="s">
        <v>227</v>
      </c>
      <c r="D459" t="s">
        <v>14</v>
      </c>
      <c r="E459" t="s">
        <v>15</v>
      </c>
      <c r="F459" t="s">
        <v>23</v>
      </c>
      <c r="G459">
        <f>INDEX(Question_Bank!$J$3:$J$14,MATCH(D459,Question_Bank!$A$3:$A$14,0))</f>
        <v>0</v>
      </c>
      <c r="H459">
        <f>IF(F459=G459,1,0)</f>
        <v>0</v>
      </c>
      <c r="I459">
        <f>H459*INDEX(Question_Bank!$M$3:$M$14,MATCH(D459,Question_Bank!$A$3:$A$14,0))</f>
        <v>0</v>
      </c>
      <c r="J459">
        <f>SUMIFS($I$3:$I$566,$A$3:$A$566,A459)</f>
        <v>0</v>
      </c>
      <c r="K459" s="5">
        <f>J459/SUM(Question_Bank!$M$3:$M$14)</f>
        <v>0</v>
      </c>
      <c r="L459" s="5">
        <f>SUMIFS($I$3:$I$566,$A$3:$A$566,A459,$E$3:$E$566,E459)/SUMIFS(Question_Bank!$M$3:$M$14,Question_Bank!$B$3:$B$14,E459)</f>
        <v>0</v>
      </c>
      <c r="M459" t="s">
        <v>210</v>
      </c>
    </row>
    <row r="460" spans="1:13">
      <c r="A460" t="s">
        <v>209</v>
      </c>
      <c r="B460" t="s">
        <v>132</v>
      </c>
      <c r="C460" t="s">
        <v>227</v>
      </c>
      <c r="D460" t="s">
        <v>26</v>
      </c>
      <c r="E460" t="s">
        <v>15</v>
      </c>
      <c r="F460" t="s">
        <v>34</v>
      </c>
      <c r="G460">
        <f>INDEX(Question_Bank!$J$3:$J$14,MATCH(D460,Question_Bank!$A$3:$A$14,0))</f>
        <v>0</v>
      </c>
      <c r="H460">
        <f>IF(F460=G460,1,0)</f>
        <v>0</v>
      </c>
      <c r="I460">
        <f>H460*INDEX(Question_Bank!$M$3:$M$14,MATCH(D460,Question_Bank!$A$3:$A$14,0))</f>
        <v>0</v>
      </c>
      <c r="J460">
        <f>SUMIFS($I$3:$I$566,$A$3:$A$566,A460)</f>
        <v>0</v>
      </c>
      <c r="K460" s="5">
        <f>J460/SUM(Question_Bank!$M$3:$M$14)</f>
        <v>0</v>
      </c>
      <c r="L460" s="5">
        <f>SUMIFS($I$3:$I$566,$A$3:$A$566,A460,$E$3:$E$566,E460)/SUMIFS(Question_Bank!$M$3:$M$14,Question_Bank!$B$3:$B$14,E460)</f>
        <v>0</v>
      </c>
      <c r="M460" t="s">
        <v>210</v>
      </c>
    </row>
    <row r="461" spans="1:13">
      <c r="A461" t="s">
        <v>209</v>
      </c>
      <c r="B461" t="s">
        <v>132</v>
      </c>
      <c r="C461" t="s">
        <v>227</v>
      </c>
      <c r="D461" t="s">
        <v>37</v>
      </c>
      <c r="E461" t="s">
        <v>15</v>
      </c>
      <c r="F461" t="s">
        <v>20</v>
      </c>
      <c r="G461">
        <f>INDEX(Question_Bank!$J$3:$J$14,MATCH(D461,Question_Bank!$A$3:$A$14,0))</f>
        <v>0</v>
      </c>
      <c r="H461">
        <f>IF(F461=G461,1,0)</f>
        <v>0</v>
      </c>
      <c r="I461">
        <f>H461*INDEX(Question_Bank!$M$3:$M$14,MATCH(D461,Question_Bank!$A$3:$A$14,0))</f>
        <v>0</v>
      </c>
      <c r="J461">
        <f>SUMIFS($I$3:$I$566,$A$3:$A$566,A461)</f>
        <v>0</v>
      </c>
      <c r="K461" s="5">
        <f>J461/SUM(Question_Bank!$M$3:$M$14)</f>
        <v>0</v>
      </c>
      <c r="L461" s="5">
        <f>SUMIFS($I$3:$I$566,$A$3:$A$566,A461,$E$3:$E$566,E461)/SUMIFS(Question_Bank!$M$3:$M$14,Question_Bank!$B$3:$B$14,E461)</f>
        <v>0</v>
      </c>
      <c r="M461" t="s">
        <v>210</v>
      </c>
    </row>
    <row r="462" spans="1:13">
      <c r="A462" t="s">
        <v>209</v>
      </c>
      <c r="B462" t="s">
        <v>132</v>
      </c>
      <c r="C462" t="s">
        <v>227</v>
      </c>
      <c r="D462" t="s">
        <v>45</v>
      </c>
      <c r="E462" t="s">
        <v>46</v>
      </c>
      <c r="F462" t="s">
        <v>23</v>
      </c>
      <c r="G462">
        <f>INDEX(Question_Bank!$J$3:$J$14,MATCH(D462,Question_Bank!$A$3:$A$14,0))</f>
        <v>0</v>
      </c>
      <c r="H462">
        <f>IF(F462=G462,1,0)</f>
        <v>0</v>
      </c>
      <c r="I462">
        <f>H462*INDEX(Question_Bank!$M$3:$M$14,MATCH(D462,Question_Bank!$A$3:$A$14,0))</f>
        <v>0</v>
      </c>
      <c r="J462">
        <f>SUMIFS($I$3:$I$566,$A$3:$A$566,A462)</f>
        <v>0</v>
      </c>
      <c r="K462" s="5">
        <f>J462/SUM(Question_Bank!$M$3:$M$14)</f>
        <v>0</v>
      </c>
      <c r="L462" s="5">
        <f>SUMIFS($I$3:$I$566,$A$3:$A$566,A462,$E$3:$E$566,E462)/SUMIFS(Question_Bank!$M$3:$M$14,Question_Bank!$B$3:$B$14,E462)</f>
        <v>0</v>
      </c>
      <c r="M462" t="s">
        <v>210</v>
      </c>
    </row>
    <row r="463" spans="1:13">
      <c r="A463" t="s">
        <v>209</v>
      </c>
      <c r="B463" t="s">
        <v>132</v>
      </c>
      <c r="C463" t="s">
        <v>227</v>
      </c>
      <c r="D463" t="s">
        <v>54</v>
      </c>
      <c r="E463" t="s">
        <v>46</v>
      </c>
      <c r="F463" t="s">
        <v>31</v>
      </c>
      <c r="G463">
        <f>INDEX(Question_Bank!$J$3:$J$14,MATCH(D463,Question_Bank!$A$3:$A$14,0))</f>
        <v>0</v>
      </c>
      <c r="H463">
        <f>IF(F463=G463,1,0)</f>
        <v>0</v>
      </c>
      <c r="I463">
        <f>H463*INDEX(Question_Bank!$M$3:$M$14,MATCH(D463,Question_Bank!$A$3:$A$14,0))</f>
        <v>0</v>
      </c>
      <c r="J463">
        <f>SUMIFS($I$3:$I$566,$A$3:$A$566,A463)</f>
        <v>0</v>
      </c>
      <c r="K463" s="5">
        <f>J463/SUM(Question_Bank!$M$3:$M$14)</f>
        <v>0</v>
      </c>
      <c r="L463" s="5">
        <f>SUMIFS($I$3:$I$566,$A$3:$A$566,A463,$E$3:$E$566,E463)/SUMIFS(Question_Bank!$M$3:$M$14,Question_Bank!$B$3:$B$14,E463)</f>
        <v>0</v>
      </c>
      <c r="M463" t="s">
        <v>210</v>
      </c>
    </row>
    <row r="464" spans="1:13">
      <c r="A464" t="s">
        <v>209</v>
      </c>
      <c r="B464" t="s">
        <v>132</v>
      </c>
      <c r="C464" t="s">
        <v>227</v>
      </c>
      <c r="D464" t="s">
        <v>62</v>
      </c>
      <c r="E464" t="s">
        <v>46</v>
      </c>
      <c r="F464" t="s">
        <v>34</v>
      </c>
      <c r="G464">
        <f>INDEX(Question_Bank!$J$3:$J$14,MATCH(D464,Question_Bank!$A$3:$A$14,0))</f>
        <v>0</v>
      </c>
      <c r="H464">
        <f>IF(F464=G464,1,0)</f>
        <v>0</v>
      </c>
      <c r="I464">
        <f>H464*INDEX(Question_Bank!$M$3:$M$14,MATCH(D464,Question_Bank!$A$3:$A$14,0))</f>
        <v>0</v>
      </c>
      <c r="J464">
        <f>SUMIFS($I$3:$I$566,$A$3:$A$566,A464)</f>
        <v>0</v>
      </c>
      <c r="K464" s="5">
        <f>J464/SUM(Question_Bank!$M$3:$M$14)</f>
        <v>0</v>
      </c>
      <c r="L464" s="5">
        <f>SUMIFS($I$3:$I$566,$A$3:$A$566,A464,$E$3:$E$566,E464)/SUMIFS(Question_Bank!$M$3:$M$14,Question_Bank!$B$3:$B$14,E464)</f>
        <v>0</v>
      </c>
      <c r="M464" t="s">
        <v>210</v>
      </c>
    </row>
    <row r="465" spans="1:13">
      <c r="A465" t="s">
        <v>209</v>
      </c>
      <c r="B465" t="s">
        <v>132</v>
      </c>
      <c r="C465" t="s">
        <v>227</v>
      </c>
      <c r="D465" t="s">
        <v>70</v>
      </c>
      <c r="E465" t="s">
        <v>71</v>
      </c>
      <c r="F465" t="s">
        <v>20</v>
      </c>
      <c r="G465">
        <f>INDEX(Question_Bank!$J$3:$J$14,MATCH(D465,Question_Bank!$A$3:$A$14,0))</f>
        <v>0</v>
      </c>
      <c r="H465">
        <f>IF(F465=G465,1,0)</f>
        <v>0</v>
      </c>
      <c r="I465">
        <f>H465*INDEX(Question_Bank!$M$3:$M$14,MATCH(D465,Question_Bank!$A$3:$A$14,0))</f>
        <v>0</v>
      </c>
      <c r="J465">
        <f>SUMIFS($I$3:$I$566,$A$3:$A$566,A465)</f>
        <v>0</v>
      </c>
      <c r="K465" s="5">
        <f>J465/SUM(Question_Bank!$M$3:$M$14)</f>
        <v>0</v>
      </c>
      <c r="L465" s="5">
        <f>SUMIFS($I$3:$I$566,$A$3:$A$566,A465,$E$3:$E$566,E465)/SUMIFS(Question_Bank!$M$3:$M$14,Question_Bank!$B$3:$B$14,E465)</f>
        <v>0</v>
      </c>
      <c r="M465" t="s">
        <v>210</v>
      </c>
    </row>
    <row r="466" spans="1:13">
      <c r="A466" t="s">
        <v>209</v>
      </c>
      <c r="B466" t="s">
        <v>132</v>
      </c>
      <c r="C466" t="s">
        <v>227</v>
      </c>
      <c r="D466" t="s">
        <v>79</v>
      </c>
      <c r="E466" t="s">
        <v>71</v>
      </c>
      <c r="F466" t="s">
        <v>31</v>
      </c>
      <c r="G466">
        <f>INDEX(Question_Bank!$J$3:$J$14,MATCH(D466,Question_Bank!$A$3:$A$14,0))</f>
        <v>0</v>
      </c>
      <c r="H466">
        <f>IF(F466=G466,1,0)</f>
        <v>0</v>
      </c>
      <c r="I466">
        <f>H466*INDEX(Question_Bank!$M$3:$M$14,MATCH(D466,Question_Bank!$A$3:$A$14,0))</f>
        <v>0</v>
      </c>
      <c r="J466">
        <f>SUMIFS($I$3:$I$566,$A$3:$A$566,A466)</f>
        <v>0</v>
      </c>
      <c r="K466" s="5">
        <f>J466/SUM(Question_Bank!$M$3:$M$14)</f>
        <v>0</v>
      </c>
      <c r="L466" s="5">
        <f>SUMIFS($I$3:$I$566,$A$3:$A$566,A466,$E$3:$E$566,E466)/SUMIFS(Question_Bank!$M$3:$M$14,Question_Bank!$B$3:$B$14,E466)</f>
        <v>0</v>
      </c>
      <c r="M466" t="s">
        <v>210</v>
      </c>
    </row>
    <row r="467" spans="1:13">
      <c r="A467" t="s">
        <v>209</v>
      </c>
      <c r="B467" t="s">
        <v>132</v>
      </c>
      <c r="C467" t="s">
        <v>227</v>
      </c>
      <c r="D467" t="s">
        <v>87</v>
      </c>
      <c r="E467" t="s">
        <v>71</v>
      </c>
      <c r="F467" t="s">
        <v>20</v>
      </c>
      <c r="G467">
        <f>INDEX(Question_Bank!$J$3:$J$14,MATCH(D467,Question_Bank!$A$3:$A$14,0))</f>
        <v>0</v>
      </c>
      <c r="H467">
        <f>IF(F467=G467,1,0)</f>
        <v>0</v>
      </c>
      <c r="I467">
        <f>H467*INDEX(Question_Bank!$M$3:$M$14,MATCH(D467,Question_Bank!$A$3:$A$14,0))</f>
        <v>0</v>
      </c>
      <c r="J467">
        <f>SUMIFS($I$3:$I$566,$A$3:$A$566,A467)</f>
        <v>0</v>
      </c>
      <c r="K467" s="5">
        <f>J467/SUM(Question_Bank!$M$3:$M$14)</f>
        <v>0</v>
      </c>
      <c r="L467" s="5">
        <f>SUMIFS($I$3:$I$566,$A$3:$A$566,A467,$E$3:$E$566,E467)/SUMIFS(Question_Bank!$M$3:$M$14,Question_Bank!$B$3:$B$14,E467)</f>
        <v>0</v>
      </c>
      <c r="M467" t="s">
        <v>210</v>
      </c>
    </row>
    <row r="468" spans="1:13">
      <c r="A468" t="s">
        <v>209</v>
      </c>
      <c r="B468" t="s">
        <v>132</v>
      </c>
      <c r="C468" t="s">
        <v>227</v>
      </c>
      <c r="D468" t="s">
        <v>95</v>
      </c>
      <c r="E468" t="s">
        <v>96</v>
      </c>
      <c r="F468" t="s">
        <v>34</v>
      </c>
      <c r="G468">
        <f>INDEX(Question_Bank!$J$3:$J$14,MATCH(D468,Question_Bank!$A$3:$A$14,0))</f>
        <v>0</v>
      </c>
      <c r="H468">
        <f>IF(F468=G468,1,0)</f>
        <v>0</v>
      </c>
      <c r="I468">
        <f>H468*INDEX(Question_Bank!$M$3:$M$14,MATCH(D468,Question_Bank!$A$3:$A$14,0))</f>
        <v>0</v>
      </c>
      <c r="J468">
        <f>SUMIFS($I$3:$I$566,$A$3:$A$566,A468)</f>
        <v>0</v>
      </c>
      <c r="K468" s="5">
        <f>J468/SUM(Question_Bank!$M$3:$M$14)</f>
        <v>0</v>
      </c>
      <c r="L468" s="5">
        <f>SUMIFS($I$3:$I$566,$A$3:$A$566,A468,$E$3:$E$566,E468)/SUMIFS(Question_Bank!$M$3:$M$14,Question_Bank!$B$3:$B$14,E468)</f>
        <v>0</v>
      </c>
      <c r="M468" t="s">
        <v>210</v>
      </c>
    </row>
    <row r="469" spans="1:13">
      <c r="A469" t="s">
        <v>209</v>
      </c>
      <c r="B469" t="s">
        <v>132</v>
      </c>
      <c r="C469" t="s">
        <v>227</v>
      </c>
      <c r="D469" t="s">
        <v>104</v>
      </c>
      <c r="E469" t="s">
        <v>96</v>
      </c>
      <c r="F469" t="s">
        <v>20</v>
      </c>
      <c r="G469">
        <f>INDEX(Question_Bank!$J$3:$J$14,MATCH(D469,Question_Bank!$A$3:$A$14,0))</f>
        <v>0</v>
      </c>
      <c r="H469">
        <f>IF(F469=G469,1,0)</f>
        <v>0</v>
      </c>
      <c r="I469">
        <f>H469*INDEX(Question_Bank!$M$3:$M$14,MATCH(D469,Question_Bank!$A$3:$A$14,0))</f>
        <v>0</v>
      </c>
      <c r="J469">
        <f>SUMIFS($I$3:$I$566,$A$3:$A$566,A469)</f>
        <v>0</v>
      </c>
      <c r="K469" s="5">
        <f>J469/SUM(Question_Bank!$M$3:$M$14)</f>
        <v>0</v>
      </c>
      <c r="L469" s="5">
        <f>SUMIFS($I$3:$I$566,$A$3:$A$566,A469,$E$3:$E$566,E469)/SUMIFS(Question_Bank!$M$3:$M$14,Question_Bank!$B$3:$B$14,E469)</f>
        <v>0</v>
      </c>
      <c r="M469" t="s">
        <v>210</v>
      </c>
    </row>
    <row r="470" spans="1:13">
      <c r="A470" t="s">
        <v>209</v>
      </c>
      <c r="B470" t="s">
        <v>132</v>
      </c>
      <c r="C470" t="s">
        <v>227</v>
      </c>
      <c r="D470" t="s">
        <v>112</v>
      </c>
      <c r="E470" t="s">
        <v>96</v>
      </c>
      <c r="F470" t="s">
        <v>31</v>
      </c>
      <c r="G470">
        <f>INDEX(Question_Bank!$J$3:$J$14,MATCH(D470,Question_Bank!$A$3:$A$14,0))</f>
        <v>0</v>
      </c>
      <c r="H470">
        <f>IF(F470=G470,1,0)</f>
        <v>0</v>
      </c>
      <c r="I470">
        <f>H470*INDEX(Question_Bank!$M$3:$M$14,MATCH(D470,Question_Bank!$A$3:$A$14,0))</f>
        <v>0</v>
      </c>
      <c r="J470">
        <f>SUMIFS($I$3:$I$566,$A$3:$A$566,A470)</f>
        <v>0</v>
      </c>
      <c r="K470" s="5">
        <f>J470/SUM(Question_Bank!$M$3:$M$14)</f>
        <v>0</v>
      </c>
      <c r="L470" s="5">
        <f>SUMIFS($I$3:$I$566,$A$3:$A$566,A470,$E$3:$E$566,E470)/SUMIFS(Question_Bank!$M$3:$M$14,Question_Bank!$B$3:$B$14,E470)</f>
        <v>0</v>
      </c>
      <c r="M470" t="s">
        <v>210</v>
      </c>
    </row>
    <row r="471" spans="1:13">
      <c r="A471" t="s">
        <v>211</v>
      </c>
      <c r="B471" t="s">
        <v>132</v>
      </c>
      <c r="C471" t="s">
        <v>227</v>
      </c>
      <c r="D471" t="s">
        <v>14</v>
      </c>
      <c r="E471" t="s">
        <v>15</v>
      </c>
      <c r="F471" t="s">
        <v>23</v>
      </c>
      <c r="G471">
        <f>INDEX(Question_Bank!$J$3:$J$14,MATCH(D471,Question_Bank!$A$3:$A$14,0))</f>
        <v>0</v>
      </c>
      <c r="H471">
        <f>IF(F471=G471,1,0)</f>
        <v>0</v>
      </c>
      <c r="I471">
        <f>H471*INDEX(Question_Bank!$M$3:$M$14,MATCH(D471,Question_Bank!$A$3:$A$14,0))</f>
        <v>0</v>
      </c>
      <c r="J471">
        <f>SUMIFS($I$3:$I$566,$A$3:$A$566,A471)</f>
        <v>0</v>
      </c>
      <c r="K471" s="5">
        <f>J471/SUM(Question_Bank!$M$3:$M$14)</f>
        <v>0</v>
      </c>
      <c r="L471" s="5">
        <f>SUMIFS($I$3:$I$566,$A$3:$A$566,A471,$E$3:$E$566,E471)/SUMIFS(Question_Bank!$M$3:$M$14,Question_Bank!$B$3:$B$14,E471)</f>
        <v>0</v>
      </c>
      <c r="M471" t="s">
        <v>212</v>
      </c>
    </row>
    <row r="472" spans="1:13">
      <c r="A472" t="s">
        <v>211</v>
      </c>
      <c r="B472" t="s">
        <v>132</v>
      </c>
      <c r="C472" t="s">
        <v>227</v>
      </c>
      <c r="D472" t="s">
        <v>26</v>
      </c>
      <c r="E472" t="s">
        <v>15</v>
      </c>
      <c r="F472" t="s">
        <v>34</v>
      </c>
      <c r="G472">
        <f>INDEX(Question_Bank!$J$3:$J$14,MATCH(D472,Question_Bank!$A$3:$A$14,0))</f>
        <v>0</v>
      </c>
      <c r="H472">
        <f>IF(F472=G472,1,0)</f>
        <v>0</v>
      </c>
      <c r="I472">
        <f>H472*INDEX(Question_Bank!$M$3:$M$14,MATCH(D472,Question_Bank!$A$3:$A$14,0))</f>
        <v>0</v>
      </c>
      <c r="J472">
        <f>SUMIFS($I$3:$I$566,$A$3:$A$566,A472)</f>
        <v>0</v>
      </c>
      <c r="K472" s="5">
        <f>J472/SUM(Question_Bank!$M$3:$M$14)</f>
        <v>0</v>
      </c>
      <c r="L472" s="5">
        <f>SUMIFS($I$3:$I$566,$A$3:$A$566,A472,$E$3:$E$566,E472)/SUMIFS(Question_Bank!$M$3:$M$14,Question_Bank!$B$3:$B$14,E472)</f>
        <v>0</v>
      </c>
      <c r="M472" t="s">
        <v>212</v>
      </c>
    </row>
    <row r="473" spans="1:13">
      <c r="A473" t="s">
        <v>211</v>
      </c>
      <c r="B473" t="s">
        <v>132</v>
      </c>
      <c r="C473" t="s">
        <v>227</v>
      </c>
      <c r="D473" t="s">
        <v>37</v>
      </c>
      <c r="E473" t="s">
        <v>15</v>
      </c>
      <c r="F473" t="s">
        <v>20</v>
      </c>
      <c r="G473">
        <f>INDEX(Question_Bank!$J$3:$J$14,MATCH(D473,Question_Bank!$A$3:$A$14,0))</f>
        <v>0</v>
      </c>
      <c r="H473">
        <f>IF(F473=G473,1,0)</f>
        <v>0</v>
      </c>
      <c r="I473">
        <f>H473*INDEX(Question_Bank!$M$3:$M$14,MATCH(D473,Question_Bank!$A$3:$A$14,0))</f>
        <v>0</v>
      </c>
      <c r="J473">
        <f>SUMIFS($I$3:$I$566,$A$3:$A$566,A473)</f>
        <v>0</v>
      </c>
      <c r="K473" s="5">
        <f>J473/SUM(Question_Bank!$M$3:$M$14)</f>
        <v>0</v>
      </c>
      <c r="L473" s="5">
        <f>SUMIFS($I$3:$I$566,$A$3:$A$566,A473,$E$3:$E$566,E473)/SUMIFS(Question_Bank!$M$3:$M$14,Question_Bank!$B$3:$B$14,E473)</f>
        <v>0</v>
      </c>
      <c r="M473" t="s">
        <v>212</v>
      </c>
    </row>
    <row r="474" spans="1:13">
      <c r="A474" t="s">
        <v>211</v>
      </c>
      <c r="B474" t="s">
        <v>132</v>
      </c>
      <c r="C474" t="s">
        <v>227</v>
      </c>
      <c r="D474" t="s">
        <v>45</v>
      </c>
      <c r="E474" t="s">
        <v>46</v>
      </c>
      <c r="F474" t="s">
        <v>31</v>
      </c>
      <c r="G474">
        <f>INDEX(Question_Bank!$J$3:$J$14,MATCH(D474,Question_Bank!$A$3:$A$14,0))</f>
        <v>0</v>
      </c>
      <c r="H474">
        <f>IF(F474=G474,1,0)</f>
        <v>0</v>
      </c>
      <c r="I474">
        <f>H474*INDEX(Question_Bank!$M$3:$M$14,MATCH(D474,Question_Bank!$A$3:$A$14,0))</f>
        <v>0</v>
      </c>
      <c r="J474">
        <f>SUMIFS($I$3:$I$566,$A$3:$A$566,A474)</f>
        <v>0</v>
      </c>
      <c r="K474" s="5">
        <f>J474/SUM(Question_Bank!$M$3:$M$14)</f>
        <v>0</v>
      </c>
      <c r="L474" s="5">
        <f>SUMIFS($I$3:$I$566,$A$3:$A$566,A474,$E$3:$E$566,E474)/SUMIFS(Question_Bank!$M$3:$M$14,Question_Bank!$B$3:$B$14,E474)</f>
        <v>0</v>
      </c>
      <c r="M474" t="s">
        <v>212</v>
      </c>
    </row>
    <row r="475" spans="1:13">
      <c r="A475" t="s">
        <v>211</v>
      </c>
      <c r="B475" t="s">
        <v>132</v>
      </c>
      <c r="C475" t="s">
        <v>227</v>
      </c>
      <c r="D475" t="s">
        <v>54</v>
      </c>
      <c r="E475" t="s">
        <v>46</v>
      </c>
      <c r="F475" t="s">
        <v>23</v>
      </c>
      <c r="G475">
        <f>INDEX(Question_Bank!$J$3:$J$14,MATCH(D475,Question_Bank!$A$3:$A$14,0))</f>
        <v>0</v>
      </c>
      <c r="H475">
        <f>IF(F475=G475,1,0)</f>
        <v>0</v>
      </c>
      <c r="I475">
        <f>H475*INDEX(Question_Bank!$M$3:$M$14,MATCH(D475,Question_Bank!$A$3:$A$14,0))</f>
        <v>0</v>
      </c>
      <c r="J475">
        <f>SUMIFS($I$3:$I$566,$A$3:$A$566,A475)</f>
        <v>0</v>
      </c>
      <c r="K475" s="5">
        <f>J475/SUM(Question_Bank!$M$3:$M$14)</f>
        <v>0</v>
      </c>
      <c r="L475" s="5">
        <f>SUMIFS($I$3:$I$566,$A$3:$A$566,A475,$E$3:$E$566,E475)/SUMIFS(Question_Bank!$M$3:$M$14,Question_Bank!$B$3:$B$14,E475)</f>
        <v>0</v>
      </c>
      <c r="M475" t="s">
        <v>212</v>
      </c>
    </row>
    <row r="476" spans="1:13">
      <c r="A476" t="s">
        <v>211</v>
      </c>
      <c r="B476" t="s">
        <v>132</v>
      </c>
      <c r="C476" t="s">
        <v>227</v>
      </c>
      <c r="D476" t="s">
        <v>62</v>
      </c>
      <c r="E476" t="s">
        <v>46</v>
      </c>
      <c r="F476" t="s">
        <v>34</v>
      </c>
      <c r="G476">
        <f>INDEX(Question_Bank!$J$3:$J$14,MATCH(D476,Question_Bank!$A$3:$A$14,0))</f>
        <v>0</v>
      </c>
      <c r="H476">
        <f>IF(F476=G476,1,0)</f>
        <v>0</v>
      </c>
      <c r="I476">
        <f>H476*INDEX(Question_Bank!$M$3:$M$14,MATCH(D476,Question_Bank!$A$3:$A$14,0))</f>
        <v>0</v>
      </c>
      <c r="J476">
        <f>SUMIFS($I$3:$I$566,$A$3:$A$566,A476)</f>
        <v>0</v>
      </c>
      <c r="K476" s="5">
        <f>J476/SUM(Question_Bank!$M$3:$M$14)</f>
        <v>0</v>
      </c>
      <c r="L476" s="5">
        <f>SUMIFS($I$3:$I$566,$A$3:$A$566,A476,$E$3:$E$566,E476)/SUMIFS(Question_Bank!$M$3:$M$14,Question_Bank!$B$3:$B$14,E476)</f>
        <v>0</v>
      </c>
      <c r="M476" t="s">
        <v>212</v>
      </c>
    </row>
    <row r="477" spans="1:13">
      <c r="A477" t="s">
        <v>211</v>
      </c>
      <c r="B477" t="s">
        <v>132</v>
      </c>
      <c r="C477" t="s">
        <v>227</v>
      </c>
      <c r="D477" t="s">
        <v>70</v>
      </c>
      <c r="E477" t="s">
        <v>71</v>
      </c>
      <c r="F477" t="s">
        <v>20</v>
      </c>
      <c r="G477">
        <f>INDEX(Question_Bank!$J$3:$J$14,MATCH(D477,Question_Bank!$A$3:$A$14,0))</f>
        <v>0</v>
      </c>
      <c r="H477">
        <f>IF(F477=G477,1,0)</f>
        <v>0</v>
      </c>
      <c r="I477">
        <f>H477*INDEX(Question_Bank!$M$3:$M$14,MATCH(D477,Question_Bank!$A$3:$A$14,0))</f>
        <v>0</v>
      </c>
      <c r="J477">
        <f>SUMIFS($I$3:$I$566,$A$3:$A$566,A477)</f>
        <v>0</v>
      </c>
      <c r="K477" s="5">
        <f>J477/SUM(Question_Bank!$M$3:$M$14)</f>
        <v>0</v>
      </c>
      <c r="L477" s="5">
        <f>SUMIFS($I$3:$I$566,$A$3:$A$566,A477,$E$3:$E$566,E477)/SUMIFS(Question_Bank!$M$3:$M$14,Question_Bank!$B$3:$B$14,E477)</f>
        <v>0</v>
      </c>
      <c r="M477" t="s">
        <v>212</v>
      </c>
    </row>
    <row r="478" spans="1:13">
      <c r="A478" t="s">
        <v>211</v>
      </c>
      <c r="B478" t="s">
        <v>132</v>
      </c>
      <c r="C478" t="s">
        <v>227</v>
      </c>
      <c r="D478" t="s">
        <v>79</v>
      </c>
      <c r="E478" t="s">
        <v>71</v>
      </c>
      <c r="F478" t="s">
        <v>34</v>
      </c>
      <c r="G478">
        <f>INDEX(Question_Bank!$J$3:$J$14,MATCH(D478,Question_Bank!$A$3:$A$14,0))</f>
        <v>0</v>
      </c>
      <c r="H478">
        <f>IF(F478=G478,1,0)</f>
        <v>0</v>
      </c>
      <c r="I478">
        <f>H478*INDEX(Question_Bank!$M$3:$M$14,MATCH(D478,Question_Bank!$A$3:$A$14,0))</f>
        <v>0</v>
      </c>
      <c r="J478">
        <f>SUMIFS($I$3:$I$566,$A$3:$A$566,A478)</f>
        <v>0</v>
      </c>
      <c r="K478" s="5">
        <f>J478/SUM(Question_Bank!$M$3:$M$14)</f>
        <v>0</v>
      </c>
      <c r="L478" s="5">
        <f>SUMIFS($I$3:$I$566,$A$3:$A$566,A478,$E$3:$E$566,E478)/SUMIFS(Question_Bank!$M$3:$M$14,Question_Bank!$B$3:$B$14,E478)</f>
        <v>0</v>
      </c>
      <c r="M478" t="s">
        <v>212</v>
      </c>
    </row>
    <row r="479" spans="1:13">
      <c r="A479" t="s">
        <v>211</v>
      </c>
      <c r="B479" t="s">
        <v>132</v>
      </c>
      <c r="C479" t="s">
        <v>227</v>
      </c>
      <c r="D479" t="s">
        <v>87</v>
      </c>
      <c r="E479" t="s">
        <v>71</v>
      </c>
      <c r="F479" t="s">
        <v>23</v>
      </c>
      <c r="G479">
        <f>INDEX(Question_Bank!$J$3:$J$14,MATCH(D479,Question_Bank!$A$3:$A$14,0))</f>
        <v>0</v>
      </c>
      <c r="H479">
        <f>IF(F479=G479,1,0)</f>
        <v>0</v>
      </c>
      <c r="I479">
        <f>H479*INDEX(Question_Bank!$M$3:$M$14,MATCH(D479,Question_Bank!$A$3:$A$14,0))</f>
        <v>0</v>
      </c>
      <c r="J479">
        <f>SUMIFS($I$3:$I$566,$A$3:$A$566,A479)</f>
        <v>0</v>
      </c>
      <c r="K479" s="5">
        <f>J479/SUM(Question_Bank!$M$3:$M$14)</f>
        <v>0</v>
      </c>
      <c r="L479" s="5">
        <f>SUMIFS($I$3:$I$566,$A$3:$A$566,A479,$E$3:$E$566,E479)/SUMIFS(Question_Bank!$M$3:$M$14,Question_Bank!$B$3:$B$14,E479)</f>
        <v>0</v>
      </c>
      <c r="M479" t="s">
        <v>212</v>
      </c>
    </row>
    <row r="480" spans="1:13">
      <c r="A480" t="s">
        <v>211</v>
      </c>
      <c r="B480" t="s">
        <v>132</v>
      </c>
      <c r="C480" t="s">
        <v>227</v>
      </c>
      <c r="D480" t="s">
        <v>95</v>
      </c>
      <c r="E480" t="s">
        <v>96</v>
      </c>
      <c r="F480" t="s">
        <v>34</v>
      </c>
      <c r="G480">
        <f>INDEX(Question_Bank!$J$3:$J$14,MATCH(D480,Question_Bank!$A$3:$A$14,0))</f>
        <v>0</v>
      </c>
      <c r="H480">
        <f>IF(F480=G480,1,0)</f>
        <v>0</v>
      </c>
      <c r="I480">
        <f>H480*INDEX(Question_Bank!$M$3:$M$14,MATCH(D480,Question_Bank!$A$3:$A$14,0))</f>
        <v>0</v>
      </c>
      <c r="J480">
        <f>SUMIFS($I$3:$I$566,$A$3:$A$566,A480)</f>
        <v>0</v>
      </c>
      <c r="K480" s="5">
        <f>J480/SUM(Question_Bank!$M$3:$M$14)</f>
        <v>0</v>
      </c>
      <c r="L480" s="5">
        <f>SUMIFS($I$3:$I$566,$A$3:$A$566,A480,$E$3:$E$566,E480)/SUMIFS(Question_Bank!$M$3:$M$14,Question_Bank!$B$3:$B$14,E480)</f>
        <v>0</v>
      </c>
      <c r="M480" t="s">
        <v>212</v>
      </c>
    </row>
    <row r="481" spans="1:13">
      <c r="A481" t="s">
        <v>211</v>
      </c>
      <c r="B481" t="s">
        <v>132</v>
      </c>
      <c r="C481" t="s">
        <v>227</v>
      </c>
      <c r="D481" t="s">
        <v>104</v>
      </c>
      <c r="E481" t="s">
        <v>96</v>
      </c>
      <c r="F481" t="s">
        <v>20</v>
      </c>
      <c r="G481">
        <f>INDEX(Question_Bank!$J$3:$J$14,MATCH(D481,Question_Bank!$A$3:$A$14,0))</f>
        <v>0</v>
      </c>
      <c r="H481">
        <f>IF(F481=G481,1,0)</f>
        <v>0</v>
      </c>
      <c r="I481">
        <f>H481*INDEX(Question_Bank!$M$3:$M$14,MATCH(D481,Question_Bank!$A$3:$A$14,0))</f>
        <v>0</v>
      </c>
      <c r="J481">
        <f>SUMIFS($I$3:$I$566,$A$3:$A$566,A481)</f>
        <v>0</v>
      </c>
      <c r="K481" s="5">
        <f>J481/SUM(Question_Bank!$M$3:$M$14)</f>
        <v>0</v>
      </c>
      <c r="L481" s="5">
        <f>SUMIFS($I$3:$I$566,$A$3:$A$566,A481,$E$3:$E$566,E481)/SUMIFS(Question_Bank!$M$3:$M$14,Question_Bank!$B$3:$B$14,E481)</f>
        <v>0</v>
      </c>
      <c r="M481" t="s">
        <v>212</v>
      </c>
    </row>
    <row r="482" spans="1:13">
      <c r="A482" t="s">
        <v>211</v>
      </c>
      <c r="B482" t="s">
        <v>132</v>
      </c>
      <c r="C482" t="s">
        <v>227</v>
      </c>
      <c r="D482" t="s">
        <v>112</v>
      </c>
      <c r="E482" t="s">
        <v>96</v>
      </c>
      <c r="F482" t="s">
        <v>23</v>
      </c>
      <c r="G482">
        <f>INDEX(Question_Bank!$J$3:$J$14,MATCH(D482,Question_Bank!$A$3:$A$14,0))</f>
        <v>0</v>
      </c>
      <c r="H482">
        <f>IF(F482=G482,1,0)</f>
        <v>0</v>
      </c>
      <c r="I482">
        <f>H482*INDEX(Question_Bank!$M$3:$M$14,MATCH(D482,Question_Bank!$A$3:$A$14,0))</f>
        <v>0</v>
      </c>
      <c r="J482">
        <f>SUMIFS($I$3:$I$566,$A$3:$A$566,A482)</f>
        <v>0</v>
      </c>
      <c r="K482" s="5">
        <f>J482/SUM(Question_Bank!$M$3:$M$14)</f>
        <v>0</v>
      </c>
      <c r="L482" s="5">
        <f>SUMIFS($I$3:$I$566,$A$3:$A$566,A482,$E$3:$E$566,E482)/SUMIFS(Question_Bank!$M$3:$M$14,Question_Bank!$B$3:$B$14,E482)</f>
        <v>0</v>
      </c>
      <c r="M482" t="s">
        <v>212</v>
      </c>
    </row>
    <row r="483" spans="1:13">
      <c r="A483" t="s">
        <v>213</v>
      </c>
      <c r="B483" t="s">
        <v>132</v>
      </c>
      <c r="C483" t="s">
        <v>227</v>
      </c>
      <c r="D483" t="s">
        <v>14</v>
      </c>
      <c r="E483" t="s">
        <v>15</v>
      </c>
      <c r="F483" t="s">
        <v>23</v>
      </c>
      <c r="G483">
        <f>INDEX(Question_Bank!$J$3:$J$14,MATCH(D483,Question_Bank!$A$3:$A$14,0))</f>
        <v>0</v>
      </c>
      <c r="H483">
        <f>IF(F483=G483,1,0)</f>
        <v>0</v>
      </c>
      <c r="I483">
        <f>H483*INDEX(Question_Bank!$M$3:$M$14,MATCH(D483,Question_Bank!$A$3:$A$14,0))</f>
        <v>0</v>
      </c>
      <c r="J483">
        <f>SUMIFS($I$3:$I$566,$A$3:$A$566,A483)</f>
        <v>0</v>
      </c>
      <c r="K483" s="5">
        <f>J483/SUM(Question_Bank!$M$3:$M$14)</f>
        <v>0</v>
      </c>
      <c r="L483" s="5">
        <f>SUMIFS($I$3:$I$566,$A$3:$A$566,A483,$E$3:$E$566,E483)/SUMIFS(Question_Bank!$M$3:$M$14,Question_Bank!$B$3:$B$14,E483)</f>
        <v>0</v>
      </c>
      <c r="M483" t="s">
        <v>214</v>
      </c>
    </row>
    <row r="484" spans="1:13">
      <c r="A484" t="s">
        <v>213</v>
      </c>
      <c r="B484" t="s">
        <v>132</v>
      </c>
      <c r="C484" t="s">
        <v>227</v>
      </c>
      <c r="D484" t="s">
        <v>26</v>
      </c>
      <c r="E484" t="s">
        <v>15</v>
      </c>
      <c r="F484" t="s">
        <v>34</v>
      </c>
      <c r="G484">
        <f>INDEX(Question_Bank!$J$3:$J$14,MATCH(D484,Question_Bank!$A$3:$A$14,0))</f>
        <v>0</v>
      </c>
      <c r="H484">
        <f>IF(F484=G484,1,0)</f>
        <v>0</v>
      </c>
      <c r="I484">
        <f>H484*INDEX(Question_Bank!$M$3:$M$14,MATCH(D484,Question_Bank!$A$3:$A$14,0))</f>
        <v>0</v>
      </c>
      <c r="J484">
        <f>SUMIFS($I$3:$I$566,$A$3:$A$566,A484)</f>
        <v>0</v>
      </c>
      <c r="K484" s="5">
        <f>J484/SUM(Question_Bank!$M$3:$M$14)</f>
        <v>0</v>
      </c>
      <c r="L484" s="5">
        <f>SUMIFS($I$3:$I$566,$A$3:$A$566,A484,$E$3:$E$566,E484)/SUMIFS(Question_Bank!$M$3:$M$14,Question_Bank!$B$3:$B$14,E484)</f>
        <v>0</v>
      </c>
      <c r="M484" t="s">
        <v>214</v>
      </c>
    </row>
    <row r="485" spans="1:13">
      <c r="A485" t="s">
        <v>213</v>
      </c>
      <c r="B485" t="s">
        <v>132</v>
      </c>
      <c r="C485" t="s">
        <v>227</v>
      </c>
      <c r="D485" t="s">
        <v>37</v>
      </c>
      <c r="E485" t="s">
        <v>15</v>
      </c>
      <c r="F485" t="s">
        <v>34</v>
      </c>
      <c r="G485">
        <f>INDEX(Question_Bank!$J$3:$J$14,MATCH(D485,Question_Bank!$A$3:$A$14,0))</f>
        <v>0</v>
      </c>
      <c r="H485">
        <f>IF(F485=G485,1,0)</f>
        <v>0</v>
      </c>
      <c r="I485">
        <f>H485*INDEX(Question_Bank!$M$3:$M$14,MATCH(D485,Question_Bank!$A$3:$A$14,0))</f>
        <v>0</v>
      </c>
      <c r="J485">
        <f>SUMIFS($I$3:$I$566,$A$3:$A$566,A485)</f>
        <v>0</v>
      </c>
      <c r="K485" s="5">
        <f>J485/SUM(Question_Bank!$M$3:$M$14)</f>
        <v>0</v>
      </c>
      <c r="L485" s="5">
        <f>SUMIFS($I$3:$I$566,$A$3:$A$566,A485,$E$3:$E$566,E485)/SUMIFS(Question_Bank!$M$3:$M$14,Question_Bank!$B$3:$B$14,E485)</f>
        <v>0</v>
      </c>
      <c r="M485" t="s">
        <v>214</v>
      </c>
    </row>
    <row r="486" spans="1:13">
      <c r="A486" t="s">
        <v>213</v>
      </c>
      <c r="B486" t="s">
        <v>132</v>
      </c>
      <c r="C486" t="s">
        <v>227</v>
      </c>
      <c r="D486" t="s">
        <v>45</v>
      </c>
      <c r="E486" t="s">
        <v>46</v>
      </c>
      <c r="F486" t="s">
        <v>23</v>
      </c>
      <c r="G486">
        <f>INDEX(Question_Bank!$J$3:$J$14,MATCH(D486,Question_Bank!$A$3:$A$14,0))</f>
        <v>0</v>
      </c>
      <c r="H486">
        <f>IF(F486=G486,1,0)</f>
        <v>0</v>
      </c>
      <c r="I486">
        <f>H486*INDEX(Question_Bank!$M$3:$M$14,MATCH(D486,Question_Bank!$A$3:$A$14,0))</f>
        <v>0</v>
      </c>
      <c r="J486">
        <f>SUMIFS($I$3:$I$566,$A$3:$A$566,A486)</f>
        <v>0</v>
      </c>
      <c r="K486" s="5">
        <f>J486/SUM(Question_Bank!$M$3:$M$14)</f>
        <v>0</v>
      </c>
      <c r="L486" s="5">
        <f>SUMIFS($I$3:$I$566,$A$3:$A$566,A486,$E$3:$E$566,E486)/SUMIFS(Question_Bank!$M$3:$M$14,Question_Bank!$B$3:$B$14,E486)</f>
        <v>0</v>
      </c>
      <c r="M486" t="s">
        <v>214</v>
      </c>
    </row>
    <row r="487" spans="1:13">
      <c r="A487" t="s">
        <v>213</v>
      </c>
      <c r="B487" t="s">
        <v>132</v>
      </c>
      <c r="C487" t="s">
        <v>227</v>
      </c>
      <c r="D487" t="s">
        <v>54</v>
      </c>
      <c r="E487" t="s">
        <v>46</v>
      </c>
      <c r="F487" t="s">
        <v>20</v>
      </c>
      <c r="G487">
        <f>INDEX(Question_Bank!$J$3:$J$14,MATCH(D487,Question_Bank!$A$3:$A$14,0))</f>
        <v>0</v>
      </c>
      <c r="H487">
        <f>IF(F487=G487,1,0)</f>
        <v>0</v>
      </c>
      <c r="I487">
        <f>H487*INDEX(Question_Bank!$M$3:$M$14,MATCH(D487,Question_Bank!$A$3:$A$14,0))</f>
        <v>0</v>
      </c>
      <c r="J487">
        <f>SUMIFS($I$3:$I$566,$A$3:$A$566,A487)</f>
        <v>0</v>
      </c>
      <c r="K487" s="5">
        <f>J487/SUM(Question_Bank!$M$3:$M$14)</f>
        <v>0</v>
      </c>
      <c r="L487" s="5">
        <f>SUMIFS($I$3:$I$566,$A$3:$A$566,A487,$E$3:$E$566,E487)/SUMIFS(Question_Bank!$M$3:$M$14,Question_Bank!$B$3:$B$14,E487)</f>
        <v>0</v>
      </c>
      <c r="M487" t="s">
        <v>214</v>
      </c>
    </row>
    <row r="488" spans="1:13">
      <c r="A488" t="s">
        <v>213</v>
      </c>
      <c r="B488" t="s">
        <v>132</v>
      </c>
      <c r="C488" t="s">
        <v>227</v>
      </c>
      <c r="D488" t="s">
        <v>62</v>
      </c>
      <c r="E488" t="s">
        <v>46</v>
      </c>
      <c r="F488" t="s">
        <v>34</v>
      </c>
      <c r="G488">
        <f>INDEX(Question_Bank!$J$3:$J$14,MATCH(D488,Question_Bank!$A$3:$A$14,0))</f>
        <v>0</v>
      </c>
      <c r="H488">
        <f>IF(F488=G488,1,0)</f>
        <v>0</v>
      </c>
      <c r="I488">
        <f>H488*INDEX(Question_Bank!$M$3:$M$14,MATCH(D488,Question_Bank!$A$3:$A$14,0))</f>
        <v>0</v>
      </c>
      <c r="J488">
        <f>SUMIFS($I$3:$I$566,$A$3:$A$566,A488)</f>
        <v>0</v>
      </c>
      <c r="K488" s="5">
        <f>J488/SUM(Question_Bank!$M$3:$M$14)</f>
        <v>0</v>
      </c>
      <c r="L488" s="5">
        <f>SUMIFS($I$3:$I$566,$A$3:$A$566,A488,$E$3:$E$566,E488)/SUMIFS(Question_Bank!$M$3:$M$14,Question_Bank!$B$3:$B$14,E488)</f>
        <v>0</v>
      </c>
      <c r="M488" t="s">
        <v>214</v>
      </c>
    </row>
    <row r="489" spans="1:13">
      <c r="A489" t="s">
        <v>213</v>
      </c>
      <c r="B489" t="s">
        <v>132</v>
      </c>
      <c r="C489" t="s">
        <v>227</v>
      </c>
      <c r="D489" t="s">
        <v>70</v>
      </c>
      <c r="E489" t="s">
        <v>71</v>
      </c>
      <c r="F489" t="s">
        <v>20</v>
      </c>
      <c r="G489">
        <f>INDEX(Question_Bank!$J$3:$J$14,MATCH(D489,Question_Bank!$A$3:$A$14,0))</f>
        <v>0</v>
      </c>
      <c r="H489">
        <f>IF(F489=G489,1,0)</f>
        <v>0</v>
      </c>
      <c r="I489">
        <f>H489*INDEX(Question_Bank!$M$3:$M$14,MATCH(D489,Question_Bank!$A$3:$A$14,0))</f>
        <v>0</v>
      </c>
      <c r="J489">
        <f>SUMIFS($I$3:$I$566,$A$3:$A$566,A489)</f>
        <v>0</v>
      </c>
      <c r="K489" s="5">
        <f>J489/SUM(Question_Bank!$M$3:$M$14)</f>
        <v>0</v>
      </c>
      <c r="L489" s="5">
        <f>SUMIFS($I$3:$I$566,$A$3:$A$566,A489,$E$3:$E$566,E489)/SUMIFS(Question_Bank!$M$3:$M$14,Question_Bank!$B$3:$B$14,E489)</f>
        <v>0</v>
      </c>
      <c r="M489" t="s">
        <v>214</v>
      </c>
    </row>
    <row r="490" spans="1:13">
      <c r="A490" t="s">
        <v>213</v>
      </c>
      <c r="B490" t="s">
        <v>132</v>
      </c>
      <c r="C490" t="s">
        <v>227</v>
      </c>
      <c r="D490" t="s">
        <v>79</v>
      </c>
      <c r="E490" t="s">
        <v>71</v>
      </c>
      <c r="F490" t="s">
        <v>34</v>
      </c>
      <c r="G490">
        <f>INDEX(Question_Bank!$J$3:$J$14,MATCH(D490,Question_Bank!$A$3:$A$14,0))</f>
        <v>0</v>
      </c>
      <c r="H490">
        <f>IF(F490=G490,1,0)</f>
        <v>0</v>
      </c>
      <c r="I490">
        <f>H490*INDEX(Question_Bank!$M$3:$M$14,MATCH(D490,Question_Bank!$A$3:$A$14,0))</f>
        <v>0</v>
      </c>
      <c r="J490">
        <f>SUMIFS($I$3:$I$566,$A$3:$A$566,A490)</f>
        <v>0</v>
      </c>
      <c r="K490" s="5">
        <f>J490/SUM(Question_Bank!$M$3:$M$14)</f>
        <v>0</v>
      </c>
      <c r="L490" s="5">
        <f>SUMIFS($I$3:$I$566,$A$3:$A$566,A490,$E$3:$E$566,E490)/SUMIFS(Question_Bank!$M$3:$M$14,Question_Bank!$B$3:$B$14,E490)</f>
        <v>0</v>
      </c>
      <c r="M490" t="s">
        <v>214</v>
      </c>
    </row>
    <row r="491" spans="1:13">
      <c r="A491" t="s">
        <v>213</v>
      </c>
      <c r="B491" t="s">
        <v>132</v>
      </c>
      <c r="C491" t="s">
        <v>227</v>
      </c>
      <c r="D491" t="s">
        <v>87</v>
      </c>
      <c r="E491" t="s">
        <v>71</v>
      </c>
      <c r="F491" t="s">
        <v>23</v>
      </c>
      <c r="G491">
        <f>INDEX(Question_Bank!$J$3:$J$14,MATCH(D491,Question_Bank!$A$3:$A$14,0))</f>
        <v>0</v>
      </c>
      <c r="H491">
        <f>IF(F491=G491,1,0)</f>
        <v>0</v>
      </c>
      <c r="I491">
        <f>H491*INDEX(Question_Bank!$M$3:$M$14,MATCH(D491,Question_Bank!$A$3:$A$14,0))</f>
        <v>0</v>
      </c>
      <c r="J491">
        <f>SUMIFS($I$3:$I$566,$A$3:$A$566,A491)</f>
        <v>0</v>
      </c>
      <c r="K491" s="5">
        <f>J491/SUM(Question_Bank!$M$3:$M$14)</f>
        <v>0</v>
      </c>
      <c r="L491" s="5">
        <f>SUMIFS($I$3:$I$566,$A$3:$A$566,A491,$E$3:$E$566,E491)/SUMIFS(Question_Bank!$M$3:$M$14,Question_Bank!$B$3:$B$14,E491)</f>
        <v>0</v>
      </c>
      <c r="M491" t="s">
        <v>214</v>
      </c>
    </row>
    <row r="492" spans="1:13">
      <c r="A492" t="s">
        <v>213</v>
      </c>
      <c r="B492" t="s">
        <v>132</v>
      </c>
      <c r="C492" t="s">
        <v>227</v>
      </c>
      <c r="D492" t="s">
        <v>95</v>
      </c>
      <c r="E492" t="s">
        <v>96</v>
      </c>
      <c r="F492" t="s">
        <v>20</v>
      </c>
      <c r="G492">
        <f>INDEX(Question_Bank!$J$3:$J$14,MATCH(D492,Question_Bank!$A$3:$A$14,0))</f>
        <v>0</v>
      </c>
      <c r="H492">
        <f>IF(F492=G492,1,0)</f>
        <v>0</v>
      </c>
      <c r="I492">
        <f>H492*INDEX(Question_Bank!$M$3:$M$14,MATCH(D492,Question_Bank!$A$3:$A$14,0))</f>
        <v>0</v>
      </c>
      <c r="J492">
        <f>SUMIFS($I$3:$I$566,$A$3:$A$566,A492)</f>
        <v>0</v>
      </c>
      <c r="K492" s="5">
        <f>J492/SUM(Question_Bank!$M$3:$M$14)</f>
        <v>0</v>
      </c>
      <c r="L492" s="5">
        <f>SUMIFS($I$3:$I$566,$A$3:$A$566,A492,$E$3:$E$566,E492)/SUMIFS(Question_Bank!$M$3:$M$14,Question_Bank!$B$3:$B$14,E492)</f>
        <v>0</v>
      </c>
      <c r="M492" t="s">
        <v>214</v>
      </c>
    </row>
    <row r="493" spans="1:13">
      <c r="A493" t="s">
        <v>213</v>
      </c>
      <c r="B493" t="s">
        <v>132</v>
      </c>
      <c r="C493" t="s">
        <v>227</v>
      </c>
      <c r="D493" t="s">
        <v>104</v>
      </c>
      <c r="E493" t="s">
        <v>96</v>
      </c>
      <c r="F493" t="s">
        <v>20</v>
      </c>
      <c r="G493">
        <f>INDEX(Question_Bank!$J$3:$J$14,MATCH(D493,Question_Bank!$A$3:$A$14,0))</f>
        <v>0</v>
      </c>
      <c r="H493">
        <f>IF(F493=G493,1,0)</f>
        <v>0</v>
      </c>
      <c r="I493">
        <f>H493*INDEX(Question_Bank!$M$3:$M$14,MATCH(D493,Question_Bank!$A$3:$A$14,0))</f>
        <v>0</v>
      </c>
      <c r="J493">
        <f>SUMIFS($I$3:$I$566,$A$3:$A$566,A493)</f>
        <v>0</v>
      </c>
      <c r="K493" s="5">
        <f>J493/SUM(Question_Bank!$M$3:$M$14)</f>
        <v>0</v>
      </c>
      <c r="L493" s="5">
        <f>SUMIFS($I$3:$I$566,$A$3:$A$566,A493,$E$3:$E$566,E493)/SUMIFS(Question_Bank!$M$3:$M$14,Question_Bank!$B$3:$B$14,E493)</f>
        <v>0</v>
      </c>
      <c r="M493" t="s">
        <v>214</v>
      </c>
    </row>
    <row r="494" spans="1:13">
      <c r="A494" t="s">
        <v>213</v>
      </c>
      <c r="B494" t="s">
        <v>132</v>
      </c>
      <c r="C494" t="s">
        <v>227</v>
      </c>
      <c r="D494" t="s">
        <v>112</v>
      </c>
      <c r="E494" t="s">
        <v>96</v>
      </c>
      <c r="F494" t="s">
        <v>20</v>
      </c>
      <c r="G494">
        <f>INDEX(Question_Bank!$J$3:$J$14,MATCH(D494,Question_Bank!$A$3:$A$14,0))</f>
        <v>0</v>
      </c>
      <c r="H494">
        <f>IF(F494=G494,1,0)</f>
        <v>0</v>
      </c>
      <c r="I494">
        <f>H494*INDEX(Question_Bank!$M$3:$M$14,MATCH(D494,Question_Bank!$A$3:$A$14,0))</f>
        <v>0</v>
      </c>
      <c r="J494">
        <f>SUMIFS($I$3:$I$566,$A$3:$A$566,A494)</f>
        <v>0</v>
      </c>
      <c r="K494" s="5">
        <f>J494/SUM(Question_Bank!$M$3:$M$14)</f>
        <v>0</v>
      </c>
      <c r="L494" s="5">
        <f>SUMIFS($I$3:$I$566,$A$3:$A$566,A494,$E$3:$E$566,E494)/SUMIFS(Question_Bank!$M$3:$M$14,Question_Bank!$B$3:$B$14,E494)</f>
        <v>0</v>
      </c>
      <c r="M494" t="s">
        <v>214</v>
      </c>
    </row>
    <row r="495" spans="1:13">
      <c r="A495" t="s">
        <v>215</v>
      </c>
      <c r="B495" t="s">
        <v>132</v>
      </c>
      <c r="C495" t="s">
        <v>227</v>
      </c>
      <c r="D495" t="s">
        <v>14</v>
      </c>
      <c r="E495" t="s">
        <v>15</v>
      </c>
      <c r="F495" t="s">
        <v>23</v>
      </c>
      <c r="G495">
        <f>INDEX(Question_Bank!$J$3:$J$14,MATCH(D495,Question_Bank!$A$3:$A$14,0))</f>
        <v>0</v>
      </c>
      <c r="H495">
        <f>IF(F495=G495,1,0)</f>
        <v>0</v>
      </c>
      <c r="I495">
        <f>H495*INDEX(Question_Bank!$M$3:$M$14,MATCH(D495,Question_Bank!$A$3:$A$14,0))</f>
        <v>0</v>
      </c>
      <c r="J495">
        <f>SUMIFS($I$3:$I$566,$A$3:$A$566,A495)</f>
        <v>0</v>
      </c>
      <c r="K495" s="5">
        <f>J495/SUM(Question_Bank!$M$3:$M$14)</f>
        <v>0</v>
      </c>
      <c r="L495" s="5">
        <f>SUMIFS($I$3:$I$566,$A$3:$A$566,A495,$E$3:$E$566,E495)/SUMIFS(Question_Bank!$M$3:$M$14,Question_Bank!$B$3:$B$14,E495)</f>
        <v>0</v>
      </c>
      <c r="M495" t="s">
        <v>216</v>
      </c>
    </row>
    <row r="496" spans="1:13">
      <c r="A496" t="s">
        <v>215</v>
      </c>
      <c r="B496" t="s">
        <v>132</v>
      </c>
      <c r="C496" t="s">
        <v>227</v>
      </c>
      <c r="D496" t="s">
        <v>26</v>
      </c>
      <c r="E496" t="s">
        <v>15</v>
      </c>
      <c r="F496" t="s">
        <v>34</v>
      </c>
      <c r="G496">
        <f>INDEX(Question_Bank!$J$3:$J$14,MATCH(D496,Question_Bank!$A$3:$A$14,0))</f>
        <v>0</v>
      </c>
      <c r="H496">
        <f>IF(F496=G496,1,0)</f>
        <v>0</v>
      </c>
      <c r="I496">
        <f>H496*INDEX(Question_Bank!$M$3:$M$14,MATCH(D496,Question_Bank!$A$3:$A$14,0))</f>
        <v>0</v>
      </c>
      <c r="J496">
        <f>SUMIFS($I$3:$I$566,$A$3:$A$566,A496)</f>
        <v>0</v>
      </c>
      <c r="K496" s="5">
        <f>J496/SUM(Question_Bank!$M$3:$M$14)</f>
        <v>0</v>
      </c>
      <c r="L496" s="5">
        <f>SUMIFS($I$3:$I$566,$A$3:$A$566,A496,$E$3:$E$566,E496)/SUMIFS(Question_Bank!$M$3:$M$14,Question_Bank!$B$3:$B$14,E496)</f>
        <v>0</v>
      </c>
      <c r="M496" t="s">
        <v>216</v>
      </c>
    </row>
    <row r="497" spans="1:13">
      <c r="A497" t="s">
        <v>215</v>
      </c>
      <c r="B497" t="s">
        <v>132</v>
      </c>
      <c r="C497" t="s">
        <v>227</v>
      </c>
      <c r="D497" t="s">
        <v>37</v>
      </c>
      <c r="E497" t="s">
        <v>15</v>
      </c>
      <c r="F497" t="s">
        <v>20</v>
      </c>
      <c r="G497">
        <f>INDEX(Question_Bank!$J$3:$J$14,MATCH(D497,Question_Bank!$A$3:$A$14,0))</f>
        <v>0</v>
      </c>
      <c r="H497">
        <f>IF(F497=G497,1,0)</f>
        <v>0</v>
      </c>
      <c r="I497">
        <f>H497*INDEX(Question_Bank!$M$3:$M$14,MATCH(D497,Question_Bank!$A$3:$A$14,0))</f>
        <v>0</v>
      </c>
      <c r="J497">
        <f>SUMIFS($I$3:$I$566,$A$3:$A$566,A497)</f>
        <v>0</v>
      </c>
      <c r="K497" s="5">
        <f>J497/SUM(Question_Bank!$M$3:$M$14)</f>
        <v>0</v>
      </c>
      <c r="L497" s="5">
        <f>SUMIFS($I$3:$I$566,$A$3:$A$566,A497,$E$3:$E$566,E497)/SUMIFS(Question_Bank!$M$3:$M$14,Question_Bank!$B$3:$B$14,E497)</f>
        <v>0</v>
      </c>
      <c r="M497" t="s">
        <v>216</v>
      </c>
    </row>
    <row r="498" spans="1:13">
      <c r="A498" t="s">
        <v>215</v>
      </c>
      <c r="B498" t="s">
        <v>132</v>
      </c>
      <c r="C498" t="s">
        <v>227</v>
      </c>
      <c r="D498" t="s">
        <v>45</v>
      </c>
      <c r="E498" t="s">
        <v>46</v>
      </c>
      <c r="F498" t="s">
        <v>23</v>
      </c>
      <c r="G498">
        <f>INDEX(Question_Bank!$J$3:$J$14,MATCH(D498,Question_Bank!$A$3:$A$14,0))</f>
        <v>0</v>
      </c>
      <c r="H498">
        <f>IF(F498=G498,1,0)</f>
        <v>0</v>
      </c>
      <c r="I498">
        <f>H498*INDEX(Question_Bank!$M$3:$M$14,MATCH(D498,Question_Bank!$A$3:$A$14,0))</f>
        <v>0</v>
      </c>
      <c r="J498">
        <f>SUMIFS($I$3:$I$566,$A$3:$A$566,A498)</f>
        <v>0</v>
      </c>
      <c r="K498" s="5">
        <f>J498/SUM(Question_Bank!$M$3:$M$14)</f>
        <v>0</v>
      </c>
      <c r="L498" s="5">
        <f>SUMIFS($I$3:$I$566,$A$3:$A$566,A498,$E$3:$E$566,E498)/SUMIFS(Question_Bank!$M$3:$M$14,Question_Bank!$B$3:$B$14,E498)</f>
        <v>0</v>
      </c>
      <c r="M498" t="s">
        <v>216</v>
      </c>
    </row>
    <row r="499" spans="1:13">
      <c r="A499" t="s">
        <v>215</v>
      </c>
      <c r="B499" t="s">
        <v>132</v>
      </c>
      <c r="C499" t="s">
        <v>227</v>
      </c>
      <c r="D499" t="s">
        <v>54</v>
      </c>
      <c r="E499" t="s">
        <v>46</v>
      </c>
      <c r="F499" t="s">
        <v>20</v>
      </c>
      <c r="G499">
        <f>INDEX(Question_Bank!$J$3:$J$14,MATCH(D499,Question_Bank!$A$3:$A$14,0))</f>
        <v>0</v>
      </c>
      <c r="H499">
        <f>IF(F499=G499,1,0)</f>
        <v>0</v>
      </c>
      <c r="I499">
        <f>H499*INDEX(Question_Bank!$M$3:$M$14,MATCH(D499,Question_Bank!$A$3:$A$14,0))</f>
        <v>0</v>
      </c>
      <c r="J499">
        <f>SUMIFS($I$3:$I$566,$A$3:$A$566,A499)</f>
        <v>0</v>
      </c>
      <c r="K499" s="5">
        <f>J499/SUM(Question_Bank!$M$3:$M$14)</f>
        <v>0</v>
      </c>
      <c r="L499" s="5">
        <f>SUMIFS($I$3:$I$566,$A$3:$A$566,A499,$E$3:$E$566,E499)/SUMIFS(Question_Bank!$M$3:$M$14,Question_Bank!$B$3:$B$14,E499)</f>
        <v>0</v>
      </c>
      <c r="M499" t="s">
        <v>216</v>
      </c>
    </row>
    <row r="500" spans="1:13">
      <c r="A500" t="s">
        <v>215</v>
      </c>
      <c r="B500" t="s">
        <v>132</v>
      </c>
      <c r="C500" t="s">
        <v>227</v>
      </c>
      <c r="D500" t="s">
        <v>62</v>
      </c>
      <c r="E500" t="s">
        <v>46</v>
      </c>
      <c r="F500" t="s">
        <v>34</v>
      </c>
      <c r="G500">
        <f>INDEX(Question_Bank!$J$3:$J$14,MATCH(D500,Question_Bank!$A$3:$A$14,0))</f>
        <v>0</v>
      </c>
      <c r="H500">
        <f>IF(F500=G500,1,0)</f>
        <v>0</v>
      </c>
      <c r="I500">
        <f>H500*INDEX(Question_Bank!$M$3:$M$14,MATCH(D500,Question_Bank!$A$3:$A$14,0))</f>
        <v>0</v>
      </c>
      <c r="J500">
        <f>SUMIFS($I$3:$I$566,$A$3:$A$566,A500)</f>
        <v>0</v>
      </c>
      <c r="K500" s="5">
        <f>J500/SUM(Question_Bank!$M$3:$M$14)</f>
        <v>0</v>
      </c>
      <c r="L500" s="5">
        <f>SUMIFS($I$3:$I$566,$A$3:$A$566,A500,$E$3:$E$566,E500)/SUMIFS(Question_Bank!$M$3:$M$14,Question_Bank!$B$3:$B$14,E500)</f>
        <v>0</v>
      </c>
      <c r="M500" t="s">
        <v>216</v>
      </c>
    </row>
    <row r="501" spans="1:13">
      <c r="A501" t="s">
        <v>215</v>
      </c>
      <c r="B501" t="s">
        <v>132</v>
      </c>
      <c r="C501" t="s">
        <v>227</v>
      </c>
      <c r="D501" t="s">
        <v>70</v>
      </c>
      <c r="E501" t="s">
        <v>71</v>
      </c>
      <c r="F501" t="s">
        <v>20</v>
      </c>
      <c r="G501">
        <f>INDEX(Question_Bank!$J$3:$J$14,MATCH(D501,Question_Bank!$A$3:$A$14,0))</f>
        <v>0</v>
      </c>
      <c r="H501">
        <f>IF(F501=G501,1,0)</f>
        <v>0</v>
      </c>
      <c r="I501">
        <f>H501*INDEX(Question_Bank!$M$3:$M$14,MATCH(D501,Question_Bank!$A$3:$A$14,0))</f>
        <v>0</v>
      </c>
      <c r="J501">
        <f>SUMIFS($I$3:$I$566,$A$3:$A$566,A501)</f>
        <v>0</v>
      </c>
      <c r="K501" s="5">
        <f>J501/SUM(Question_Bank!$M$3:$M$14)</f>
        <v>0</v>
      </c>
      <c r="L501" s="5">
        <f>SUMIFS($I$3:$I$566,$A$3:$A$566,A501,$E$3:$E$566,E501)/SUMIFS(Question_Bank!$M$3:$M$14,Question_Bank!$B$3:$B$14,E501)</f>
        <v>0</v>
      </c>
      <c r="M501" t="s">
        <v>216</v>
      </c>
    </row>
    <row r="502" spans="1:13">
      <c r="A502" t="s">
        <v>215</v>
      </c>
      <c r="B502" t="s">
        <v>132</v>
      </c>
      <c r="C502" t="s">
        <v>227</v>
      </c>
      <c r="D502" t="s">
        <v>79</v>
      </c>
      <c r="E502" t="s">
        <v>71</v>
      </c>
      <c r="F502" t="s">
        <v>20</v>
      </c>
      <c r="G502">
        <f>INDEX(Question_Bank!$J$3:$J$14,MATCH(D502,Question_Bank!$A$3:$A$14,0))</f>
        <v>0</v>
      </c>
      <c r="H502">
        <f>IF(F502=G502,1,0)</f>
        <v>0</v>
      </c>
      <c r="I502">
        <f>H502*INDEX(Question_Bank!$M$3:$M$14,MATCH(D502,Question_Bank!$A$3:$A$14,0))</f>
        <v>0</v>
      </c>
      <c r="J502">
        <f>SUMIFS($I$3:$I$566,$A$3:$A$566,A502)</f>
        <v>0</v>
      </c>
      <c r="K502" s="5">
        <f>J502/SUM(Question_Bank!$M$3:$M$14)</f>
        <v>0</v>
      </c>
      <c r="L502" s="5">
        <f>SUMIFS($I$3:$I$566,$A$3:$A$566,A502,$E$3:$E$566,E502)/SUMIFS(Question_Bank!$M$3:$M$14,Question_Bank!$B$3:$B$14,E502)</f>
        <v>0</v>
      </c>
      <c r="M502" t="s">
        <v>216</v>
      </c>
    </row>
    <row r="503" spans="1:13">
      <c r="A503" t="s">
        <v>215</v>
      </c>
      <c r="B503" t="s">
        <v>132</v>
      </c>
      <c r="C503" t="s">
        <v>227</v>
      </c>
      <c r="D503" t="s">
        <v>87</v>
      </c>
      <c r="E503" t="s">
        <v>71</v>
      </c>
      <c r="F503" t="s">
        <v>23</v>
      </c>
      <c r="G503">
        <f>INDEX(Question_Bank!$J$3:$J$14,MATCH(D503,Question_Bank!$A$3:$A$14,0))</f>
        <v>0</v>
      </c>
      <c r="H503">
        <f>IF(F503=G503,1,0)</f>
        <v>0</v>
      </c>
      <c r="I503">
        <f>H503*INDEX(Question_Bank!$M$3:$M$14,MATCH(D503,Question_Bank!$A$3:$A$14,0))</f>
        <v>0</v>
      </c>
      <c r="J503">
        <f>SUMIFS($I$3:$I$566,$A$3:$A$566,A503)</f>
        <v>0</v>
      </c>
      <c r="K503" s="5">
        <f>J503/SUM(Question_Bank!$M$3:$M$14)</f>
        <v>0</v>
      </c>
      <c r="L503" s="5">
        <f>SUMIFS($I$3:$I$566,$A$3:$A$566,A503,$E$3:$E$566,E503)/SUMIFS(Question_Bank!$M$3:$M$14,Question_Bank!$B$3:$B$14,E503)</f>
        <v>0</v>
      </c>
      <c r="M503" t="s">
        <v>216</v>
      </c>
    </row>
    <row r="504" spans="1:13">
      <c r="A504" t="s">
        <v>215</v>
      </c>
      <c r="B504" t="s">
        <v>132</v>
      </c>
      <c r="C504" t="s">
        <v>227</v>
      </c>
      <c r="D504" t="s">
        <v>95</v>
      </c>
      <c r="E504" t="s">
        <v>96</v>
      </c>
      <c r="F504" t="s">
        <v>34</v>
      </c>
      <c r="G504">
        <f>INDEX(Question_Bank!$J$3:$J$14,MATCH(D504,Question_Bank!$A$3:$A$14,0))</f>
        <v>0</v>
      </c>
      <c r="H504">
        <f>IF(F504=G504,1,0)</f>
        <v>0</v>
      </c>
      <c r="I504">
        <f>H504*INDEX(Question_Bank!$M$3:$M$14,MATCH(D504,Question_Bank!$A$3:$A$14,0))</f>
        <v>0</v>
      </c>
      <c r="J504">
        <f>SUMIFS($I$3:$I$566,$A$3:$A$566,A504)</f>
        <v>0</v>
      </c>
      <c r="K504" s="5">
        <f>J504/SUM(Question_Bank!$M$3:$M$14)</f>
        <v>0</v>
      </c>
      <c r="L504" s="5">
        <f>SUMIFS($I$3:$I$566,$A$3:$A$566,A504,$E$3:$E$566,E504)/SUMIFS(Question_Bank!$M$3:$M$14,Question_Bank!$B$3:$B$14,E504)</f>
        <v>0</v>
      </c>
      <c r="M504" t="s">
        <v>216</v>
      </c>
    </row>
    <row r="505" spans="1:13">
      <c r="A505" t="s">
        <v>215</v>
      </c>
      <c r="B505" t="s">
        <v>132</v>
      </c>
      <c r="C505" t="s">
        <v>227</v>
      </c>
      <c r="D505" t="s">
        <v>104</v>
      </c>
      <c r="E505" t="s">
        <v>96</v>
      </c>
      <c r="F505" t="s">
        <v>20</v>
      </c>
      <c r="G505">
        <f>INDEX(Question_Bank!$J$3:$J$14,MATCH(D505,Question_Bank!$A$3:$A$14,0))</f>
        <v>0</v>
      </c>
      <c r="H505">
        <f>IF(F505=G505,1,0)</f>
        <v>0</v>
      </c>
      <c r="I505">
        <f>H505*INDEX(Question_Bank!$M$3:$M$14,MATCH(D505,Question_Bank!$A$3:$A$14,0))</f>
        <v>0</v>
      </c>
      <c r="J505">
        <f>SUMIFS($I$3:$I$566,$A$3:$A$566,A505)</f>
        <v>0</v>
      </c>
      <c r="K505" s="5">
        <f>J505/SUM(Question_Bank!$M$3:$M$14)</f>
        <v>0</v>
      </c>
      <c r="L505" s="5">
        <f>SUMIFS($I$3:$I$566,$A$3:$A$566,A505,$E$3:$E$566,E505)/SUMIFS(Question_Bank!$M$3:$M$14,Question_Bank!$B$3:$B$14,E505)</f>
        <v>0</v>
      </c>
      <c r="M505" t="s">
        <v>216</v>
      </c>
    </row>
    <row r="506" spans="1:13">
      <c r="A506" t="s">
        <v>215</v>
      </c>
      <c r="B506" t="s">
        <v>132</v>
      </c>
      <c r="C506" t="s">
        <v>227</v>
      </c>
      <c r="D506" t="s">
        <v>112</v>
      </c>
      <c r="E506" t="s">
        <v>96</v>
      </c>
      <c r="F506" t="s">
        <v>31</v>
      </c>
      <c r="G506">
        <f>INDEX(Question_Bank!$J$3:$J$14,MATCH(D506,Question_Bank!$A$3:$A$14,0))</f>
        <v>0</v>
      </c>
      <c r="H506">
        <f>IF(F506=G506,1,0)</f>
        <v>0</v>
      </c>
      <c r="I506">
        <f>H506*INDEX(Question_Bank!$M$3:$M$14,MATCH(D506,Question_Bank!$A$3:$A$14,0))</f>
        <v>0</v>
      </c>
      <c r="J506">
        <f>SUMIFS($I$3:$I$566,$A$3:$A$566,A506)</f>
        <v>0</v>
      </c>
      <c r="K506" s="5">
        <f>J506/SUM(Question_Bank!$M$3:$M$14)</f>
        <v>0</v>
      </c>
      <c r="L506" s="5">
        <f>SUMIFS($I$3:$I$566,$A$3:$A$566,A506,$E$3:$E$566,E506)/SUMIFS(Question_Bank!$M$3:$M$14,Question_Bank!$B$3:$B$14,E506)</f>
        <v>0</v>
      </c>
      <c r="M506" t="s">
        <v>216</v>
      </c>
    </row>
    <row r="507" spans="1:13">
      <c r="A507" t="s">
        <v>217</v>
      </c>
      <c r="B507" t="s">
        <v>132</v>
      </c>
      <c r="C507" t="s">
        <v>227</v>
      </c>
      <c r="D507" t="s">
        <v>14</v>
      </c>
      <c r="E507" t="s">
        <v>15</v>
      </c>
      <c r="F507" t="s">
        <v>23</v>
      </c>
      <c r="G507">
        <f>INDEX(Question_Bank!$J$3:$J$14,MATCH(D507,Question_Bank!$A$3:$A$14,0))</f>
        <v>0</v>
      </c>
      <c r="H507">
        <f>IF(F507=G507,1,0)</f>
        <v>0</v>
      </c>
      <c r="I507">
        <f>H507*INDEX(Question_Bank!$M$3:$M$14,MATCH(D507,Question_Bank!$A$3:$A$14,0))</f>
        <v>0</v>
      </c>
      <c r="J507">
        <f>SUMIFS($I$3:$I$566,$A$3:$A$566,A507)</f>
        <v>0</v>
      </c>
      <c r="K507" s="5">
        <f>J507/SUM(Question_Bank!$M$3:$M$14)</f>
        <v>0</v>
      </c>
      <c r="L507" s="5">
        <f>SUMIFS($I$3:$I$566,$A$3:$A$566,A507,$E$3:$E$566,E507)/SUMIFS(Question_Bank!$M$3:$M$14,Question_Bank!$B$3:$B$14,E507)</f>
        <v>0</v>
      </c>
      <c r="M507" t="s">
        <v>218</v>
      </c>
    </row>
    <row r="508" spans="1:13">
      <c r="A508" t="s">
        <v>217</v>
      </c>
      <c r="B508" t="s">
        <v>132</v>
      </c>
      <c r="C508" t="s">
        <v>227</v>
      </c>
      <c r="D508" t="s">
        <v>26</v>
      </c>
      <c r="E508" t="s">
        <v>15</v>
      </c>
      <c r="F508" t="s">
        <v>34</v>
      </c>
      <c r="G508">
        <f>INDEX(Question_Bank!$J$3:$J$14,MATCH(D508,Question_Bank!$A$3:$A$14,0))</f>
        <v>0</v>
      </c>
      <c r="H508">
        <f>IF(F508=G508,1,0)</f>
        <v>0</v>
      </c>
      <c r="I508">
        <f>H508*INDEX(Question_Bank!$M$3:$M$14,MATCH(D508,Question_Bank!$A$3:$A$14,0))</f>
        <v>0</v>
      </c>
      <c r="J508">
        <f>SUMIFS($I$3:$I$566,$A$3:$A$566,A508)</f>
        <v>0</v>
      </c>
      <c r="K508" s="5">
        <f>J508/SUM(Question_Bank!$M$3:$M$14)</f>
        <v>0</v>
      </c>
      <c r="L508" s="5">
        <f>SUMIFS($I$3:$I$566,$A$3:$A$566,A508,$E$3:$E$566,E508)/SUMIFS(Question_Bank!$M$3:$M$14,Question_Bank!$B$3:$B$14,E508)</f>
        <v>0</v>
      </c>
      <c r="M508" t="s">
        <v>218</v>
      </c>
    </row>
    <row r="509" spans="1:13">
      <c r="A509" t="s">
        <v>217</v>
      </c>
      <c r="B509" t="s">
        <v>132</v>
      </c>
      <c r="C509" t="s">
        <v>227</v>
      </c>
      <c r="D509" t="s">
        <v>37</v>
      </c>
      <c r="E509" t="s">
        <v>15</v>
      </c>
      <c r="F509" t="s">
        <v>31</v>
      </c>
      <c r="G509">
        <f>INDEX(Question_Bank!$J$3:$J$14,MATCH(D509,Question_Bank!$A$3:$A$14,0))</f>
        <v>0</v>
      </c>
      <c r="H509">
        <f>IF(F509=G509,1,0)</f>
        <v>0</v>
      </c>
      <c r="I509">
        <f>H509*INDEX(Question_Bank!$M$3:$M$14,MATCH(D509,Question_Bank!$A$3:$A$14,0))</f>
        <v>0</v>
      </c>
      <c r="J509">
        <f>SUMIFS($I$3:$I$566,$A$3:$A$566,A509)</f>
        <v>0</v>
      </c>
      <c r="K509" s="5">
        <f>J509/SUM(Question_Bank!$M$3:$M$14)</f>
        <v>0</v>
      </c>
      <c r="L509" s="5">
        <f>SUMIFS($I$3:$I$566,$A$3:$A$566,A509,$E$3:$E$566,E509)/SUMIFS(Question_Bank!$M$3:$M$14,Question_Bank!$B$3:$B$14,E509)</f>
        <v>0</v>
      </c>
      <c r="M509" t="s">
        <v>218</v>
      </c>
    </row>
    <row r="510" spans="1:13">
      <c r="A510" t="s">
        <v>217</v>
      </c>
      <c r="B510" t="s">
        <v>132</v>
      </c>
      <c r="C510" t="s">
        <v>227</v>
      </c>
      <c r="D510" t="s">
        <v>45</v>
      </c>
      <c r="E510" t="s">
        <v>46</v>
      </c>
      <c r="F510" t="s">
        <v>31</v>
      </c>
      <c r="G510">
        <f>INDEX(Question_Bank!$J$3:$J$14,MATCH(D510,Question_Bank!$A$3:$A$14,0))</f>
        <v>0</v>
      </c>
      <c r="H510">
        <f>IF(F510=G510,1,0)</f>
        <v>0</v>
      </c>
      <c r="I510">
        <f>H510*INDEX(Question_Bank!$M$3:$M$14,MATCH(D510,Question_Bank!$A$3:$A$14,0))</f>
        <v>0</v>
      </c>
      <c r="J510">
        <f>SUMIFS($I$3:$I$566,$A$3:$A$566,A510)</f>
        <v>0</v>
      </c>
      <c r="K510" s="5">
        <f>J510/SUM(Question_Bank!$M$3:$M$14)</f>
        <v>0</v>
      </c>
      <c r="L510" s="5">
        <f>SUMIFS($I$3:$I$566,$A$3:$A$566,A510,$E$3:$E$566,E510)/SUMIFS(Question_Bank!$M$3:$M$14,Question_Bank!$B$3:$B$14,E510)</f>
        <v>0</v>
      </c>
      <c r="M510" t="s">
        <v>218</v>
      </c>
    </row>
    <row r="511" spans="1:13">
      <c r="A511" t="s">
        <v>217</v>
      </c>
      <c r="B511" t="s">
        <v>132</v>
      </c>
      <c r="C511" t="s">
        <v>227</v>
      </c>
      <c r="D511" t="s">
        <v>54</v>
      </c>
      <c r="E511" t="s">
        <v>46</v>
      </c>
      <c r="F511" t="s">
        <v>23</v>
      </c>
      <c r="G511">
        <f>INDEX(Question_Bank!$J$3:$J$14,MATCH(D511,Question_Bank!$A$3:$A$14,0))</f>
        <v>0</v>
      </c>
      <c r="H511">
        <f>IF(F511=G511,1,0)</f>
        <v>0</v>
      </c>
      <c r="I511">
        <f>H511*INDEX(Question_Bank!$M$3:$M$14,MATCH(D511,Question_Bank!$A$3:$A$14,0))</f>
        <v>0</v>
      </c>
      <c r="J511">
        <f>SUMIFS($I$3:$I$566,$A$3:$A$566,A511)</f>
        <v>0</v>
      </c>
      <c r="K511" s="5">
        <f>J511/SUM(Question_Bank!$M$3:$M$14)</f>
        <v>0</v>
      </c>
      <c r="L511" s="5">
        <f>SUMIFS($I$3:$I$566,$A$3:$A$566,A511,$E$3:$E$566,E511)/SUMIFS(Question_Bank!$M$3:$M$14,Question_Bank!$B$3:$B$14,E511)</f>
        <v>0</v>
      </c>
      <c r="M511" t="s">
        <v>218</v>
      </c>
    </row>
    <row r="512" spans="1:13">
      <c r="A512" t="s">
        <v>217</v>
      </c>
      <c r="B512" t="s">
        <v>132</v>
      </c>
      <c r="C512" t="s">
        <v>227</v>
      </c>
      <c r="D512" t="s">
        <v>62</v>
      </c>
      <c r="E512" t="s">
        <v>46</v>
      </c>
      <c r="F512" t="s">
        <v>34</v>
      </c>
      <c r="G512">
        <f>INDEX(Question_Bank!$J$3:$J$14,MATCH(D512,Question_Bank!$A$3:$A$14,0))</f>
        <v>0</v>
      </c>
      <c r="H512">
        <f>IF(F512=G512,1,0)</f>
        <v>0</v>
      </c>
      <c r="I512">
        <f>H512*INDEX(Question_Bank!$M$3:$M$14,MATCH(D512,Question_Bank!$A$3:$A$14,0))</f>
        <v>0</v>
      </c>
      <c r="J512">
        <f>SUMIFS($I$3:$I$566,$A$3:$A$566,A512)</f>
        <v>0</v>
      </c>
      <c r="K512" s="5">
        <f>J512/SUM(Question_Bank!$M$3:$M$14)</f>
        <v>0</v>
      </c>
      <c r="L512" s="5">
        <f>SUMIFS($I$3:$I$566,$A$3:$A$566,A512,$E$3:$E$566,E512)/SUMIFS(Question_Bank!$M$3:$M$14,Question_Bank!$B$3:$B$14,E512)</f>
        <v>0</v>
      </c>
      <c r="M512" t="s">
        <v>218</v>
      </c>
    </row>
    <row r="513" spans="1:13">
      <c r="A513" t="s">
        <v>217</v>
      </c>
      <c r="B513" t="s">
        <v>132</v>
      </c>
      <c r="C513" t="s">
        <v>227</v>
      </c>
      <c r="D513" t="s">
        <v>70</v>
      </c>
      <c r="E513" t="s">
        <v>71</v>
      </c>
      <c r="F513" t="s">
        <v>20</v>
      </c>
      <c r="G513">
        <f>INDEX(Question_Bank!$J$3:$J$14,MATCH(D513,Question_Bank!$A$3:$A$14,0))</f>
        <v>0</v>
      </c>
      <c r="H513">
        <f>IF(F513=G513,1,0)</f>
        <v>0</v>
      </c>
      <c r="I513">
        <f>H513*INDEX(Question_Bank!$M$3:$M$14,MATCH(D513,Question_Bank!$A$3:$A$14,0))</f>
        <v>0</v>
      </c>
      <c r="J513">
        <f>SUMIFS($I$3:$I$566,$A$3:$A$566,A513)</f>
        <v>0</v>
      </c>
      <c r="K513" s="5">
        <f>J513/SUM(Question_Bank!$M$3:$M$14)</f>
        <v>0</v>
      </c>
      <c r="L513" s="5">
        <f>SUMIFS($I$3:$I$566,$A$3:$A$566,A513,$E$3:$E$566,E513)/SUMIFS(Question_Bank!$M$3:$M$14,Question_Bank!$B$3:$B$14,E513)</f>
        <v>0</v>
      </c>
      <c r="M513" t="s">
        <v>218</v>
      </c>
    </row>
    <row r="514" spans="1:13">
      <c r="A514" t="s">
        <v>217</v>
      </c>
      <c r="B514" t="s">
        <v>132</v>
      </c>
      <c r="C514" t="s">
        <v>227</v>
      </c>
      <c r="D514" t="s">
        <v>79</v>
      </c>
      <c r="E514" t="s">
        <v>71</v>
      </c>
      <c r="F514" t="s">
        <v>23</v>
      </c>
      <c r="G514">
        <f>INDEX(Question_Bank!$J$3:$J$14,MATCH(D514,Question_Bank!$A$3:$A$14,0))</f>
        <v>0</v>
      </c>
      <c r="H514">
        <f>IF(F514=G514,1,0)</f>
        <v>0</v>
      </c>
      <c r="I514">
        <f>H514*INDEX(Question_Bank!$M$3:$M$14,MATCH(D514,Question_Bank!$A$3:$A$14,0))</f>
        <v>0</v>
      </c>
      <c r="J514">
        <f>SUMIFS($I$3:$I$566,$A$3:$A$566,A514)</f>
        <v>0</v>
      </c>
      <c r="K514" s="5">
        <f>J514/SUM(Question_Bank!$M$3:$M$14)</f>
        <v>0</v>
      </c>
      <c r="L514" s="5">
        <f>SUMIFS($I$3:$I$566,$A$3:$A$566,A514,$E$3:$E$566,E514)/SUMIFS(Question_Bank!$M$3:$M$14,Question_Bank!$B$3:$B$14,E514)</f>
        <v>0</v>
      </c>
      <c r="M514" t="s">
        <v>218</v>
      </c>
    </row>
    <row r="515" spans="1:13">
      <c r="A515" t="s">
        <v>217</v>
      </c>
      <c r="B515" t="s">
        <v>132</v>
      </c>
      <c r="C515" t="s">
        <v>227</v>
      </c>
      <c r="D515" t="s">
        <v>87</v>
      </c>
      <c r="E515" t="s">
        <v>71</v>
      </c>
      <c r="F515" t="s">
        <v>23</v>
      </c>
      <c r="G515">
        <f>INDEX(Question_Bank!$J$3:$J$14,MATCH(D515,Question_Bank!$A$3:$A$14,0))</f>
        <v>0</v>
      </c>
      <c r="H515">
        <f>IF(F515=G515,1,0)</f>
        <v>0</v>
      </c>
      <c r="I515">
        <f>H515*INDEX(Question_Bank!$M$3:$M$14,MATCH(D515,Question_Bank!$A$3:$A$14,0))</f>
        <v>0</v>
      </c>
      <c r="J515">
        <f>SUMIFS($I$3:$I$566,$A$3:$A$566,A515)</f>
        <v>0</v>
      </c>
      <c r="K515" s="5">
        <f>J515/SUM(Question_Bank!$M$3:$M$14)</f>
        <v>0</v>
      </c>
      <c r="L515" s="5">
        <f>SUMIFS($I$3:$I$566,$A$3:$A$566,A515,$E$3:$E$566,E515)/SUMIFS(Question_Bank!$M$3:$M$14,Question_Bank!$B$3:$B$14,E515)</f>
        <v>0</v>
      </c>
      <c r="M515" t="s">
        <v>218</v>
      </c>
    </row>
    <row r="516" spans="1:13">
      <c r="A516" t="s">
        <v>217</v>
      </c>
      <c r="B516" t="s">
        <v>132</v>
      </c>
      <c r="C516" t="s">
        <v>227</v>
      </c>
      <c r="D516" t="s">
        <v>95</v>
      </c>
      <c r="E516" t="s">
        <v>96</v>
      </c>
      <c r="F516" t="s">
        <v>34</v>
      </c>
      <c r="G516">
        <f>INDEX(Question_Bank!$J$3:$J$14,MATCH(D516,Question_Bank!$A$3:$A$14,0))</f>
        <v>0</v>
      </c>
      <c r="H516">
        <f>IF(F516=G516,1,0)</f>
        <v>0</v>
      </c>
      <c r="I516">
        <f>H516*INDEX(Question_Bank!$M$3:$M$14,MATCH(D516,Question_Bank!$A$3:$A$14,0))</f>
        <v>0</v>
      </c>
      <c r="J516">
        <f>SUMIFS($I$3:$I$566,$A$3:$A$566,A516)</f>
        <v>0</v>
      </c>
      <c r="K516" s="5">
        <f>J516/SUM(Question_Bank!$M$3:$M$14)</f>
        <v>0</v>
      </c>
      <c r="L516" s="5">
        <f>SUMIFS($I$3:$I$566,$A$3:$A$566,A516,$E$3:$E$566,E516)/SUMIFS(Question_Bank!$M$3:$M$14,Question_Bank!$B$3:$B$14,E516)</f>
        <v>0</v>
      </c>
      <c r="M516" t="s">
        <v>218</v>
      </c>
    </row>
    <row r="517" spans="1:13">
      <c r="A517" t="s">
        <v>217</v>
      </c>
      <c r="B517" t="s">
        <v>132</v>
      </c>
      <c r="C517" t="s">
        <v>227</v>
      </c>
      <c r="D517" t="s">
        <v>104</v>
      </c>
      <c r="E517" t="s">
        <v>96</v>
      </c>
      <c r="F517" t="s">
        <v>20</v>
      </c>
      <c r="G517">
        <f>INDEX(Question_Bank!$J$3:$J$14,MATCH(D517,Question_Bank!$A$3:$A$14,0))</f>
        <v>0</v>
      </c>
      <c r="H517">
        <f>IF(F517=G517,1,0)</f>
        <v>0</v>
      </c>
      <c r="I517">
        <f>H517*INDEX(Question_Bank!$M$3:$M$14,MATCH(D517,Question_Bank!$A$3:$A$14,0))</f>
        <v>0</v>
      </c>
      <c r="J517">
        <f>SUMIFS($I$3:$I$566,$A$3:$A$566,A517)</f>
        <v>0</v>
      </c>
      <c r="K517" s="5">
        <f>J517/SUM(Question_Bank!$M$3:$M$14)</f>
        <v>0</v>
      </c>
      <c r="L517" s="5">
        <f>SUMIFS($I$3:$I$566,$A$3:$A$566,A517,$E$3:$E$566,E517)/SUMIFS(Question_Bank!$M$3:$M$14,Question_Bank!$B$3:$B$14,E517)</f>
        <v>0</v>
      </c>
      <c r="M517" t="s">
        <v>218</v>
      </c>
    </row>
    <row r="518" spans="1:13">
      <c r="A518" t="s">
        <v>217</v>
      </c>
      <c r="B518" t="s">
        <v>132</v>
      </c>
      <c r="C518" t="s">
        <v>227</v>
      </c>
      <c r="D518" t="s">
        <v>112</v>
      </c>
      <c r="E518" t="s">
        <v>96</v>
      </c>
      <c r="F518" t="s">
        <v>31</v>
      </c>
      <c r="G518">
        <f>INDEX(Question_Bank!$J$3:$J$14,MATCH(D518,Question_Bank!$A$3:$A$14,0))</f>
        <v>0</v>
      </c>
      <c r="H518">
        <f>IF(F518=G518,1,0)</f>
        <v>0</v>
      </c>
      <c r="I518">
        <f>H518*INDEX(Question_Bank!$M$3:$M$14,MATCH(D518,Question_Bank!$A$3:$A$14,0))</f>
        <v>0</v>
      </c>
      <c r="J518">
        <f>SUMIFS($I$3:$I$566,$A$3:$A$566,A518)</f>
        <v>0</v>
      </c>
      <c r="K518" s="5">
        <f>J518/SUM(Question_Bank!$M$3:$M$14)</f>
        <v>0</v>
      </c>
      <c r="L518" s="5">
        <f>SUMIFS($I$3:$I$566,$A$3:$A$566,A518,$E$3:$E$566,E518)/SUMIFS(Question_Bank!$M$3:$M$14,Question_Bank!$B$3:$B$14,E518)</f>
        <v>0</v>
      </c>
      <c r="M518" t="s">
        <v>218</v>
      </c>
    </row>
    <row r="519" spans="1:13">
      <c r="A519" t="s">
        <v>219</v>
      </c>
      <c r="B519" t="s">
        <v>132</v>
      </c>
      <c r="C519" t="s">
        <v>227</v>
      </c>
      <c r="D519" t="s">
        <v>14</v>
      </c>
      <c r="E519" t="s">
        <v>15</v>
      </c>
      <c r="F519" t="s">
        <v>34</v>
      </c>
      <c r="G519">
        <f>INDEX(Question_Bank!$J$3:$J$14,MATCH(D519,Question_Bank!$A$3:$A$14,0))</f>
        <v>0</v>
      </c>
      <c r="H519">
        <f>IF(F519=G519,1,0)</f>
        <v>0</v>
      </c>
      <c r="I519">
        <f>H519*INDEX(Question_Bank!$M$3:$M$14,MATCH(D519,Question_Bank!$A$3:$A$14,0))</f>
        <v>0</v>
      </c>
      <c r="J519">
        <f>SUMIFS($I$3:$I$566,$A$3:$A$566,A519)</f>
        <v>0</v>
      </c>
      <c r="K519" s="5">
        <f>J519/SUM(Question_Bank!$M$3:$M$14)</f>
        <v>0</v>
      </c>
      <c r="L519" s="5">
        <f>SUMIFS($I$3:$I$566,$A$3:$A$566,A519,$E$3:$E$566,E519)/SUMIFS(Question_Bank!$M$3:$M$14,Question_Bank!$B$3:$B$14,E519)</f>
        <v>0</v>
      </c>
      <c r="M519" t="s">
        <v>220</v>
      </c>
    </row>
    <row r="520" spans="1:13">
      <c r="A520" t="s">
        <v>219</v>
      </c>
      <c r="B520" t="s">
        <v>132</v>
      </c>
      <c r="C520" t="s">
        <v>227</v>
      </c>
      <c r="D520" t="s">
        <v>26</v>
      </c>
      <c r="E520" t="s">
        <v>15</v>
      </c>
      <c r="F520" t="s">
        <v>34</v>
      </c>
      <c r="G520">
        <f>INDEX(Question_Bank!$J$3:$J$14,MATCH(D520,Question_Bank!$A$3:$A$14,0))</f>
        <v>0</v>
      </c>
      <c r="H520">
        <f>IF(F520=G520,1,0)</f>
        <v>0</v>
      </c>
      <c r="I520">
        <f>H520*INDEX(Question_Bank!$M$3:$M$14,MATCH(D520,Question_Bank!$A$3:$A$14,0))</f>
        <v>0</v>
      </c>
      <c r="J520">
        <f>SUMIFS($I$3:$I$566,$A$3:$A$566,A520)</f>
        <v>0</v>
      </c>
      <c r="K520" s="5">
        <f>J520/SUM(Question_Bank!$M$3:$M$14)</f>
        <v>0</v>
      </c>
      <c r="L520" s="5">
        <f>SUMIFS($I$3:$I$566,$A$3:$A$566,A520,$E$3:$E$566,E520)/SUMIFS(Question_Bank!$M$3:$M$14,Question_Bank!$B$3:$B$14,E520)</f>
        <v>0</v>
      </c>
      <c r="M520" t="s">
        <v>220</v>
      </c>
    </row>
    <row r="521" spans="1:13">
      <c r="A521" t="s">
        <v>219</v>
      </c>
      <c r="B521" t="s">
        <v>132</v>
      </c>
      <c r="C521" t="s">
        <v>227</v>
      </c>
      <c r="D521" t="s">
        <v>37</v>
      </c>
      <c r="E521" t="s">
        <v>15</v>
      </c>
      <c r="F521" t="s">
        <v>20</v>
      </c>
      <c r="G521">
        <f>INDEX(Question_Bank!$J$3:$J$14,MATCH(D521,Question_Bank!$A$3:$A$14,0))</f>
        <v>0</v>
      </c>
      <c r="H521">
        <f>IF(F521=G521,1,0)</f>
        <v>0</v>
      </c>
      <c r="I521">
        <f>H521*INDEX(Question_Bank!$M$3:$M$14,MATCH(D521,Question_Bank!$A$3:$A$14,0))</f>
        <v>0</v>
      </c>
      <c r="J521">
        <f>SUMIFS($I$3:$I$566,$A$3:$A$566,A521)</f>
        <v>0</v>
      </c>
      <c r="K521" s="5">
        <f>J521/SUM(Question_Bank!$M$3:$M$14)</f>
        <v>0</v>
      </c>
      <c r="L521" s="5">
        <f>SUMIFS($I$3:$I$566,$A$3:$A$566,A521,$E$3:$E$566,E521)/SUMIFS(Question_Bank!$M$3:$M$14,Question_Bank!$B$3:$B$14,E521)</f>
        <v>0</v>
      </c>
      <c r="M521" t="s">
        <v>220</v>
      </c>
    </row>
    <row r="522" spans="1:13">
      <c r="A522" t="s">
        <v>219</v>
      </c>
      <c r="B522" t="s">
        <v>132</v>
      </c>
      <c r="C522" t="s">
        <v>227</v>
      </c>
      <c r="D522" t="s">
        <v>45</v>
      </c>
      <c r="E522" t="s">
        <v>46</v>
      </c>
      <c r="F522" t="s">
        <v>31</v>
      </c>
      <c r="G522">
        <f>INDEX(Question_Bank!$J$3:$J$14,MATCH(D522,Question_Bank!$A$3:$A$14,0))</f>
        <v>0</v>
      </c>
      <c r="H522">
        <f>IF(F522=G522,1,0)</f>
        <v>0</v>
      </c>
      <c r="I522">
        <f>H522*INDEX(Question_Bank!$M$3:$M$14,MATCH(D522,Question_Bank!$A$3:$A$14,0))</f>
        <v>0</v>
      </c>
      <c r="J522">
        <f>SUMIFS($I$3:$I$566,$A$3:$A$566,A522)</f>
        <v>0</v>
      </c>
      <c r="K522" s="5">
        <f>J522/SUM(Question_Bank!$M$3:$M$14)</f>
        <v>0</v>
      </c>
      <c r="L522" s="5">
        <f>SUMIFS($I$3:$I$566,$A$3:$A$566,A522,$E$3:$E$566,E522)/SUMIFS(Question_Bank!$M$3:$M$14,Question_Bank!$B$3:$B$14,E522)</f>
        <v>0</v>
      </c>
      <c r="M522" t="s">
        <v>220</v>
      </c>
    </row>
    <row r="523" spans="1:13">
      <c r="A523" t="s">
        <v>219</v>
      </c>
      <c r="B523" t="s">
        <v>132</v>
      </c>
      <c r="C523" t="s">
        <v>227</v>
      </c>
      <c r="D523" t="s">
        <v>54</v>
      </c>
      <c r="E523" t="s">
        <v>46</v>
      </c>
      <c r="F523" t="s">
        <v>31</v>
      </c>
      <c r="G523">
        <f>INDEX(Question_Bank!$J$3:$J$14,MATCH(D523,Question_Bank!$A$3:$A$14,0))</f>
        <v>0</v>
      </c>
      <c r="H523">
        <f>IF(F523=G523,1,0)</f>
        <v>0</v>
      </c>
      <c r="I523">
        <f>H523*INDEX(Question_Bank!$M$3:$M$14,MATCH(D523,Question_Bank!$A$3:$A$14,0))</f>
        <v>0</v>
      </c>
      <c r="J523">
        <f>SUMIFS($I$3:$I$566,$A$3:$A$566,A523)</f>
        <v>0</v>
      </c>
      <c r="K523" s="5">
        <f>J523/SUM(Question_Bank!$M$3:$M$14)</f>
        <v>0</v>
      </c>
      <c r="L523" s="5">
        <f>SUMIFS($I$3:$I$566,$A$3:$A$566,A523,$E$3:$E$566,E523)/SUMIFS(Question_Bank!$M$3:$M$14,Question_Bank!$B$3:$B$14,E523)</f>
        <v>0</v>
      </c>
      <c r="M523" t="s">
        <v>220</v>
      </c>
    </row>
    <row r="524" spans="1:13">
      <c r="A524" t="s">
        <v>219</v>
      </c>
      <c r="B524" t="s">
        <v>132</v>
      </c>
      <c r="C524" t="s">
        <v>227</v>
      </c>
      <c r="D524" t="s">
        <v>62</v>
      </c>
      <c r="E524" t="s">
        <v>46</v>
      </c>
      <c r="F524" t="s">
        <v>23</v>
      </c>
      <c r="G524">
        <f>INDEX(Question_Bank!$J$3:$J$14,MATCH(D524,Question_Bank!$A$3:$A$14,0))</f>
        <v>0</v>
      </c>
      <c r="H524">
        <f>IF(F524=G524,1,0)</f>
        <v>0</v>
      </c>
      <c r="I524">
        <f>H524*INDEX(Question_Bank!$M$3:$M$14,MATCH(D524,Question_Bank!$A$3:$A$14,0))</f>
        <v>0</v>
      </c>
      <c r="J524">
        <f>SUMIFS($I$3:$I$566,$A$3:$A$566,A524)</f>
        <v>0</v>
      </c>
      <c r="K524" s="5">
        <f>J524/SUM(Question_Bank!$M$3:$M$14)</f>
        <v>0</v>
      </c>
      <c r="L524" s="5">
        <f>SUMIFS($I$3:$I$566,$A$3:$A$566,A524,$E$3:$E$566,E524)/SUMIFS(Question_Bank!$M$3:$M$14,Question_Bank!$B$3:$B$14,E524)</f>
        <v>0</v>
      </c>
      <c r="M524" t="s">
        <v>220</v>
      </c>
    </row>
    <row r="525" spans="1:13">
      <c r="A525" t="s">
        <v>219</v>
      </c>
      <c r="B525" t="s">
        <v>132</v>
      </c>
      <c r="C525" t="s">
        <v>227</v>
      </c>
      <c r="D525" t="s">
        <v>70</v>
      </c>
      <c r="E525" t="s">
        <v>71</v>
      </c>
      <c r="F525" t="s">
        <v>20</v>
      </c>
      <c r="G525">
        <f>INDEX(Question_Bank!$J$3:$J$14,MATCH(D525,Question_Bank!$A$3:$A$14,0))</f>
        <v>0</v>
      </c>
      <c r="H525">
        <f>IF(F525=G525,1,0)</f>
        <v>0</v>
      </c>
      <c r="I525">
        <f>H525*INDEX(Question_Bank!$M$3:$M$14,MATCH(D525,Question_Bank!$A$3:$A$14,0))</f>
        <v>0</v>
      </c>
      <c r="J525">
        <f>SUMIFS($I$3:$I$566,$A$3:$A$566,A525)</f>
        <v>0</v>
      </c>
      <c r="K525" s="5">
        <f>J525/SUM(Question_Bank!$M$3:$M$14)</f>
        <v>0</v>
      </c>
      <c r="L525" s="5">
        <f>SUMIFS($I$3:$I$566,$A$3:$A$566,A525,$E$3:$E$566,E525)/SUMIFS(Question_Bank!$M$3:$M$14,Question_Bank!$B$3:$B$14,E525)</f>
        <v>0</v>
      </c>
      <c r="M525" t="s">
        <v>220</v>
      </c>
    </row>
    <row r="526" spans="1:13">
      <c r="A526" t="s">
        <v>219</v>
      </c>
      <c r="B526" t="s">
        <v>132</v>
      </c>
      <c r="C526" t="s">
        <v>227</v>
      </c>
      <c r="D526" t="s">
        <v>79</v>
      </c>
      <c r="E526" t="s">
        <v>71</v>
      </c>
      <c r="F526" t="s">
        <v>31</v>
      </c>
      <c r="G526">
        <f>INDEX(Question_Bank!$J$3:$J$14,MATCH(D526,Question_Bank!$A$3:$A$14,0))</f>
        <v>0</v>
      </c>
      <c r="H526">
        <f>IF(F526=G526,1,0)</f>
        <v>0</v>
      </c>
      <c r="I526">
        <f>H526*INDEX(Question_Bank!$M$3:$M$14,MATCH(D526,Question_Bank!$A$3:$A$14,0))</f>
        <v>0</v>
      </c>
      <c r="J526">
        <f>SUMIFS($I$3:$I$566,$A$3:$A$566,A526)</f>
        <v>0</v>
      </c>
      <c r="K526" s="5">
        <f>J526/SUM(Question_Bank!$M$3:$M$14)</f>
        <v>0</v>
      </c>
      <c r="L526" s="5">
        <f>SUMIFS($I$3:$I$566,$A$3:$A$566,A526,$E$3:$E$566,E526)/SUMIFS(Question_Bank!$M$3:$M$14,Question_Bank!$B$3:$B$14,E526)</f>
        <v>0</v>
      </c>
      <c r="M526" t="s">
        <v>220</v>
      </c>
    </row>
    <row r="527" spans="1:13">
      <c r="A527" t="s">
        <v>219</v>
      </c>
      <c r="B527" t="s">
        <v>132</v>
      </c>
      <c r="C527" t="s">
        <v>227</v>
      </c>
      <c r="D527" t="s">
        <v>87</v>
      </c>
      <c r="E527" t="s">
        <v>71</v>
      </c>
      <c r="F527" t="s">
        <v>31</v>
      </c>
      <c r="G527">
        <f>INDEX(Question_Bank!$J$3:$J$14,MATCH(D527,Question_Bank!$A$3:$A$14,0))</f>
        <v>0</v>
      </c>
      <c r="H527">
        <f>IF(F527=G527,1,0)</f>
        <v>0</v>
      </c>
      <c r="I527">
        <f>H527*INDEX(Question_Bank!$M$3:$M$14,MATCH(D527,Question_Bank!$A$3:$A$14,0))</f>
        <v>0</v>
      </c>
      <c r="J527">
        <f>SUMIFS($I$3:$I$566,$A$3:$A$566,A527)</f>
        <v>0</v>
      </c>
      <c r="K527" s="5">
        <f>J527/SUM(Question_Bank!$M$3:$M$14)</f>
        <v>0</v>
      </c>
      <c r="L527" s="5">
        <f>SUMIFS($I$3:$I$566,$A$3:$A$566,A527,$E$3:$E$566,E527)/SUMIFS(Question_Bank!$M$3:$M$14,Question_Bank!$B$3:$B$14,E527)</f>
        <v>0</v>
      </c>
      <c r="M527" t="s">
        <v>220</v>
      </c>
    </row>
    <row r="528" spans="1:13">
      <c r="A528" t="s">
        <v>219</v>
      </c>
      <c r="B528" t="s">
        <v>132</v>
      </c>
      <c r="C528" t="s">
        <v>227</v>
      </c>
      <c r="D528" t="s">
        <v>95</v>
      </c>
      <c r="E528" t="s">
        <v>96</v>
      </c>
      <c r="F528" t="s">
        <v>34</v>
      </c>
      <c r="G528">
        <f>INDEX(Question_Bank!$J$3:$J$14,MATCH(D528,Question_Bank!$A$3:$A$14,0))</f>
        <v>0</v>
      </c>
      <c r="H528">
        <f>IF(F528=G528,1,0)</f>
        <v>0</v>
      </c>
      <c r="I528">
        <f>H528*INDEX(Question_Bank!$M$3:$M$14,MATCH(D528,Question_Bank!$A$3:$A$14,0))</f>
        <v>0</v>
      </c>
      <c r="J528">
        <f>SUMIFS($I$3:$I$566,$A$3:$A$566,A528)</f>
        <v>0</v>
      </c>
      <c r="K528" s="5">
        <f>J528/SUM(Question_Bank!$M$3:$M$14)</f>
        <v>0</v>
      </c>
      <c r="L528" s="5">
        <f>SUMIFS($I$3:$I$566,$A$3:$A$566,A528,$E$3:$E$566,E528)/SUMIFS(Question_Bank!$M$3:$M$14,Question_Bank!$B$3:$B$14,E528)</f>
        <v>0</v>
      </c>
      <c r="M528" t="s">
        <v>220</v>
      </c>
    </row>
    <row r="529" spans="1:13">
      <c r="A529" t="s">
        <v>219</v>
      </c>
      <c r="B529" t="s">
        <v>132</v>
      </c>
      <c r="C529" t="s">
        <v>227</v>
      </c>
      <c r="D529" t="s">
        <v>104</v>
      </c>
      <c r="E529" t="s">
        <v>96</v>
      </c>
      <c r="F529" t="s">
        <v>20</v>
      </c>
      <c r="G529">
        <f>INDEX(Question_Bank!$J$3:$J$14,MATCH(D529,Question_Bank!$A$3:$A$14,0))</f>
        <v>0</v>
      </c>
      <c r="H529">
        <f>IF(F529=G529,1,0)</f>
        <v>0</v>
      </c>
      <c r="I529">
        <f>H529*INDEX(Question_Bank!$M$3:$M$14,MATCH(D529,Question_Bank!$A$3:$A$14,0))</f>
        <v>0</v>
      </c>
      <c r="J529">
        <f>SUMIFS($I$3:$I$566,$A$3:$A$566,A529)</f>
        <v>0</v>
      </c>
      <c r="K529" s="5">
        <f>J529/SUM(Question_Bank!$M$3:$M$14)</f>
        <v>0</v>
      </c>
      <c r="L529" s="5">
        <f>SUMIFS($I$3:$I$566,$A$3:$A$566,A529,$E$3:$E$566,E529)/SUMIFS(Question_Bank!$M$3:$M$14,Question_Bank!$B$3:$B$14,E529)</f>
        <v>0</v>
      </c>
      <c r="M529" t="s">
        <v>220</v>
      </c>
    </row>
    <row r="530" spans="1:13">
      <c r="A530" t="s">
        <v>219</v>
      </c>
      <c r="B530" t="s">
        <v>132</v>
      </c>
      <c r="C530" t="s">
        <v>227</v>
      </c>
      <c r="D530" t="s">
        <v>112</v>
      </c>
      <c r="E530" t="s">
        <v>96</v>
      </c>
      <c r="F530" t="s">
        <v>31</v>
      </c>
      <c r="G530">
        <f>INDEX(Question_Bank!$J$3:$J$14,MATCH(D530,Question_Bank!$A$3:$A$14,0))</f>
        <v>0</v>
      </c>
      <c r="H530">
        <f>IF(F530=G530,1,0)</f>
        <v>0</v>
      </c>
      <c r="I530">
        <f>H530*INDEX(Question_Bank!$M$3:$M$14,MATCH(D530,Question_Bank!$A$3:$A$14,0))</f>
        <v>0</v>
      </c>
      <c r="J530">
        <f>SUMIFS($I$3:$I$566,$A$3:$A$566,A530)</f>
        <v>0</v>
      </c>
      <c r="K530" s="5">
        <f>J530/SUM(Question_Bank!$M$3:$M$14)</f>
        <v>0</v>
      </c>
      <c r="L530" s="5">
        <f>SUMIFS($I$3:$I$566,$A$3:$A$566,A530,$E$3:$E$566,E530)/SUMIFS(Question_Bank!$M$3:$M$14,Question_Bank!$B$3:$B$14,E530)</f>
        <v>0</v>
      </c>
      <c r="M530" t="s">
        <v>220</v>
      </c>
    </row>
    <row r="531" spans="1:13">
      <c r="A531" t="s">
        <v>221</v>
      </c>
      <c r="B531" t="s">
        <v>132</v>
      </c>
      <c r="C531" t="s">
        <v>227</v>
      </c>
      <c r="D531" t="s">
        <v>14</v>
      </c>
      <c r="E531" t="s">
        <v>15</v>
      </c>
      <c r="F531" t="s">
        <v>23</v>
      </c>
      <c r="G531">
        <f>INDEX(Question_Bank!$J$3:$J$14,MATCH(D531,Question_Bank!$A$3:$A$14,0))</f>
        <v>0</v>
      </c>
      <c r="H531">
        <f>IF(F531=G531,1,0)</f>
        <v>0</v>
      </c>
      <c r="I531">
        <f>H531*INDEX(Question_Bank!$M$3:$M$14,MATCH(D531,Question_Bank!$A$3:$A$14,0))</f>
        <v>0</v>
      </c>
      <c r="J531">
        <f>SUMIFS($I$3:$I$566,$A$3:$A$566,A531)</f>
        <v>0</v>
      </c>
      <c r="K531" s="5">
        <f>J531/SUM(Question_Bank!$M$3:$M$14)</f>
        <v>0</v>
      </c>
      <c r="L531" s="5">
        <f>SUMIFS($I$3:$I$566,$A$3:$A$566,A531,$E$3:$E$566,E531)/SUMIFS(Question_Bank!$M$3:$M$14,Question_Bank!$B$3:$B$14,E531)</f>
        <v>0</v>
      </c>
      <c r="M531" t="s">
        <v>222</v>
      </c>
    </row>
    <row r="532" spans="1:13">
      <c r="A532" t="s">
        <v>221</v>
      </c>
      <c r="B532" t="s">
        <v>132</v>
      </c>
      <c r="C532" t="s">
        <v>227</v>
      </c>
      <c r="D532" t="s">
        <v>26</v>
      </c>
      <c r="E532" t="s">
        <v>15</v>
      </c>
      <c r="F532" t="s">
        <v>34</v>
      </c>
      <c r="G532">
        <f>INDEX(Question_Bank!$J$3:$J$14,MATCH(D532,Question_Bank!$A$3:$A$14,0))</f>
        <v>0</v>
      </c>
      <c r="H532">
        <f>IF(F532=G532,1,0)</f>
        <v>0</v>
      </c>
      <c r="I532">
        <f>H532*INDEX(Question_Bank!$M$3:$M$14,MATCH(D532,Question_Bank!$A$3:$A$14,0))</f>
        <v>0</v>
      </c>
      <c r="J532">
        <f>SUMIFS($I$3:$I$566,$A$3:$A$566,A532)</f>
        <v>0</v>
      </c>
      <c r="K532" s="5">
        <f>J532/SUM(Question_Bank!$M$3:$M$14)</f>
        <v>0</v>
      </c>
      <c r="L532" s="5">
        <f>SUMIFS($I$3:$I$566,$A$3:$A$566,A532,$E$3:$E$566,E532)/SUMIFS(Question_Bank!$M$3:$M$14,Question_Bank!$B$3:$B$14,E532)</f>
        <v>0</v>
      </c>
      <c r="M532" t="s">
        <v>222</v>
      </c>
    </row>
    <row r="533" spans="1:13">
      <c r="A533" t="s">
        <v>221</v>
      </c>
      <c r="B533" t="s">
        <v>132</v>
      </c>
      <c r="C533" t="s">
        <v>227</v>
      </c>
      <c r="D533" t="s">
        <v>37</v>
      </c>
      <c r="E533" t="s">
        <v>15</v>
      </c>
      <c r="F533" t="s">
        <v>20</v>
      </c>
      <c r="G533">
        <f>INDEX(Question_Bank!$J$3:$J$14,MATCH(D533,Question_Bank!$A$3:$A$14,0))</f>
        <v>0</v>
      </c>
      <c r="H533">
        <f>IF(F533=G533,1,0)</f>
        <v>0</v>
      </c>
      <c r="I533">
        <f>H533*INDEX(Question_Bank!$M$3:$M$14,MATCH(D533,Question_Bank!$A$3:$A$14,0))</f>
        <v>0</v>
      </c>
      <c r="J533">
        <f>SUMIFS($I$3:$I$566,$A$3:$A$566,A533)</f>
        <v>0</v>
      </c>
      <c r="K533" s="5">
        <f>J533/SUM(Question_Bank!$M$3:$M$14)</f>
        <v>0</v>
      </c>
      <c r="L533" s="5">
        <f>SUMIFS($I$3:$I$566,$A$3:$A$566,A533,$E$3:$E$566,E533)/SUMIFS(Question_Bank!$M$3:$M$14,Question_Bank!$B$3:$B$14,E533)</f>
        <v>0</v>
      </c>
      <c r="M533" t="s">
        <v>222</v>
      </c>
    </row>
    <row r="534" spans="1:13">
      <c r="A534" t="s">
        <v>221</v>
      </c>
      <c r="B534" t="s">
        <v>132</v>
      </c>
      <c r="C534" t="s">
        <v>227</v>
      </c>
      <c r="D534" t="s">
        <v>45</v>
      </c>
      <c r="E534" t="s">
        <v>46</v>
      </c>
      <c r="F534" t="s">
        <v>31</v>
      </c>
      <c r="G534">
        <f>INDEX(Question_Bank!$J$3:$J$14,MATCH(D534,Question_Bank!$A$3:$A$14,0))</f>
        <v>0</v>
      </c>
      <c r="H534">
        <f>IF(F534=G534,1,0)</f>
        <v>0</v>
      </c>
      <c r="I534">
        <f>H534*INDEX(Question_Bank!$M$3:$M$14,MATCH(D534,Question_Bank!$A$3:$A$14,0))</f>
        <v>0</v>
      </c>
      <c r="J534">
        <f>SUMIFS($I$3:$I$566,$A$3:$A$566,A534)</f>
        <v>0</v>
      </c>
      <c r="K534" s="5">
        <f>J534/SUM(Question_Bank!$M$3:$M$14)</f>
        <v>0</v>
      </c>
      <c r="L534" s="5">
        <f>SUMIFS($I$3:$I$566,$A$3:$A$566,A534,$E$3:$E$566,E534)/SUMIFS(Question_Bank!$M$3:$M$14,Question_Bank!$B$3:$B$14,E534)</f>
        <v>0</v>
      </c>
      <c r="M534" t="s">
        <v>222</v>
      </c>
    </row>
    <row r="535" spans="1:13">
      <c r="A535" t="s">
        <v>221</v>
      </c>
      <c r="B535" t="s">
        <v>132</v>
      </c>
      <c r="C535" t="s">
        <v>227</v>
      </c>
      <c r="D535" t="s">
        <v>54</v>
      </c>
      <c r="E535" t="s">
        <v>46</v>
      </c>
      <c r="F535" t="s">
        <v>23</v>
      </c>
      <c r="G535">
        <f>INDEX(Question_Bank!$J$3:$J$14,MATCH(D535,Question_Bank!$A$3:$A$14,0))</f>
        <v>0</v>
      </c>
      <c r="H535">
        <f>IF(F535=G535,1,0)</f>
        <v>0</v>
      </c>
      <c r="I535">
        <f>H535*INDEX(Question_Bank!$M$3:$M$14,MATCH(D535,Question_Bank!$A$3:$A$14,0))</f>
        <v>0</v>
      </c>
      <c r="J535">
        <f>SUMIFS($I$3:$I$566,$A$3:$A$566,A535)</f>
        <v>0</v>
      </c>
      <c r="K535" s="5">
        <f>J535/SUM(Question_Bank!$M$3:$M$14)</f>
        <v>0</v>
      </c>
      <c r="L535" s="5">
        <f>SUMIFS($I$3:$I$566,$A$3:$A$566,A535,$E$3:$E$566,E535)/SUMIFS(Question_Bank!$M$3:$M$14,Question_Bank!$B$3:$B$14,E535)</f>
        <v>0</v>
      </c>
      <c r="M535" t="s">
        <v>222</v>
      </c>
    </row>
    <row r="536" spans="1:13">
      <c r="A536" t="s">
        <v>221</v>
      </c>
      <c r="B536" t="s">
        <v>132</v>
      </c>
      <c r="C536" t="s">
        <v>227</v>
      </c>
      <c r="D536" t="s">
        <v>62</v>
      </c>
      <c r="E536" t="s">
        <v>46</v>
      </c>
      <c r="F536" t="s">
        <v>23</v>
      </c>
      <c r="G536">
        <f>INDEX(Question_Bank!$J$3:$J$14,MATCH(D536,Question_Bank!$A$3:$A$14,0))</f>
        <v>0</v>
      </c>
      <c r="H536">
        <f>IF(F536=G536,1,0)</f>
        <v>0</v>
      </c>
      <c r="I536">
        <f>H536*INDEX(Question_Bank!$M$3:$M$14,MATCH(D536,Question_Bank!$A$3:$A$14,0))</f>
        <v>0</v>
      </c>
      <c r="J536">
        <f>SUMIFS($I$3:$I$566,$A$3:$A$566,A536)</f>
        <v>0</v>
      </c>
      <c r="K536" s="5">
        <f>J536/SUM(Question_Bank!$M$3:$M$14)</f>
        <v>0</v>
      </c>
      <c r="L536" s="5">
        <f>SUMIFS($I$3:$I$566,$A$3:$A$566,A536,$E$3:$E$566,E536)/SUMIFS(Question_Bank!$M$3:$M$14,Question_Bank!$B$3:$B$14,E536)</f>
        <v>0</v>
      </c>
      <c r="M536" t="s">
        <v>222</v>
      </c>
    </row>
    <row r="537" spans="1:13">
      <c r="A537" t="s">
        <v>221</v>
      </c>
      <c r="B537" t="s">
        <v>132</v>
      </c>
      <c r="C537" t="s">
        <v>227</v>
      </c>
      <c r="D537" t="s">
        <v>70</v>
      </c>
      <c r="E537" t="s">
        <v>71</v>
      </c>
      <c r="F537" t="s">
        <v>34</v>
      </c>
      <c r="G537">
        <f>INDEX(Question_Bank!$J$3:$J$14,MATCH(D537,Question_Bank!$A$3:$A$14,0))</f>
        <v>0</v>
      </c>
      <c r="H537">
        <f>IF(F537=G537,1,0)</f>
        <v>0</v>
      </c>
      <c r="I537">
        <f>H537*INDEX(Question_Bank!$M$3:$M$14,MATCH(D537,Question_Bank!$A$3:$A$14,0))</f>
        <v>0</v>
      </c>
      <c r="J537">
        <f>SUMIFS($I$3:$I$566,$A$3:$A$566,A537)</f>
        <v>0</v>
      </c>
      <c r="K537" s="5">
        <f>J537/SUM(Question_Bank!$M$3:$M$14)</f>
        <v>0</v>
      </c>
      <c r="L537" s="5">
        <f>SUMIFS($I$3:$I$566,$A$3:$A$566,A537,$E$3:$E$566,E537)/SUMIFS(Question_Bank!$M$3:$M$14,Question_Bank!$B$3:$B$14,E537)</f>
        <v>0</v>
      </c>
      <c r="M537" t="s">
        <v>222</v>
      </c>
    </row>
    <row r="538" spans="1:13">
      <c r="A538" t="s">
        <v>221</v>
      </c>
      <c r="B538" t="s">
        <v>132</v>
      </c>
      <c r="C538" t="s">
        <v>227</v>
      </c>
      <c r="D538" t="s">
        <v>79</v>
      </c>
      <c r="E538" t="s">
        <v>71</v>
      </c>
      <c r="F538" t="s">
        <v>31</v>
      </c>
      <c r="G538">
        <f>INDEX(Question_Bank!$J$3:$J$14,MATCH(D538,Question_Bank!$A$3:$A$14,0))</f>
        <v>0</v>
      </c>
      <c r="H538">
        <f>IF(F538=G538,1,0)</f>
        <v>0</v>
      </c>
      <c r="I538">
        <f>H538*INDEX(Question_Bank!$M$3:$M$14,MATCH(D538,Question_Bank!$A$3:$A$14,0))</f>
        <v>0</v>
      </c>
      <c r="J538">
        <f>SUMIFS($I$3:$I$566,$A$3:$A$566,A538)</f>
        <v>0</v>
      </c>
      <c r="K538" s="5">
        <f>J538/SUM(Question_Bank!$M$3:$M$14)</f>
        <v>0</v>
      </c>
      <c r="L538" s="5">
        <f>SUMIFS($I$3:$I$566,$A$3:$A$566,A538,$E$3:$E$566,E538)/SUMIFS(Question_Bank!$M$3:$M$14,Question_Bank!$B$3:$B$14,E538)</f>
        <v>0</v>
      </c>
      <c r="M538" t="s">
        <v>222</v>
      </c>
    </row>
    <row r="539" spans="1:13">
      <c r="A539" t="s">
        <v>221</v>
      </c>
      <c r="B539" t="s">
        <v>132</v>
      </c>
      <c r="C539" t="s">
        <v>227</v>
      </c>
      <c r="D539" t="s">
        <v>87</v>
      </c>
      <c r="E539" t="s">
        <v>71</v>
      </c>
      <c r="F539" t="s">
        <v>34</v>
      </c>
      <c r="G539">
        <f>INDEX(Question_Bank!$J$3:$J$14,MATCH(D539,Question_Bank!$A$3:$A$14,0))</f>
        <v>0</v>
      </c>
      <c r="H539">
        <f>IF(F539=G539,1,0)</f>
        <v>0</v>
      </c>
      <c r="I539">
        <f>H539*INDEX(Question_Bank!$M$3:$M$14,MATCH(D539,Question_Bank!$A$3:$A$14,0))</f>
        <v>0</v>
      </c>
      <c r="J539">
        <f>SUMIFS($I$3:$I$566,$A$3:$A$566,A539)</f>
        <v>0</v>
      </c>
      <c r="K539" s="5">
        <f>J539/SUM(Question_Bank!$M$3:$M$14)</f>
        <v>0</v>
      </c>
      <c r="L539" s="5">
        <f>SUMIFS($I$3:$I$566,$A$3:$A$566,A539,$E$3:$E$566,E539)/SUMIFS(Question_Bank!$M$3:$M$14,Question_Bank!$B$3:$B$14,E539)</f>
        <v>0</v>
      </c>
      <c r="M539" t="s">
        <v>222</v>
      </c>
    </row>
    <row r="540" spans="1:13">
      <c r="A540" t="s">
        <v>221</v>
      </c>
      <c r="B540" t="s">
        <v>132</v>
      </c>
      <c r="C540" t="s">
        <v>227</v>
      </c>
      <c r="D540" t="s">
        <v>95</v>
      </c>
      <c r="E540" t="s">
        <v>96</v>
      </c>
      <c r="F540" t="s">
        <v>23</v>
      </c>
      <c r="G540">
        <f>INDEX(Question_Bank!$J$3:$J$14,MATCH(D540,Question_Bank!$A$3:$A$14,0))</f>
        <v>0</v>
      </c>
      <c r="H540">
        <f>IF(F540=G540,1,0)</f>
        <v>0</v>
      </c>
      <c r="I540">
        <f>H540*INDEX(Question_Bank!$M$3:$M$14,MATCH(D540,Question_Bank!$A$3:$A$14,0))</f>
        <v>0</v>
      </c>
      <c r="J540">
        <f>SUMIFS($I$3:$I$566,$A$3:$A$566,A540)</f>
        <v>0</v>
      </c>
      <c r="K540" s="5">
        <f>J540/SUM(Question_Bank!$M$3:$M$14)</f>
        <v>0</v>
      </c>
      <c r="L540" s="5">
        <f>SUMIFS($I$3:$I$566,$A$3:$A$566,A540,$E$3:$E$566,E540)/SUMIFS(Question_Bank!$M$3:$M$14,Question_Bank!$B$3:$B$14,E540)</f>
        <v>0</v>
      </c>
      <c r="M540" t="s">
        <v>222</v>
      </c>
    </row>
    <row r="541" spans="1:13">
      <c r="A541" t="s">
        <v>221</v>
      </c>
      <c r="B541" t="s">
        <v>132</v>
      </c>
      <c r="C541" t="s">
        <v>227</v>
      </c>
      <c r="D541" t="s">
        <v>104</v>
      </c>
      <c r="E541" t="s">
        <v>96</v>
      </c>
      <c r="F541" t="s">
        <v>34</v>
      </c>
      <c r="G541">
        <f>INDEX(Question_Bank!$J$3:$J$14,MATCH(D541,Question_Bank!$A$3:$A$14,0))</f>
        <v>0</v>
      </c>
      <c r="H541">
        <f>IF(F541=G541,1,0)</f>
        <v>0</v>
      </c>
      <c r="I541">
        <f>H541*INDEX(Question_Bank!$M$3:$M$14,MATCH(D541,Question_Bank!$A$3:$A$14,0))</f>
        <v>0</v>
      </c>
      <c r="J541">
        <f>SUMIFS($I$3:$I$566,$A$3:$A$566,A541)</f>
        <v>0</v>
      </c>
      <c r="K541" s="5">
        <f>J541/SUM(Question_Bank!$M$3:$M$14)</f>
        <v>0</v>
      </c>
      <c r="L541" s="5">
        <f>SUMIFS($I$3:$I$566,$A$3:$A$566,A541,$E$3:$E$566,E541)/SUMIFS(Question_Bank!$M$3:$M$14,Question_Bank!$B$3:$B$14,E541)</f>
        <v>0</v>
      </c>
      <c r="M541" t="s">
        <v>222</v>
      </c>
    </row>
    <row r="542" spans="1:13">
      <c r="A542" t="s">
        <v>221</v>
      </c>
      <c r="B542" t="s">
        <v>132</v>
      </c>
      <c r="C542" t="s">
        <v>227</v>
      </c>
      <c r="D542" t="s">
        <v>112</v>
      </c>
      <c r="E542" t="s">
        <v>96</v>
      </c>
      <c r="F542" t="s">
        <v>34</v>
      </c>
      <c r="G542">
        <f>INDEX(Question_Bank!$J$3:$J$14,MATCH(D542,Question_Bank!$A$3:$A$14,0))</f>
        <v>0</v>
      </c>
      <c r="H542">
        <f>IF(F542=G542,1,0)</f>
        <v>0</v>
      </c>
      <c r="I542">
        <f>H542*INDEX(Question_Bank!$M$3:$M$14,MATCH(D542,Question_Bank!$A$3:$A$14,0))</f>
        <v>0</v>
      </c>
      <c r="J542">
        <f>SUMIFS($I$3:$I$566,$A$3:$A$566,A542)</f>
        <v>0</v>
      </c>
      <c r="K542" s="5">
        <f>J542/SUM(Question_Bank!$M$3:$M$14)</f>
        <v>0</v>
      </c>
      <c r="L542" s="5">
        <f>SUMIFS($I$3:$I$566,$A$3:$A$566,A542,$E$3:$E$566,E542)/SUMIFS(Question_Bank!$M$3:$M$14,Question_Bank!$B$3:$B$14,E542)</f>
        <v>0</v>
      </c>
      <c r="M542" t="s">
        <v>222</v>
      </c>
    </row>
    <row r="543" spans="1:13">
      <c r="A543" t="s">
        <v>223</v>
      </c>
      <c r="B543" t="s">
        <v>132</v>
      </c>
      <c r="C543" t="s">
        <v>227</v>
      </c>
      <c r="D543" t="s">
        <v>14</v>
      </c>
      <c r="E543" t="s">
        <v>15</v>
      </c>
      <c r="F543" t="s">
        <v>31</v>
      </c>
      <c r="G543">
        <f>INDEX(Question_Bank!$J$3:$J$14,MATCH(D543,Question_Bank!$A$3:$A$14,0))</f>
        <v>0</v>
      </c>
      <c r="H543">
        <f>IF(F543=G543,1,0)</f>
        <v>0</v>
      </c>
      <c r="I543">
        <f>H543*INDEX(Question_Bank!$M$3:$M$14,MATCH(D543,Question_Bank!$A$3:$A$14,0))</f>
        <v>0</v>
      </c>
      <c r="J543">
        <f>SUMIFS($I$3:$I$566,$A$3:$A$566,A543)</f>
        <v>0</v>
      </c>
      <c r="K543" s="5">
        <f>J543/SUM(Question_Bank!$M$3:$M$14)</f>
        <v>0</v>
      </c>
      <c r="L543" s="5">
        <f>SUMIFS($I$3:$I$566,$A$3:$A$566,A543,$E$3:$E$566,E543)/SUMIFS(Question_Bank!$M$3:$M$14,Question_Bank!$B$3:$B$14,E543)</f>
        <v>0</v>
      </c>
      <c r="M543" t="s">
        <v>224</v>
      </c>
    </row>
    <row r="544" spans="1:13">
      <c r="A544" t="s">
        <v>223</v>
      </c>
      <c r="B544" t="s">
        <v>132</v>
      </c>
      <c r="C544" t="s">
        <v>227</v>
      </c>
      <c r="D544" t="s">
        <v>26</v>
      </c>
      <c r="E544" t="s">
        <v>15</v>
      </c>
      <c r="F544" t="s">
        <v>34</v>
      </c>
      <c r="G544">
        <f>INDEX(Question_Bank!$J$3:$J$14,MATCH(D544,Question_Bank!$A$3:$A$14,0))</f>
        <v>0</v>
      </c>
      <c r="H544">
        <f>IF(F544=G544,1,0)</f>
        <v>0</v>
      </c>
      <c r="I544">
        <f>H544*INDEX(Question_Bank!$M$3:$M$14,MATCH(D544,Question_Bank!$A$3:$A$14,0))</f>
        <v>0</v>
      </c>
      <c r="J544">
        <f>SUMIFS($I$3:$I$566,$A$3:$A$566,A544)</f>
        <v>0</v>
      </c>
      <c r="K544" s="5">
        <f>J544/SUM(Question_Bank!$M$3:$M$14)</f>
        <v>0</v>
      </c>
      <c r="L544" s="5">
        <f>SUMIFS($I$3:$I$566,$A$3:$A$566,A544,$E$3:$E$566,E544)/SUMIFS(Question_Bank!$M$3:$M$14,Question_Bank!$B$3:$B$14,E544)</f>
        <v>0</v>
      </c>
      <c r="M544" t="s">
        <v>224</v>
      </c>
    </row>
    <row r="545" spans="1:13">
      <c r="A545" t="s">
        <v>223</v>
      </c>
      <c r="B545" t="s">
        <v>132</v>
      </c>
      <c r="C545" t="s">
        <v>227</v>
      </c>
      <c r="D545" t="s">
        <v>37</v>
      </c>
      <c r="E545" t="s">
        <v>15</v>
      </c>
      <c r="F545" t="s">
        <v>20</v>
      </c>
      <c r="G545">
        <f>INDEX(Question_Bank!$J$3:$J$14,MATCH(D545,Question_Bank!$A$3:$A$14,0))</f>
        <v>0</v>
      </c>
      <c r="H545">
        <f>IF(F545=G545,1,0)</f>
        <v>0</v>
      </c>
      <c r="I545">
        <f>H545*INDEX(Question_Bank!$M$3:$M$14,MATCH(D545,Question_Bank!$A$3:$A$14,0))</f>
        <v>0</v>
      </c>
      <c r="J545">
        <f>SUMIFS($I$3:$I$566,$A$3:$A$566,A545)</f>
        <v>0</v>
      </c>
      <c r="K545" s="5">
        <f>J545/SUM(Question_Bank!$M$3:$M$14)</f>
        <v>0</v>
      </c>
      <c r="L545" s="5">
        <f>SUMIFS($I$3:$I$566,$A$3:$A$566,A545,$E$3:$E$566,E545)/SUMIFS(Question_Bank!$M$3:$M$14,Question_Bank!$B$3:$B$14,E545)</f>
        <v>0</v>
      </c>
      <c r="M545" t="s">
        <v>224</v>
      </c>
    </row>
    <row r="546" spans="1:13">
      <c r="A546" t="s">
        <v>223</v>
      </c>
      <c r="B546" t="s">
        <v>132</v>
      </c>
      <c r="C546" t="s">
        <v>227</v>
      </c>
      <c r="D546" t="s">
        <v>45</v>
      </c>
      <c r="E546" t="s">
        <v>46</v>
      </c>
      <c r="F546" t="s">
        <v>31</v>
      </c>
      <c r="G546">
        <f>INDEX(Question_Bank!$J$3:$J$14,MATCH(D546,Question_Bank!$A$3:$A$14,0))</f>
        <v>0</v>
      </c>
      <c r="H546">
        <f>IF(F546=G546,1,0)</f>
        <v>0</v>
      </c>
      <c r="I546">
        <f>H546*INDEX(Question_Bank!$M$3:$M$14,MATCH(D546,Question_Bank!$A$3:$A$14,0))</f>
        <v>0</v>
      </c>
      <c r="J546">
        <f>SUMIFS($I$3:$I$566,$A$3:$A$566,A546)</f>
        <v>0</v>
      </c>
      <c r="K546" s="5">
        <f>J546/SUM(Question_Bank!$M$3:$M$14)</f>
        <v>0</v>
      </c>
      <c r="L546" s="5">
        <f>SUMIFS($I$3:$I$566,$A$3:$A$566,A546,$E$3:$E$566,E546)/SUMIFS(Question_Bank!$M$3:$M$14,Question_Bank!$B$3:$B$14,E546)</f>
        <v>0</v>
      </c>
      <c r="M546" t="s">
        <v>224</v>
      </c>
    </row>
    <row r="547" spans="1:13">
      <c r="A547" t="s">
        <v>223</v>
      </c>
      <c r="B547" t="s">
        <v>132</v>
      </c>
      <c r="C547" t="s">
        <v>227</v>
      </c>
      <c r="D547" t="s">
        <v>54</v>
      </c>
      <c r="E547" t="s">
        <v>46</v>
      </c>
      <c r="F547" t="s">
        <v>23</v>
      </c>
      <c r="G547">
        <f>INDEX(Question_Bank!$J$3:$J$14,MATCH(D547,Question_Bank!$A$3:$A$14,0))</f>
        <v>0</v>
      </c>
      <c r="H547">
        <f>IF(F547=G547,1,0)</f>
        <v>0</v>
      </c>
      <c r="I547">
        <f>H547*INDEX(Question_Bank!$M$3:$M$14,MATCH(D547,Question_Bank!$A$3:$A$14,0))</f>
        <v>0</v>
      </c>
      <c r="J547">
        <f>SUMIFS($I$3:$I$566,$A$3:$A$566,A547)</f>
        <v>0</v>
      </c>
      <c r="K547" s="5">
        <f>J547/SUM(Question_Bank!$M$3:$M$14)</f>
        <v>0</v>
      </c>
      <c r="L547" s="5">
        <f>SUMIFS($I$3:$I$566,$A$3:$A$566,A547,$E$3:$E$566,E547)/SUMIFS(Question_Bank!$M$3:$M$14,Question_Bank!$B$3:$B$14,E547)</f>
        <v>0</v>
      </c>
      <c r="M547" t="s">
        <v>224</v>
      </c>
    </row>
    <row r="548" spans="1:13">
      <c r="A548" t="s">
        <v>223</v>
      </c>
      <c r="B548" t="s">
        <v>132</v>
      </c>
      <c r="C548" t="s">
        <v>227</v>
      </c>
      <c r="D548" t="s">
        <v>62</v>
      </c>
      <c r="E548" t="s">
        <v>46</v>
      </c>
      <c r="F548" t="s">
        <v>23</v>
      </c>
      <c r="G548">
        <f>INDEX(Question_Bank!$J$3:$J$14,MATCH(D548,Question_Bank!$A$3:$A$14,0))</f>
        <v>0</v>
      </c>
      <c r="H548">
        <f>IF(F548=G548,1,0)</f>
        <v>0</v>
      </c>
      <c r="I548">
        <f>H548*INDEX(Question_Bank!$M$3:$M$14,MATCH(D548,Question_Bank!$A$3:$A$14,0))</f>
        <v>0</v>
      </c>
      <c r="J548">
        <f>SUMIFS($I$3:$I$566,$A$3:$A$566,A548)</f>
        <v>0</v>
      </c>
      <c r="K548" s="5">
        <f>J548/SUM(Question_Bank!$M$3:$M$14)</f>
        <v>0</v>
      </c>
      <c r="L548" s="5">
        <f>SUMIFS($I$3:$I$566,$A$3:$A$566,A548,$E$3:$E$566,E548)/SUMIFS(Question_Bank!$M$3:$M$14,Question_Bank!$B$3:$B$14,E548)</f>
        <v>0</v>
      </c>
      <c r="M548" t="s">
        <v>224</v>
      </c>
    </row>
    <row r="549" spans="1:13">
      <c r="A549" t="s">
        <v>223</v>
      </c>
      <c r="B549" t="s">
        <v>132</v>
      </c>
      <c r="C549" t="s">
        <v>227</v>
      </c>
      <c r="D549" t="s">
        <v>70</v>
      </c>
      <c r="E549" t="s">
        <v>71</v>
      </c>
      <c r="F549" t="s">
        <v>23</v>
      </c>
      <c r="G549">
        <f>INDEX(Question_Bank!$J$3:$J$14,MATCH(D549,Question_Bank!$A$3:$A$14,0))</f>
        <v>0</v>
      </c>
      <c r="H549">
        <f>IF(F549=G549,1,0)</f>
        <v>0</v>
      </c>
      <c r="I549">
        <f>H549*INDEX(Question_Bank!$M$3:$M$14,MATCH(D549,Question_Bank!$A$3:$A$14,0))</f>
        <v>0</v>
      </c>
      <c r="J549">
        <f>SUMIFS($I$3:$I$566,$A$3:$A$566,A549)</f>
        <v>0</v>
      </c>
      <c r="K549" s="5">
        <f>J549/SUM(Question_Bank!$M$3:$M$14)</f>
        <v>0</v>
      </c>
      <c r="L549" s="5">
        <f>SUMIFS($I$3:$I$566,$A$3:$A$566,A549,$E$3:$E$566,E549)/SUMIFS(Question_Bank!$M$3:$M$14,Question_Bank!$B$3:$B$14,E549)</f>
        <v>0</v>
      </c>
      <c r="M549" t="s">
        <v>224</v>
      </c>
    </row>
    <row r="550" spans="1:13">
      <c r="A550" t="s">
        <v>223</v>
      </c>
      <c r="B550" t="s">
        <v>132</v>
      </c>
      <c r="C550" t="s">
        <v>227</v>
      </c>
      <c r="D550" t="s">
        <v>79</v>
      </c>
      <c r="E550" t="s">
        <v>71</v>
      </c>
      <c r="F550" t="s">
        <v>31</v>
      </c>
      <c r="G550">
        <f>INDEX(Question_Bank!$J$3:$J$14,MATCH(D550,Question_Bank!$A$3:$A$14,0))</f>
        <v>0</v>
      </c>
      <c r="H550">
        <f>IF(F550=G550,1,0)</f>
        <v>0</v>
      </c>
      <c r="I550">
        <f>H550*INDEX(Question_Bank!$M$3:$M$14,MATCH(D550,Question_Bank!$A$3:$A$14,0))</f>
        <v>0</v>
      </c>
      <c r="J550">
        <f>SUMIFS($I$3:$I$566,$A$3:$A$566,A550)</f>
        <v>0</v>
      </c>
      <c r="K550" s="5">
        <f>J550/SUM(Question_Bank!$M$3:$M$14)</f>
        <v>0</v>
      </c>
      <c r="L550" s="5">
        <f>SUMIFS($I$3:$I$566,$A$3:$A$566,A550,$E$3:$E$566,E550)/SUMIFS(Question_Bank!$M$3:$M$14,Question_Bank!$B$3:$B$14,E550)</f>
        <v>0</v>
      </c>
      <c r="M550" t="s">
        <v>224</v>
      </c>
    </row>
    <row r="551" spans="1:13">
      <c r="A551" t="s">
        <v>223</v>
      </c>
      <c r="B551" t="s">
        <v>132</v>
      </c>
      <c r="C551" t="s">
        <v>227</v>
      </c>
      <c r="D551" t="s">
        <v>87</v>
      </c>
      <c r="E551" t="s">
        <v>71</v>
      </c>
      <c r="F551" t="s">
        <v>20</v>
      </c>
      <c r="G551">
        <f>INDEX(Question_Bank!$J$3:$J$14,MATCH(D551,Question_Bank!$A$3:$A$14,0))</f>
        <v>0</v>
      </c>
      <c r="H551">
        <f>IF(F551=G551,1,0)</f>
        <v>0</v>
      </c>
      <c r="I551">
        <f>H551*INDEX(Question_Bank!$M$3:$M$14,MATCH(D551,Question_Bank!$A$3:$A$14,0))</f>
        <v>0</v>
      </c>
      <c r="J551">
        <f>SUMIFS($I$3:$I$566,$A$3:$A$566,A551)</f>
        <v>0</v>
      </c>
      <c r="K551" s="5">
        <f>J551/SUM(Question_Bank!$M$3:$M$14)</f>
        <v>0</v>
      </c>
      <c r="L551" s="5">
        <f>SUMIFS($I$3:$I$566,$A$3:$A$566,A551,$E$3:$E$566,E551)/SUMIFS(Question_Bank!$M$3:$M$14,Question_Bank!$B$3:$B$14,E551)</f>
        <v>0</v>
      </c>
      <c r="M551" t="s">
        <v>224</v>
      </c>
    </row>
    <row r="552" spans="1:13">
      <c r="A552" t="s">
        <v>223</v>
      </c>
      <c r="B552" t="s">
        <v>132</v>
      </c>
      <c r="C552" t="s">
        <v>227</v>
      </c>
      <c r="D552" t="s">
        <v>95</v>
      </c>
      <c r="E552" t="s">
        <v>96</v>
      </c>
      <c r="F552" t="s">
        <v>34</v>
      </c>
      <c r="G552">
        <f>INDEX(Question_Bank!$J$3:$J$14,MATCH(D552,Question_Bank!$A$3:$A$14,0))</f>
        <v>0</v>
      </c>
      <c r="H552">
        <f>IF(F552=G552,1,0)</f>
        <v>0</v>
      </c>
      <c r="I552">
        <f>H552*INDEX(Question_Bank!$M$3:$M$14,MATCH(D552,Question_Bank!$A$3:$A$14,0))</f>
        <v>0</v>
      </c>
      <c r="J552">
        <f>SUMIFS($I$3:$I$566,$A$3:$A$566,A552)</f>
        <v>0</v>
      </c>
      <c r="K552" s="5">
        <f>J552/SUM(Question_Bank!$M$3:$M$14)</f>
        <v>0</v>
      </c>
      <c r="L552" s="5">
        <f>SUMIFS($I$3:$I$566,$A$3:$A$566,A552,$E$3:$E$566,E552)/SUMIFS(Question_Bank!$M$3:$M$14,Question_Bank!$B$3:$B$14,E552)</f>
        <v>0</v>
      </c>
      <c r="M552" t="s">
        <v>224</v>
      </c>
    </row>
    <row r="553" spans="1:13">
      <c r="A553" t="s">
        <v>223</v>
      </c>
      <c r="B553" t="s">
        <v>132</v>
      </c>
      <c r="C553" t="s">
        <v>227</v>
      </c>
      <c r="D553" t="s">
        <v>104</v>
      </c>
      <c r="E553" t="s">
        <v>96</v>
      </c>
      <c r="F553" t="s">
        <v>20</v>
      </c>
      <c r="G553">
        <f>INDEX(Question_Bank!$J$3:$J$14,MATCH(D553,Question_Bank!$A$3:$A$14,0))</f>
        <v>0</v>
      </c>
      <c r="H553">
        <f>IF(F553=G553,1,0)</f>
        <v>0</v>
      </c>
      <c r="I553">
        <f>H553*INDEX(Question_Bank!$M$3:$M$14,MATCH(D553,Question_Bank!$A$3:$A$14,0))</f>
        <v>0</v>
      </c>
      <c r="J553">
        <f>SUMIFS($I$3:$I$566,$A$3:$A$566,A553)</f>
        <v>0</v>
      </c>
      <c r="K553" s="5">
        <f>J553/SUM(Question_Bank!$M$3:$M$14)</f>
        <v>0</v>
      </c>
      <c r="L553" s="5">
        <f>SUMIFS($I$3:$I$566,$A$3:$A$566,A553,$E$3:$E$566,E553)/SUMIFS(Question_Bank!$M$3:$M$14,Question_Bank!$B$3:$B$14,E553)</f>
        <v>0</v>
      </c>
      <c r="M553" t="s">
        <v>224</v>
      </c>
    </row>
    <row r="554" spans="1:13">
      <c r="A554" t="s">
        <v>223</v>
      </c>
      <c r="B554" t="s">
        <v>132</v>
      </c>
      <c r="C554" t="s">
        <v>227</v>
      </c>
      <c r="D554" t="s">
        <v>112</v>
      </c>
      <c r="E554" t="s">
        <v>96</v>
      </c>
      <c r="F554" t="s">
        <v>31</v>
      </c>
      <c r="G554">
        <f>INDEX(Question_Bank!$J$3:$J$14,MATCH(D554,Question_Bank!$A$3:$A$14,0))</f>
        <v>0</v>
      </c>
      <c r="H554">
        <f>IF(F554=G554,1,0)</f>
        <v>0</v>
      </c>
      <c r="I554">
        <f>H554*INDEX(Question_Bank!$M$3:$M$14,MATCH(D554,Question_Bank!$A$3:$A$14,0))</f>
        <v>0</v>
      </c>
      <c r="J554">
        <f>SUMIFS($I$3:$I$566,$A$3:$A$566,A554)</f>
        <v>0</v>
      </c>
      <c r="K554" s="5">
        <f>J554/SUM(Question_Bank!$M$3:$M$14)</f>
        <v>0</v>
      </c>
      <c r="L554" s="5">
        <f>SUMIFS($I$3:$I$566,$A$3:$A$566,A554,$E$3:$E$566,E554)/SUMIFS(Question_Bank!$M$3:$M$14,Question_Bank!$B$3:$B$14,E554)</f>
        <v>0</v>
      </c>
      <c r="M554" t="s">
        <v>224</v>
      </c>
    </row>
    <row r="555" spans="1:13">
      <c r="A555" t="s">
        <v>225</v>
      </c>
      <c r="B555" t="s">
        <v>132</v>
      </c>
      <c r="C555" t="s">
        <v>227</v>
      </c>
      <c r="D555" t="s">
        <v>14</v>
      </c>
      <c r="E555" t="s">
        <v>15</v>
      </c>
      <c r="F555" t="s">
        <v>20</v>
      </c>
      <c r="G555">
        <f>INDEX(Question_Bank!$J$3:$J$14,MATCH(D555,Question_Bank!$A$3:$A$14,0))</f>
        <v>0</v>
      </c>
      <c r="H555">
        <f>IF(F555=G555,1,0)</f>
        <v>0</v>
      </c>
      <c r="I555">
        <f>H555*INDEX(Question_Bank!$M$3:$M$14,MATCH(D555,Question_Bank!$A$3:$A$14,0))</f>
        <v>0</v>
      </c>
      <c r="J555">
        <f>SUMIFS($I$3:$I$566,$A$3:$A$566,A555)</f>
        <v>0</v>
      </c>
      <c r="K555" s="5">
        <f>J555/SUM(Question_Bank!$M$3:$M$14)</f>
        <v>0</v>
      </c>
      <c r="L555" s="5">
        <f>SUMIFS($I$3:$I$566,$A$3:$A$566,A555,$E$3:$E$566,E555)/SUMIFS(Question_Bank!$M$3:$M$14,Question_Bank!$B$3:$B$14,E555)</f>
        <v>0</v>
      </c>
      <c r="M555" t="s">
        <v>226</v>
      </c>
    </row>
    <row r="556" spans="1:13">
      <c r="A556" t="s">
        <v>225</v>
      </c>
      <c r="B556" t="s">
        <v>132</v>
      </c>
      <c r="C556" t="s">
        <v>227</v>
      </c>
      <c r="D556" t="s">
        <v>26</v>
      </c>
      <c r="E556" t="s">
        <v>15</v>
      </c>
      <c r="F556" t="s">
        <v>20</v>
      </c>
      <c r="G556">
        <f>INDEX(Question_Bank!$J$3:$J$14,MATCH(D556,Question_Bank!$A$3:$A$14,0))</f>
        <v>0</v>
      </c>
      <c r="H556">
        <f>IF(F556=G556,1,0)</f>
        <v>0</v>
      </c>
      <c r="I556">
        <f>H556*INDEX(Question_Bank!$M$3:$M$14,MATCH(D556,Question_Bank!$A$3:$A$14,0))</f>
        <v>0</v>
      </c>
      <c r="J556">
        <f>SUMIFS($I$3:$I$566,$A$3:$A$566,A556)</f>
        <v>0</v>
      </c>
      <c r="K556" s="5">
        <f>J556/SUM(Question_Bank!$M$3:$M$14)</f>
        <v>0</v>
      </c>
      <c r="L556" s="5">
        <f>SUMIFS($I$3:$I$566,$A$3:$A$566,A556,$E$3:$E$566,E556)/SUMIFS(Question_Bank!$M$3:$M$14,Question_Bank!$B$3:$B$14,E556)</f>
        <v>0</v>
      </c>
      <c r="M556" t="s">
        <v>226</v>
      </c>
    </row>
    <row r="557" spans="1:13">
      <c r="A557" t="s">
        <v>225</v>
      </c>
      <c r="B557" t="s">
        <v>132</v>
      </c>
      <c r="C557" t="s">
        <v>227</v>
      </c>
      <c r="D557" t="s">
        <v>37</v>
      </c>
      <c r="E557" t="s">
        <v>15</v>
      </c>
      <c r="F557" t="s">
        <v>23</v>
      </c>
      <c r="G557">
        <f>INDEX(Question_Bank!$J$3:$J$14,MATCH(D557,Question_Bank!$A$3:$A$14,0))</f>
        <v>0</v>
      </c>
      <c r="H557">
        <f>IF(F557=G557,1,0)</f>
        <v>0</v>
      </c>
      <c r="I557">
        <f>H557*INDEX(Question_Bank!$M$3:$M$14,MATCH(D557,Question_Bank!$A$3:$A$14,0))</f>
        <v>0</v>
      </c>
      <c r="J557">
        <f>SUMIFS($I$3:$I$566,$A$3:$A$566,A557)</f>
        <v>0</v>
      </c>
      <c r="K557" s="5">
        <f>J557/SUM(Question_Bank!$M$3:$M$14)</f>
        <v>0</v>
      </c>
      <c r="L557" s="5">
        <f>SUMIFS($I$3:$I$566,$A$3:$A$566,A557,$E$3:$E$566,E557)/SUMIFS(Question_Bank!$M$3:$M$14,Question_Bank!$B$3:$B$14,E557)</f>
        <v>0</v>
      </c>
      <c r="M557" t="s">
        <v>226</v>
      </c>
    </row>
    <row r="558" spans="1:13">
      <c r="A558" t="s">
        <v>225</v>
      </c>
      <c r="B558" t="s">
        <v>132</v>
      </c>
      <c r="C558" t="s">
        <v>227</v>
      </c>
      <c r="D558" t="s">
        <v>45</v>
      </c>
      <c r="E558" t="s">
        <v>46</v>
      </c>
      <c r="F558" t="s">
        <v>31</v>
      </c>
      <c r="G558">
        <f>INDEX(Question_Bank!$J$3:$J$14,MATCH(D558,Question_Bank!$A$3:$A$14,0))</f>
        <v>0</v>
      </c>
      <c r="H558">
        <f>IF(F558=G558,1,0)</f>
        <v>0</v>
      </c>
      <c r="I558">
        <f>H558*INDEX(Question_Bank!$M$3:$M$14,MATCH(D558,Question_Bank!$A$3:$A$14,0))</f>
        <v>0</v>
      </c>
      <c r="J558">
        <f>SUMIFS($I$3:$I$566,$A$3:$A$566,A558)</f>
        <v>0</v>
      </c>
      <c r="K558" s="5">
        <f>J558/SUM(Question_Bank!$M$3:$M$14)</f>
        <v>0</v>
      </c>
      <c r="L558" s="5">
        <f>SUMIFS($I$3:$I$566,$A$3:$A$566,A558,$E$3:$E$566,E558)/SUMIFS(Question_Bank!$M$3:$M$14,Question_Bank!$B$3:$B$14,E558)</f>
        <v>0</v>
      </c>
      <c r="M558" t="s">
        <v>226</v>
      </c>
    </row>
    <row r="559" spans="1:13">
      <c r="A559" t="s">
        <v>225</v>
      </c>
      <c r="B559" t="s">
        <v>132</v>
      </c>
      <c r="C559" t="s">
        <v>227</v>
      </c>
      <c r="D559" t="s">
        <v>54</v>
      </c>
      <c r="E559" t="s">
        <v>46</v>
      </c>
      <c r="F559" t="s">
        <v>20</v>
      </c>
      <c r="G559">
        <f>INDEX(Question_Bank!$J$3:$J$14,MATCH(D559,Question_Bank!$A$3:$A$14,0))</f>
        <v>0</v>
      </c>
      <c r="H559">
        <f>IF(F559=G559,1,0)</f>
        <v>0</v>
      </c>
      <c r="I559">
        <f>H559*INDEX(Question_Bank!$M$3:$M$14,MATCH(D559,Question_Bank!$A$3:$A$14,0))</f>
        <v>0</v>
      </c>
      <c r="J559">
        <f>SUMIFS($I$3:$I$566,$A$3:$A$566,A559)</f>
        <v>0</v>
      </c>
      <c r="K559" s="5">
        <f>J559/SUM(Question_Bank!$M$3:$M$14)</f>
        <v>0</v>
      </c>
      <c r="L559" s="5">
        <f>SUMIFS($I$3:$I$566,$A$3:$A$566,A559,$E$3:$E$566,E559)/SUMIFS(Question_Bank!$M$3:$M$14,Question_Bank!$B$3:$B$14,E559)</f>
        <v>0</v>
      </c>
      <c r="M559" t="s">
        <v>226</v>
      </c>
    </row>
    <row r="560" spans="1:13">
      <c r="A560" t="s">
        <v>225</v>
      </c>
      <c r="B560" t="s">
        <v>132</v>
      </c>
      <c r="C560" t="s">
        <v>227</v>
      </c>
      <c r="D560" t="s">
        <v>62</v>
      </c>
      <c r="E560" t="s">
        <v>46</v>
      </c>
      <c r="F560" t="s">
        <v>31</v>
      </c>
      <c r="G560">
        <f>INDEX(Question_Bank!$J$3:$J$14,MATCH(D560,Question_Bank!$A$3:$A$14,0))</f>
        <v>0</v>
      </c>
      <c r="H560">
        <f>IF(F560=G560,1,0)</f>
        <v>0</v>
      </c>
      <c r="I560">
        <f>H560*INDEX(Question_Bank!$M$3:$M$14,MATCH(D560,Question_Bank!$A$3:$A$14,0))</f>
        <v>0</v>
      </c>
      <c r="J560">
        <f>SUMIFS($I$3:$I$566,$A$3:$A$566,A560)</f>
        <v>0</v>
      </c>
      <c r="K560" s="5">
        <f>J560/SUM(Question_Bank!$M$3:$M$14)</f>
        <v>0</v>
      </c>
      <c r="L560" s="5">
        <f>SUMIFS($I$3:$I$566,$A$3:$A$566,A560,$E$3:$E$566,E560)/SUMIFS(Question_Bank!$M$3:$M$14,Question_Bank!$B$3:$B$14,E560)</f>
        <v>0</v>
      </c>
      <c r="M560" t="s">
        <v>226</v>
      </c>
    </row>
    <row r="561" spans="1:13">
      <c r="A561" t="s">
        <v>225</v>
      </c>
      <c r="B561" t="s">
        <v>132</v>
      </c>
      <c r="C561" t="s">
        <v>227</v>
      </c>
      <c r="D561" t="s">
        <v>70</v>
      </c>
      <c r="E561" t="s">
        <v>71</v>
      </c>
      <c r="F561" t="s">
        <v>23</v>
      </c>
      <c r="G561">
        <f>INDEX(Question_Bank!$J$3:$J$14,MATCH(D561,Question_Bank!$A$3:$A$14,0))</f>
        <v>0</v>
      </c>
      <c r="H561">
        <f>IF(F561=G561,1,0)</f>
        <v>0</v>
      </c>
      <c r="I561">
        <f>H561*INDEX(Question_Bank!$M$3:$M$14,MATCH(D561,Question_Bank!$A$3:$A$14,0))</f>
        <v>0</v>
      </c>
      <c r="J561">
        <f>SUMIFS($I$3:$I$566,$A$3:$A$566,A561)</f>
        <v>0</v>
      </c>
      <c r="K561" s="5">
        <f>J561/SUM(Question_Bank!$M$3:$M$14)</f>
        <v>0</v>
      </c>
      <c r="L561" s="5">
        <f>SUMIFS($I$3:$I$566,$A$3:$A$566,A561,$E$3:$E$566,E561)/SUMIFS(Question_Bank!$M$3:$M$14,Question_Bank!$B$3:$B$14,E561)</f>
        <v>0</v>
      </c>
      <c r="M561" t="s">
        <v>226</v>
      </c>
    </row>
    <row r="562" spans="1:13">
      <c r="A562" t="s">
        <v>225</v>
      </c>
      <c r="B562" t="s">
        <v>132</v>
      </c>
      <c r="C562" t="s">
        <v>227</v>
      </c>
      <c r="D562" t="s">
        <v>79</v>
      </c>
      <c r="E562" t="s">
        <v>71</v>
      </c>
      <c r="F562" t="s">
        <v>23</v>
      </c>
      <c r="G562">
        <f>INDEX(Question_Bank!$J$3:$J$14,MATCH(D562,Question_Bank!$A$3:$A$14,0))</f>
        <v>0</v>
      </c>
      <c r="H562">
        <f>IF(F562=G562,1,0)</f>
        <v>0</v>
      </c>
      <c r="I562">
        <f>H562*INDEX(Question_Bank!$M$3:$M$14,MATCH(D562,Question_Bank!$A$3:$A$14,0))</f>
        <v>0</v>
      </c>
      <c r="J562">
        <f>SUMIFS($I$3:$I$566,$A$3:$A$566,A562)</f>
        <v>0</v>
      </c>
      <c r="K562" s="5">
        <f>J562/SUM(Question_Bank!$M$3:$M$14)</f>
        <v>0</v>
      </c>
      <c r="L562" s="5">
        <f>SUMIFS($I$3:$I$566,$A$3:$A$566,A562,$E$3:$E$566,E562)/SUMIFS(Question_Bank!$M$3:$M$14,Question_Bank!$B$3:$B$14,E562)</f>
        <v>0</v>
      </c>
      <c r="M562" t="s">
        <v>226</v>
      </c>
    </row>
    <row r="563" spans="1:13">
      <c r="A563" t="s">
        <v>225</v>
      </c>
      <c r="B563" t="s">
        <v>132</v>
      </c>
      <c r="C563" t="s">
        <v>227</v>
      </c>
      <c r="D563" t="s">
        <v>87</v>
      </c>
      <c r="E563" t="s">
        <v>71</v>
      </c>
      <c r="F563" t="s">
        <v>20</v>
      </c>
      <c r="G563">
        <f>INDEX(Question_Bank!$J$3:$J$14,MATCH(D563,Question_Bank!$A$3:$A$14,0))</f>
        <v>0</v>
      </c>
      <c r="H563">
        <f>IF(F563=G563,1,0)</f>
        <v>0</v>
      </c>
      <c r="I563">
        <f>H563*INDEX(Question_Bank!$M$3:$M$14,MATCH(D563,Question_Bank!$A$3:$A$14,0))</f>
        <v>0</v>
      </c>
      <c r="J563">
        <f>SUMIFS($I$3:$I$566,$A$3:$A$566,A563)</f>
        <v>0</v>
      </c>
      <c r="K563" s="5">
        <f>J563/SUM(Question_Bank!$M$3:$M$14)</f>
        <v>0</v>
      </c>
      <c r="L563" s="5">
        <f>SUMIFS($I$3:$I$566,$A$3:$A$566,A563,$E$3:$E$566,E563)/SUMIFS(Question_Bank!$M$3:$M$14,Question_Bank!$B$3:$B$14,E563)</f>
        <v>0</v>
      </c>
      <c r="M563" t="s">
        <v>226</v>
      </c>
    </row>
    <row r="564" spans="1:13">
      <c r="A564" t="s">
        <v>225</v>
      </c>
      <c r="B564" t="s">
        <v>132</v>
      </c>
      <c r="C564" t="s">
        <v>227</v>
      </c>
      <c r="D564" t="s">
        <v>95</v>
      </c>
      <c r="E564" t="s">
        <v>96</v>
      </c>
      <c r="F564" t="s">
        <v>23</v>
      </c>
      <c r="G564">
        <f>INDEX(Question_Bank!$J$3:$J$14,MATCH(D564,Question_Bank!$A$3:$A$14,0))</f>
        <v>0</v>
      </c>
      <c r="H564">
        <f>IF(F564=G564,1,0)</f>
        <v>0</v>
      </c>
      <c r="I564">
        <f>H564*INDEX(Question_Bank!$M$3:$M$14,MATCH(D564,Question_Bank!$A$3:$A$14,0))</f>
        <v>0</v>
      </c>
      <c r="J564">
        <f>SUMIFS($I$3:$I$566,$A$3:$A$566,A564)</f>
        <v>0</v>
      </c>
      <c r="K564" s="5">
        <f>J564/SUM(Question_Bank!$M$3:$M$14)</f>
        <v>0</v>
      </c>
      <c r="L564" s="5">
        <f>SUMIFS($I$3:$I$566,$A$3:$A$566,A564,$E$3:$E$566,E564)/SUMIFS(Question_Bank!$M$3:$M$14,Question_Bank!$B$3:$B$14,E564)</f>
        <v>0</v>
      </c>
      <c r="M564" t="s">
        <v>226</v>
      </c>
    </row>
    <row r="565" spans="1:13">
      <c r="A565" t="s">
        <v>225</v>
      </c>
      <c r="B565" t="s">
        <v>132</v>
      </c>
      <c r="C565" t="s">
        <v>227</v>
      </c>
      <c r="D565" t="s">
        <v>104</v>
      </c>
      <c r="E565" t="s">
        <v>96</v>
      </c>
      <c r="F565" t="s">
        <v>23</v>
      </c>
      <c r="G565">
        <f>INDEX(Question_Bank!$J$3:$J$14,MATCH(D565,Question_Bank!$A$3:$A$14,0))</f>
        <v>0</v>
      </c>
      <c r="H565">
        <f>IF(F565=G565,1,0)</f>
        <v>0</v>
      </c>
      <c r="I565">
        <f>H565*INDEX(Question_Bank!$M$3:$M$14,MATCH(D565,Question_Bank!$A$3:$A$14,0))</f>
        <v>0</v>
      </c>
      <c r="J565">
        <f>SUMIFS($I$3:$I$566,$A$3:$A$566,A565)</f>
        <v>0</v>
      </c>
      <c r="K565" s="5">
        <f>J565/SUM(Question_Bank!$M$3:$M$14)</f>
        <v>0</v>
      </c>
      <c r="L565" s="5">
        <f>SUMIFS($I$3:$I$566,$A$3:$A$566,A565,$E$3:$E$566,E565)/SUMIFS(Question_Bank!$M$3:$M$14,Question_Bank!$B$3:$B$14,E565)</f>
        <v>0</v>
      </c>
      <c r="M565" t="s">
        <v>226</v>
      </c>
    </row>
    <row r="566" spans="1:13">
      <c r="A566" t="s">
        <v>225</v>
      </c>
      <c r="B566" t="s">
        <v>132</v>
      </c>
      <c r="C566" t="s">
        <v>227</v>
      </c>
      <c r="D566" t="s">
        <v>112</v>
      </c>
      <c r="E566" t="s">
        <v>96</v>
      </c>
      <c r="F566" t="s">
        <v>20</v>
      </c>
      <c r="G566">
        <f>INDEX(Question_Bank!$J$3:$J$14,MATCH(D566,Question_Bank!$A$3:$A$14,0))</f>
        <v>0</v>
      </c>
      <c r="H566">
        <f>IF(F566=G566,1,0)</f>
        <v>0</v>
      </c>
      <c r="I566">
        <f>H566*INDEX(Question_Bank!$M$3:$M$14,MATCH(D566,Question_Bank!$A$3:$A$14,0))</f>
        <v>0</v>
      </c>
      <c r="J566">
        <f>SUMIFS($I$3:$I$566,$A$3:$A$566,A566)</f>
        <v>0</v>
      </c>
      <c r="K566" s="5">
        <f>J566/SUM(Question_Bank!$M$3:$M$14)</f>
        <v>0</v>
      </c>
      <c r="L566" s="5">
        <f>SUMIFS($I$3:$I$566,$A$3:$A$566,A566,$E$3:$E$566,E566)/SUMIFS(Question_Bank!$M$3:$M$14,Question_Bank!$B$3:$B$14,E566)</f>
        <v>0</v>
      </c>
      <c r="M566" t="s">
        <v>226</v>
      </c>
    </row>
  </sheetData>
  <autoFilter ref="A2:M566"/>
  <mergeCells count="1">
    <mergeCell ref="A1:M1"/>
  </mergeCells>
  <conditionalFormatting sqref="H3:H566">
    <cfRule type="cellIs" dxfId="0" priority="1" operator="equal">
      <formula>0</formula>
    </cfRule>
    <cfRule type="cellIs" dxfId="1" priority="2"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518"/>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5.7109375" customWidth="1"/>
    <col min="2" max="2" width="22.7109375" customWidth="1"/>
    <col min="3" max="3" width="16.7109375" customWidth="1"/>
    <col min="4" max="4" width="12.7109375" customWidth="1"/>
    <col min="5" max="5" width="24.7109375" customWidth="1"/>
    <col min="6" max="12" width="15.7109375" customWidth="1"/>
    <col min="13" max="13" width="22.7109375" customWidth="1"/>
  </cols>
  <sheetData>
    <row r="1" spans="1:13">
      <c r="A1" s="1" t="s">
        <v>0</v>
      </c>
      <c r="B1" s="1"/>
      <c r="C1" s="1"/>
      <c r="D1" s="1"/>
      <c r="E1" s="1"/>
      <c r="F1" s="1"/>
      <c r="G1" s="1"/>
      <c r="H1" s="1"/>
      <c r="I1" s="1"/>
      <c r="J1" s="1"/>
      <c r="K1" s="1"/>
      <c r="L1" s="1"/>
      <c r="M1" s="1"/>
    </row>
    <row r="2" spans="1:13">
      <c r="A2" s="4" t="s">
        <v>120</v>
      </c>
      <c r="B2" s="4" t="s">
        <v>121</v>
      </c>
      <c r="C2" s="4" t="s">
        <v>122</v>
      </c>
      <c r="D2" s="4" t="s">
        <v>1</v>
      </c>
      <c r="E2" s="4" t="s">
        <v>2</v>
      </c>
      <c r="F2" s="4" t="s">
        <v>123</v>
      </c>
      <c r="G2" s="4" t="s">
        <v>124</v>
      </c>
      <c r="H2" s="4" t="s">
        <v>125</v>
      </c>
      <c r="I2" s="4" t="s">
        <v>126</v>
      </c>
      <c r="J2" s="4" t="s">
        <v>127</v>
      </c>
      <c r="K2" s="4" t="s">
        <v>128</v>
      </c>
      <c r="L2" s="4" t="s">
        <v>129</v>
      </c>
      <c r="M2" s="4" t="s">
        <v>130</v>
      </c>
    </row>
    <row r="3" spans="1:13">
      <c r="A3" t="s">
        <v>262</v>
      </c>
      <c r="B3" t="s">
        <v>263</v>
      </c>
      <c r="C3" t="s">
        <v>133</v>
      </c>
      <c r="D3" t="s">
        <v>14</v>
      </c>
      <c r="E3" t="s">
        <v>15</v>
      </c>
      <c r="F3" t="s">
        <v>20</v>
      </c>
      <c r="G3">
        <f>INDEX(Question_Bank!$G$3:$G$14,MATCH(D3,Question_Bank!$A$3:$A$14,0))</f>
        <v>0</v>
      </c>
      <c r="H3">
        <f>IF(F3=G3,1,0)</f>
        <v>0</v>
      </c>
      <c r="I3">
        <f>H3*INDEX(Question_Bank!$M$3:$M$14,MATCH(D3,Question_Bank!$A$3:$A$14,0))</f>
        <v>0</v>
      </c>
      <c r="J3">
        <f>SUMIFS($I$3:$I$518,$A$3:$A$518,A3)</f>
        <v>0</v>
      </c>
      <c r="K3" s="5">
        <f>J3/SUM(Question_Bank!$M$3:$M$14)</f>
        <v>0</v>
      </c>
      <c r="L3" s="5">
        <f>SUMIFS($I$3:$I$518,$A$3:$A$518,A3,$E$3:$E$518,E3)/SUMIFS(Question_Bank!$M$3:$M$14,Question_Bank!$B$3:$B$14,E3)</f>
        <v>0</v>
      </c>
      <c r="M3" t="s">
        <v>264</v>
      </c>
    </row>
    <row r="4" spans="1:13">
      <c r="A4" t="s">
        <v>262</v>
      </c>
      <c r="B4" t="s">
        <v>263</v>
      </c>
      <c r="C4" t="s">
        <v>133</v>
      </c>
      <c r="D4" t="s">
        <v>26</v>
      </c>
      <c r="E4" t="s">
        <v>15</v>
      </c>
      <c r="F4" t="s">
        <v>20</v>
      </c>
      <c r="G4">
        <f>INDEX(Question_Bank!$G$3:$G$14,MATCH(D4,Question_Bank!$A$3:$A$14,0))</f>
        <v>0</v>
      </c>
      <c r="H4">
        <f>IF(F4=G4,1,0)</f>
        <v>0</v>
      </c>
      <c r="I4">
        <f>H4*INDEX(Question_Bank!$M$3:$M$14,MATCH(D4,Question_Bank!$A$3:$A$14,0))</f>
        <v>0</v>
      </c>
      <c r="J4">
        <f>SUMIFS($I$3:$I$518,$A$3:$A$518,A4)</f>
        <v>0</v>
      </c>
      <c r="K4" s="5">
        <f>J4/SUM(Question_Bank!$M$3:$M$14)</f>
        <v>0</v>
      </c>
      <c r="L4" s="5">
        <f>SUMIFS($I$3:$I$518,$A$3:$A$518,A4,$E$3:$E$518,E4)/SUMIFS(Question_Bank!$M$3:$M$14,Question_Bank!$B$3:$B$14,E4)</f>
        <v>0</v>
      </c>
      <c r="M4" t="s">
        <v>264</v>
      </c>
    </row>
    <row r="5" spans="1:13">
      <c r="A5" t="s">
        <v>262</v>
      </c>
      <c r="B5" t="s">
        <v>263</v>
      </c>
      <c r="C5" t="s">
        <v>133</v>
      </c>
      <c r="D5" t="s">
        <v>37</v>
      </c>
      <c r="E5" t="s">
        <v>15</v>
      </c>
      <c r="F5" t="s">
        <v>34</v>
      </c>
      <c r="G5">
        <f>INDEX(Question_Bank!$G$3:$G$14,MATCH(D5,Question_Bank!$A$3:$A$14,0))</f>
        <v>0</v>
      </c>
      <c r="H5">
        <f>IF(F5=G5,1,0)</f>
        <v>0</v>
      </c>
      <c r="I5">
        <f>H5*INDEX(Question_Bank!$M$3:$M$14,MATCH(D5,Question_Bank!$A$3:$A$14,0))</f>
        <v>0</v>
      </c>
      <c r="J5">
        <f>SUMIFS($I$3:$I$518,$A$3:$A$518,A5)</f>
        <v>0</v>
      </c>
      <c r="K5" s="5">
        <f>J5/SUM(Question_Bank!$M$3:$M$14)</f>
        <v>0</v>
      </c>
      <c r="L5" s="5">
        <f>SUMIFS($I$3:$I$518,$A$3:$A$518,A5,$E$3:$E$518,E5)/SUMIFS(Question_Bank!$M$3:$M$14,Question_Bank!$B$3:$B$14,E5)</f>
        <v>0</v>
      </c>
      <c r="M5" t="s">
        <v>264</v>
      </c>
    </row>
    <row r="6" spans="1:13">
      <c r="A6" t="s">
        <v>262</v>
      </c>
      <c r="B6" t="s">
        <v>263</v>
      </c>
      <c r="C6" t="s">
        <v>133</v>
      </c>
      <c r="D6" t="s">
        <v>45</v>
      </c>
      <c r="E6" t="s">
        <v>46</v>
      </c>
      <c r="F6" t="s">
        <v>23</v>
      </c>
      <c r="G6">
        <f>INDEX(Question_Bank!$G$3:$G$14,MATCH(D6,Question_Bank!$A$3:$A$14,0))</f>
        <v>0</v>
      </c>
      <c r="H6">
        <f>IF(F6=G6,1,0)</f>
        <v>0</v>
      </c>
      <c r="I6">
        <f>H6*INDEX(Question_Bank!$M$3:$M$14,MATCH(D6,Question_Bank!$A$3:$A$14,0))</f>
        <v>0</v>
      </c>
      <c r="J6">
        <f>SUMIFS($I$3:$I$518,$A$3:$A$518,A6)</f>
        <v>0</v>
      </c>
      <c r="K6" s="5">
        <f>J6/SUM(Question_Bank!$M$3:$M$14)</f>
        <v>0</v>
      </c>
      <c r="L6" s="5">
        <f>SUMIFS($I$3:$I$518,$A$3:$A$518,A6,$E$3:$E$518,E6)/SUMIFS(Question_Bank!$M$3:$M$14,Question_Bank!$B$3:$B$14,E6)</f>
        <v>0</v>
      </c>
      <c r="M6" t="s">
        <v>264</v>
      </c>
    </row>
    <row r="7" spans="1:13">
      <c r="A7" t="s">
        <v>262</v>
      </c>
      <c r="B7" t="s">
        <v>263</v>
      </c>
      <c r="C7" t="s">
        <v>133</v>
      </c>
      <c r="D7" t="s">
        <v>54</v>
      </c>
      <c r="E7" t="s">
        <v>46</v>
      </c>
      <c r="F7" t="s">
        <v>23</v>
      </c>
      <c r="G7">
        <f>INDEX(Question_Bank!$G$3:$G$14,MATCH(D7,Question_Bank!$A$3:$A$14,0))</f>
        <v>0</v>
      </c>
      <c r="H7">
        <f>IF(F7=G7,1,0)</f>
        <v>0</v>
      </c>
      <c r="I7">
        <f>H7*INDEX(Question_Bank!$M$3:$M$14,MATCH(D7,Question_Bank!$A$3:$A$14,0))</f>
        <v>0</v>
      </c>
      <c r="J7">
        <f>SUMIFS($I$3:$I$518,$A$3:$A$518,A7)</f>
        <v>0</v>
      </c>
      <c r="K7" s="5">
        <f>J7/SUM(Question_Bank!$M$3:$M$14)</f>
        <v>0</v>
      </c>
      <c r="L7" s="5">
        <f>SUMIFS($I$3:$I$518,$A$3:$A$518,A7,$E$3:$E$518,E7)/SUMIFS(Question_Bank!$M$3:$M$14,Question_Bank!$B$3:$B$14,E7)</f>
        <v>0</v>
      </c>
      <c r="M7" t="s">
        <v>264</v>
      </c>
    </row>
    <row r="8" spans="1:13">
      <c r="A8" t="s">
        <v>262</v>
      </c>
      <c r="B8" t="s">
        <v>263</v>
      </c>
      <c r="C8" t="s">
        <v>133</v>
      </c>
      <c r="D8" t="s">
        <v>62</v>
      </c>
      <c r="E8" t="s">
        <v>46</v>
      </c>
      <c r="F8" t="s">
        <v>34</v>
      </c>
      <c r="G8">
        <f>INDEX(Question_Bank!$G$3:$G$14,MATCH(D8,Question_Bank!$A$3:$A$14,0))</f>
        <v>0</v>
      </c>
      <c r="H8">
        <f>IF(F8=G8,1,0)</f>
        <v>0</v>
      </c>
      <c r="I8">
        <f>H8*INDEX(Question_Bank!$M$3:$M$14,MATCH(D8,Question_Bank!$A$3:$A$14,0))</f>
        <v>0</v>
      </c>
      <c r="J8">
        <f>SUMIFS($I$3:$I$518,$A$3:$A$518,A8)</f>
        <v>0</v>
      </c>
      <c r="K8" s="5">
        <f>J8/SUM(Question_Bank!$M$3:$M$14)</f>
        <v>0</v>
      </c>
      <c r="L8" s="5">
        <f>SUMIFS($I$3:$I$518,$A$3:$A$518,A8,$E$3:$E$518,E8)/SUMIFS(Question_Bank!$M$3:$M$14,Question_Bank!$B$3:$B$14,E8)</f>
        <v>0</v>
      </c>
      <c r="M8" t="s">
        <v>264</v>
      </c>
    </row>
    <row r="9" spans="1:13">
      <c r="A9" t="s">
        <v>262</v>
      </c>
      <c r="B9" t="s">
        <v>263</v>
      </c>
      <c r="C9" t="s">
        <v>133</v>
      </c>
      <c r="D9" t="s">
        <v>70</v>
      </c>
      <c r="E9" t="s">
        <v>71</v>
      </c>
      <c r="F9" t="s">
        <v>34</v>
      </c>
      <c r="G9">
        <f>INDEX(Question_Bank!$G$3:$G$14,MATCH(D9,Question_Bank!$A$3:$A$14,0))</f>
        <v>0</v>
      </c>
      <c r="H9">
        <f>IF(F9=G9,1,0)</f>
        <v>0</v>
      </c>
      <c r="I9">
        <f>H9*INDEX(Question_Bank!$M$3:$M$14,MATCH(D9,Question_Bank!$A$3:$A$14,0))</f>
        <v>0</v>
      </c>
      <c r="J9">
        <f>SUMIFS($I$3:$I$518,$A$3:$A$518,A9)</f>
        <v>0</v>
      </c>
      <c r="K9" s="5">
        <f>J9/SUM(Question_Bank!$M$3:$M$14)</f>
        <v>0</v>
      </c>
      <c r="L9" s="5">
        <f>SUMIFS($I$3:$I$518,$A$3:$A$518,A9,$E$3:$E$518,E9)/SUMIFS(Question_Bank!$M$3:$M$14,Question_Bank!$B$3:$B$14,E9)</f>
        <v>0</v>
      </c>
      <c r="M9" t="s">
        <v>264</v>
      </c>
    </row>
    <row r="10" spans="1:13">
      <c r="A10" t="s">
        <v>262</v>
      </c>
      <c r="B10" t="s">
        <v>263</v>
      </c>
      <c r="C10" t="s">
        <v>133</v>
      </c>
      <c r="D10" t="s">
        <v>79</v>
      </c>
      <c r="E10" t="s">
        <v>71</v>
      </c>
      <c r="F10" t="s">
        <v>23</v>
      </c>
      <c r="G10">
        <f>INDEX(Question_Bank!$G$3:$G$14,MATCH(D10,Question_Bank!$A$3:$A$14,0))</f>
        <v>0</v>
      </c>
      <c r="H10">
        <f>IF(F10=G10,1,0)</f>
        <v>0</v>
      </c>
      <c r="I10">
        <f>H10*INDEX(Question_Bank!$M$3:$M$14,MATCH(D10,Question_Bank!$A$3:$A$14,0))</f>
        <v>0</v>
      </c>
      <c r="J10">
        <f>SUMIFS($I$3:$I$518,$A$3:$A$518,A10)</f>
        <v>0</v>
      </c>
      <c r="K10" s="5">
        <f>J10/SUM(Question_Bank!$M$3:$M$14)</f>
        <v>0</v>
      </c>
      <c r="L10" s="5">
        <f>SUMIFS($I$3:$I$518,$A$3:$A$518,A10,$E$3:$E$518,E10)/SUMIFS(Question_Bank!$M$3:$M$14,Question_Bank!$B$3:$B$14,E10)</f>
        <v>0</v>
      </c>
      <c r="M10" t="s">
        <v>264</v>
      </c>
    </row>
    <row r="11" spans="1:13">
      <c r="A11" t="s">
        <v>262</v>
      </c>
      <c r="B11" t="s">
        <v>263</v>
      </c>
      <c r="C11" t="s">
        <v>133</v>
      </c>
      <c r="D11" t="s">
        <v>87</v>
      </c>
      <c r="E11" t="s">
        <v>71</v>
      </c>
      <c r="F11" t="s">
        <v>23</v>
      </c>
      <c r="G11">
        <f>INDEX(Question_Bank!$G$3:$G$14,MATCH(D11,Question_Bank!$A$3:$A$14,0))</f>
        <v>0</v>
      </c>
      <c r="H11">
        <f>IF(F11=G11,1,0)</f>
        <v>0</v>
      </c>
      <c r="I11">
        <f>H11*INDEX(Question_Bank!$M$3:$M$14,MATCH(D11,Question_Bank!$A$3:$A$14,0))</f>
        <v>0</v>
      </c>
      <c r="J11">
        <f>SUMIFS($I$3:$I$518,$A$3:$A$518,A11)</f>
        <v>0</v>
      </c>
      <c r="K11" s="5">
        <f>J11/SUM(Question_Bank!$M$3:$M$14)</f>
        <v>0</v>
      </c>
      <c r="L11" s="5">
        <f>SUMIFS($I$3:$I$518,$A$3:$A$518,A11,$E$3:$E$518,E11)/SUMIFS(Question_Bank!$M$3:$M$14,Question_Bank!$B$3:$B$14,E11)</f>
        <v>0</v>
      </c>
      <c r="M11" t="s">
        <v>264</v>
      </c>
    </row>
    <row r="12" spans="1:13">
      <c r="A12" t="s">
        <v>262</v>
      </c>
      <c r="B12" t="s">
        <v>263</v>
      </c>
      <c r="C12" t="s">
        <v>133</v>
      </c>
      <c r="D12" t="s">
        <v>95</v>
      </c>
      <c r="E12" t="s">
        <v>96</v>
      </c>
      <c r="F12" t="s">
        <v>34</v>
      </c>
      <c r="G12">
        <f>INDEX(Question_Bank!$G$3:$G$14,MATCH(D12,Question_Bank!$A$3:$A$14,0))</f>
        <v>0</v>
      </c>
      <c r="H12">
        <f>IF(F12=G12,1,0)</f>
        <v>0</v>
      </c>
      <c r="I12">
        <f>H12*INDEX(Question_Bank!$M$3:$M$14,MATCH(D12,Question_Bank!$A$3:$A$14,0))</f>
        <v>0</v>
      </c>
      <c r="J12">
        <f>SUMIFS($I$3:$I$518,$A$3:$A$518,A12)</f>
        <v>0</v>
      </c>
      <c r="K12" s="5">
        <f>J12/SUM(Question_Bank!$M$3:$M$14)</f>
        <v>0</v>
      </c>
      <c r="L12" s="5">
        <f>SUMIFS($I$3:$I$518,$A$3:$A$518,A12,$E$3:$E$518,E12)/SUMIFS(Question_Bank!$M$3:$M$14,Question_Bank!$B$3:$B$14,E12)</f>
        <v>0</v>
      </c>
      <c r="M12" t="s">
        <v>264</v>
      </c>
    </row>
    <row r="13" spans="1:13">
      <c r="A13" t="s">
        <v>262</v>
      </c>
      <c r="B13" t="s">
        <v>263</v>
      </c>
      <c r="C13" t="s">
        <v>133</v>
      </c>
      <c r="D13" t="s">
        <v>104</v>
      </c>
      <c r="E13" t="s">
        <v>96</v>
      </c>
      <c r="F13" t="s">
        <v>20</v>
      </c>
      <c r="G13">
        <f>INDEX(Question_Bank!$G$3:$G$14,MATCH(D13,Question_Bank!$A$3:$A$14,0))</f>
        <v>0</v>
      </c>
      <c r="H13">
        <f>IF(F13=G13,1,0)</f>
        <v>0</v>
      </c>
      <c r="I13">
        <f>H13*INDEX(Question_Bank!$M$3:$M$14,MATCH(D13,Question_Bank!$A$3:$A$14,0))</f>
        <v>0</v>
      </c>
      <c r="J13">
        <f>SUMIFS($I$3:$I$518,$A$3:$A$518,A13)</f>
        <v>0</v>
      </c>
      <c r="K13" s="5">
        <f>J13/SUM(Question_Bank!$M$3:$M$14)</f>
        <v>0</v>
      </c>
      <c r="L13" s="5">
        <f>SUMIFS($I$3:$I$518,$A$3:$A$518,A13,$E$3:$E$518,E13)/SUMIFS(Question_Bank!$M$3:$M$14,Question_Bank!$B$3:$B$14,E13)</f>
        <v>0</v>
      </c>
      <c r="M13" t="s">
        <v>264</v>
      </c>
    </row>
    <row r="14" spans="1:13">
      <c r="A14" t="s">
        <v>262</v>
      </c>
      <c r="B14" t="s">
        <v>263</v>
      </c>
      <c r="C14" t="s">
        <v>133</v>
      </c>
      <c r="D14" t="s">
        <v>112</v>
      </c>
      <c r="E14" t="s">
        <v>96</v>
      </c>
      <c r="F14" t="s">
        <v>20</v>
      </c>
      <c r="G14">
        <f>INDEX(Question_Bank!$G$3:$G$14,MATCH(D14,Question_Bank!$A$3:$A$14,0))</f>
        <v>0</v>
      </c>
      <c r="H14">
        <f>IF(F14=G14,1,0)</f>
        <v>0</v>
      </c>
      <c r="I14">
        <f>H14*INDEX(Question_Bank!$M$3:$M$14,MATCH(D14,Question_Bank!$A$3:$A$14,0))</f>
        <v>0</v>
      </c>
      <c r="J14">
        <f>SUMIFS($I$3:$I$518,$A$3:$A$518,A14)</f>
        <v>0</v>
      </c>
      <c r="K14" s="5">
        <f>J14/SUM(Question_Bank!$M$3:$M$14)</f>
        <v>0</v>
      </c>
      <c r="L14" s="5">
        <f>SUMIFS($I$3:$I$518,$A$3:$A$518,A14,$E$3:$E$518,E14)/SUMIFS(Question_Bank!$M$3:$M$14,Question_Bank!$B$3:$B$14,E14)</f>
        <v>0</v>
      </c>
      <c r="M14" t="s">
        <v>264</v>
      </c>
    </row>
    <row r="15" spans="1:13">
      <c r="A15" t="s">
        <v>265</v>
      </c>
      <c r="B15" t="s">
        <v>263</v>
      </c>
      <c r="C15" t="s">
        <v>133</v>
      </c>
      <c r="D15" t="s">
        <v>14</v>
      </c>
      <c r="E15" t="s">
        <v>15</v>
      </c>
      <c r="F15" t="s">
        <v>20</v>
      </c>
      <c r="G15">
        <f>INDEX(Question_Bank!$G$3:$G$14,MATCH(D15,Question_Bank!$A$3:$A$14,0))</f>
        <v>0</v>
      </c>
      <c r="H15">
        <f>IF(F15=G15,1,0)</f>
        <v>0</v>
      </c>
      <c r="I15">
        <f>H15*INDEX(Question_Bank!$M$3:$M$14,MATCH(D15,Question_Bank!$A$3:$A$14,0))</f>
        <v>0</v>
      </c>
      <c r="J15">
        <f>SUMIFS($I$3:$I$518,$A$3:$A$518,A15)</f>
        <v>0</v>
      </c>
      <c r="K15" s="5">
        <f>J15/SUM(Question_Bank!$M$3:$M$14)</f>
        <v>0</v>
      </c>
      <c r="L15" s="5">
        <f>SUMIFS($I$3:$I$518,$A$3:$A$518,A15,$E$3:$E$518,E15)/SUMIFS(Question_Bank!$M$3:$M$14,Question_Bank!$B$3:$B$14,E15)</f>
        <v>0</v>
      </c>
      <c r="M15" t="s">
        <v>266</v>
      </c>
    </row>
    <row r="16" spans="1:13">
      <c r="A16" t="s">
        <v>265</v>
      </c>
      <c r="B16" t="s">
        <v>263</v>
      </c>
      <c r="C16" t="s">
        <v>133</v>
      </c>
      <c r="D16" t="s">
        <v>26</v>
      </c>
      <c r="E16" t="s">
        <v>15</v>
      </c>
      <c r="F16" t="s">
        <v>34</v>
      </c>
      <c r="G16">
        <f>INDEX(Question_Bank!$G$3:$G$14,MATCH(D16,Question_Bank!$A$3:$A$14,0))</f>
        <v>0</v>
      </c>
      <c r="H16">
        <f>IF(F16=G16,1,0)</f>
        <v>0</v>
      </c>
      <c r="I16">
        <f>H16*INDEX(Question_Bank!$M$3:$M$14,MATCH(D16,Question_Bank!$A$3:$A$14,0))</f>
        <v>0</v>
      </c>
      <c r="J16">
        <f>SUMIFS($I$3:$I$518,$A$3:$A$518,A16)</f>
        <v>0</v>
      </c>
      <c r="K16" s="5">
        <f>J16/SUM(Question_Bank!$M$3:$M$14)</f>
        <v>0</v>
      </c>
      <c r="L16" s="5">
        <f>SUMIFS($I$3:$I$518,$A$3:$A$518,A16,$E$3:$E$518,E16)/SUMIFS(Question_Bank!$M$3:$M$14,Question_Bank!$B$3:$B$14,E16)</f>
        <v>0</v>
      </c>
      <c r="M16" t="s">
        <v>266</v>
      </c>
    </row>
    <row r="17" spans="1:13">
      <c r="A17" t="s">
        <v>265</v>
      </c>
      <c r="B17" t="s">
        <v>263</v>
      </c>
      <c r="C17" t="s">
        <v>133</v>
      </c>
      <c r="D17" t="s">
        <v>37</v>
      </c>
      <c r="E17" t="s">
        <v>15</v>
      </c>
      <c r="F17" t="s">
        <v>31</v>
      </c>
      <c r="G17">
        <f>INDEX(Question_Bank!$G$3:$G$14,MATCH(D17,Question_Bank!$A$3:$A$14,0))</f>
        <v>0</v>
      </c>
      <c r="H17">
        <f>IF(F17=G17,1,0)</f>
        <v>0</v>
      </c>
      <c r="I17">
        <f>H17*INDEX(Question_Bank!$M$3:$M$14,MATCH(D17,Question_Bank!$A$3:$A$14,0))</f>
        <v>0</v>
      </c>
      <c r="J17">
        <f>SUMIFS($I$3:$I$518,$A$3:$A$518,A17)</f>
        <v>0</v>
      </c>
      <c r="K17" s="5">
        <f>J17/SUM(Question_Bank!$M$3:$M$14)</f>
        <v>0</v>
      </c>
      <c r="L17" s="5">
        <f>SUMIFS($I$3:$I$518,$A$3:$A$518,A17,$E$3:$E$518,E17)/SUMIFS(Question_Bank!$M$3:$M$14,Question_Bank!$B$3:$B$14,E17)</f>
        <v>0</v>
      </c>
      <c r="M17" t="s">
        <v>266</v>
      </c>
    </row>
    <row r="18" spans="1:13">
      <c r="A18" t="s">
        <v>265</v>
      </c>
      <c r="B18" t="s">
        <v>263</v>
      </c>
      <c r="C18" t="s">
        <v>133</v>
      </c>
      <c r="D18" t="s">
        <v>45</v>
      </c>
      <c r="E18" t="s">
        <v>46</v>
      </c>
      <c r="F18" t="s">
        <v>23</v>
      </c>
      <c r="G18">
        <f>INDEX(Question_Bank!$G$3:$G$14,MATCH(D18,Question_Bank!$A$3:$A$14,0))</f>
        <v>0</v>
      </c>
      <c r="H18">
        <f>IF(F18=G18,1,0)</f>
        <v>0</v>
      </c>
      <c r="I18">
        <f>H18*INDEX(Question_Bank!$M$3:$M$14,MATCH(D18,Question_Bank!$A$3:$A$14,0))</f>
        <v>0</v>
      </c>
      <c r="J18">
        <f>SUMIFS($I$3:$I$518,$A$3:$A$518,A18)</f>
        <v>0</v>
      </c>
      <c r="K18" s="5">
        <f>J18/SUM(Question_Bank!$M$3:$M$14)</f>
        <v>0</v>
      </c>
      <c r="L18" s="5">
        <f>SUMIFS($I$3:$I$518,$A$3:$A$518,A18,$E$3:$E$518,E18)/SUMIFS(Question_Bank!$M$3:$M$14,Question_Bank!$B$3:$B$14,E18)</f>
        <v>0</v>
      </c>
      <c r="M18" t="s">
        <v>266</v>
      </c>
    </row>
    <row r="19" spans="1:13">
      <c r="A19" t="s">
        <v>265</v>
      </c>
      <c r="B19" t="s">
        <v>263</v>
      </c>
      <c r="C19" t="s">
        <v>133</v>
      </c>
      <c r="D19" t="s">
        <v>54</v>
      </c>
      <c r="E19" t="s">
        <v>46</v>
      </c>
      <c r="F19" t="s">
        <v>23</v>
      </c>
      <c r="G19">
        <f>INDEX(Question_Bank!$G$3:$G$14,MATCH(D19,Question_Bank!$A$3:$A$14,0))</f>
        <v>0</v>
      </c>
      <c r="H19">
        <f>IF(F19=G19,1,0)</f>
        <v>0</v>
      </c>
      <c r="I19">
        <f>H19*INDEX(Question_Bank!$M$3:$M$14,MATCH(D19,Question_Bank!$A$3:$A$14,0))</f>
        <v>0</v>
      </c>
      <c r="J19">
        <f>SUMIFS($I$3:$I$518,$A$3:$A$518,A19)</f>
        <v>0</v>
      </c>
      <c r="K19" s="5">
        <f>J19/SUM(Question_Bank!$M$3:$M$14)</f>
        <v>0</v>
      </c>
      <c r="L19" s="5">
        <f>SUMIFS($I$3:$I$518,$A$3:$A$518,A19,$E$3:$E$518,E19)/SUMIFS(Question_Bank!$M$3:$M$14,Question_Bank!$B$3:$B$14,E19)</f>
        <v>0</v>
      </c>
      <c r="M19" t="s">
        <v>266</v>
      </c>
    </row>
    <row r="20" spans="1:13">
      <c r="A20" t="s">
        <v>265</v>
      </c>
      <c r="B20" t="s">
        <v>263</v>
      </c>
      <c r="C20" t="s">
        <v>133</v>
      </c>
      <c r="D20" t="s">
        <v>62</v>
      </c>
      <c r="E20" t="s">
        <v>46</v>
      </c>
      <c r="F20" t="s">
        <v>31</v>
      </c>
      <c r="G20">
        <f>INDEX(Question_Bank!$G$3:$G$14,MATCH(D20,Question_Bank!$A$3:$A$14,0))</f>
        <v>0</v>
      </c>
      <c r="H20">
        <f>IF(F20=G20,1,0)</f>
        <v>0</v>
      </c>
      <c r="I20">
        <f>H20*INDEX(Question_Bank!$M$3:$M$14,MATCH(D20,Question_Bank!$A$3:$A$14,0))</f>
        <v>0</v>
      </c>
      <c r="J20">
        <f>SUMIFS($I$3:$I$518,$A$3:$A$518,A20)</f>
        <v>0</v>
      </c>
      <c r="K20" s="5">
        <f>J20/SUM(Question_Bank!$M$3:$M$14)</f>
        <v>0</v>
      </c>
      <c r="L20" s="5">
        <f>SUMIFS($I$3:$I$518,$A$3:$A$518,A20,$E$3:$E$518,E20)/SUMIFS(Question_Bank!$M$3:$M$14,Question_Bank!$B$3:$B$14,E20)</f>
        <v>0</v>
      </c>
      <c r="M20" t="s">
        <v>266</v>
      </c>
    </row>
    <row r="21" spans="1:13">
      <c r="A21" t="s">
        <v>265</v>
      </c>
      <c r="B21" t="s">
        <v>263</v>
      </c>
      <c r="C21" t="s">
        <v>133</v>
      </c>
      <c r="D21" t="s">
        <v>70</v>
      </c>
      <c r="E21" t="s">
        <v>71</v>
      </c>
      <c r="F21" t="s">
        <v>23</v>
      </c>
      <c r="G21">
        <f>INDEX(Question_Bank!$G$3:$G$14,MATCH(D21,Question_Bank!$A$3:$A$14,0))</f>
        <v>0</v>
      </c>
      <c r="H21">
        <f>IF(F21=G21,1,0)</f>
        <v>0</v>
      </c>
      <c r="I21">
        <f>H21*INDEX(Question_Bank!$M$3:$M$14,MATCH(D21,Question_Bank!$A$3:$A$14,0))</f>
        <v>0</v>
      </c>
      <c r="J21">
        <f>SUMIFS($I$3:$I$518,$A$3:$A$518,A21)</f>
        <v>0</v>
      </c>
      <c r="K21" s="5">
        <f>J21/SUM(Question_Bank!$M$3:$M$14)</f>
        <v>0</v>
      </c>
      <c r="L21" s="5">
        <f>SUMIFS($I$3:$I$518,$A$3:$A$518,A21,$E$3:$E$518,E21)/SUMIFS(Question_Bank!$M$3:$M$14,Question_Bank!$B$3:$B$14,E21)</f>
        <v>0</v>
      </c>
      <c r="M21" t="s">
        <v>266</v>
      </c>
    </row>
    <row r="22" spans="1:13">
      <c r="A22" t="s">
        <v>265</v>
      </c>
      <c r="B22" t="s">
        <v>263</v>
      </c>
      <c r="C22" t="s">
        <v>133</v>
      </c>
      <c r="D22" t="s">
        <v>79</v>
      </c>
      <c r="E22" t="s">
        <v>71</v>
      </c>
      <c r="F22" t="s">
        <v>23</v>
      </c>
      <c r="G22">
        <f>INDEX(Question_Bank!$G$3:$G$14,MATCH(D22,Question_Bank!$A$3:$A$14,0))</f>
        <v>0</v>
      </c>
      <c r="H22">
        <f>IF(F22=G22,1,0)</f>
        <v>0</v>
      </c>
      <c r="I22">
        <f>H22*INDEX(Question_Bank!$M$3:$M$14,MATCH(D22,Question_Bank!$A$3:$A$14,0))</f>
        <v>0</v>
      </c>
      <c r="J22">
        <f>SUMIFS($I$3:$I$518,$A$3:$A$518,A22)</f>
        <v>0</v>
      </c>
      <c r="K22" s="5">
        <f>J22/SUM(Question_Bank!$M$3:$M$14)</f>
        <v>0</v>
      </c>
      <c r="L22" s="5">
        <f>SUMIFS($I$3:$I$518,$A$3:$A$518,A22,$E$3:$E$518,E22)/SUMIFS(Question_Bank!$M$3:$M$14,Question_Bank!$B$3:$B$14,E22)</f>
        <v>0</v>
      </c>
      <c r="M22" t="s">
        <v>266</v>
      </c>
    </row>
    <row r="23" spans="1:13">
      <c r="A23" t="s">
        <v>265</v>
      </c>
      <c r="B23" t="s">
        <v>263</v>
      </c>
      <c r="C23" t="s">
        <v>133</v>
      </c>
      <c r="D23" t="s">
        <v>87</v>
      </c>
      <c r="E23" t="s">
        <v>71</v>
      </c>
      <c r="F23" t="s">
        <v>34</v>
      </c>
      <c r="G23">
        <f>INDEX(Question_Bank!$G$3:$G$14,MATCH(D23,Question_Bank!$A$3:$A$14,0))</f>
        <v>0</v>
      </c>
      <c r="H23">
        <f>IF(F23=G23,1,0)</f>
        <v>0</v>
      </c>
      <c r="I23">
        <f>H23*INDEX(Question_Bank!$M$3:$M$14,MATCH(D23,Question_Bank!$A$3:$A$14,0))</f>
        <v>0</v>
      </c>
      <c r="J23">
        <f>SUMIFS($I$3:$I$518,$A$3:$A$518,A23)</f>
        <v>0</v>
      </c>
      <c r="K23" s="5">
        <f>J23/SUM(Question_Bank!$M$3:$M$14)</f>
        <v>0</v>
      </c>
      <c r="L23" s="5">
        <f>SUMIFS($I$3:$I$518,$A$3:$A$518,A23,$E$3:$E$518,E23)/SUMIFS(Question_Bank!$M$3:$M$14,Question_Bank!$B$3:$B$14,E23)</f>
        <v>0</v>
      </c>
      <c r="M23" t="s">
        <v>266</v>
      </c>
    </row>
    <row r="24" spans="1:13">
      <c r="A24" t="s">
        <v>265</v>
      </c>
      <c r="B24" t="s">
        <v>263</v>
      </c>
      <c r="C24" t="s">
        <v>133</v>
      </c>
      <c r="D24" t="s">
        <v>95</v>
      </c>
      <c r="E24" t="s">
        <v>96</v>
      </c>
      <c r="F24" t="s">
        <v>31</v>
      </c>
      <c r="G24">
        <f>INDEX(Question_Bank!$G$3:$G$14,MATCH(D24,Question_Bank!$A$3:$A$14,0))</f>
        <v>0</v>
      </c>
      <c r="H24">
        <f>IF(F24=G24,1,0)</f>
        <v>0</v>
      </c>
      <c r="I24">
        <f>H24*INDEX(Question_Bank!$M$3:$M$14,MATCH(D24,Question_Bank!$A$3:$A$14,0))</f>
        <v>0</v>
      </c>
      <c r="J24">
        <f>SUMIFS($I$3:$I$518,$A$3:$A$518,A24)</f>
        <v>0</v>
      </c>
      <c r="K24" s="5">
        <f>J24/SUM(Question_Bank!$M$3:$M$14)</f>
        <v>0</v>
      </c>
      <c r="L24" s="5">
        <f>SUMIFS($I$3:$I$518,$A$3:$A$518,A24,$E$3:$E$518,E24)/SUMIFS(Question_Bank!$M$3:$M$14,Question_Bank!$B$3:$B$14,E24)</f>
        <v>0</v>
      </c>
      <c r="M24" t="s">
        <v>266</v>
      </c>
    </row>
    <row r="25" spans="1:13">
      <c r="A25" t="s">
        <v>265</v>
      </c>
      <c r="B25" t="s">
        <v>263</v>
      </c>
      <c r="C25" t="s">
        <v>133</v>
      </c>
      <c r="D25" t="s">
        <v>104</v>
      </c>
      <c r="E25" t="s">
        <v>96</v>
      </c>
      <c r="F25" t="s">
        <v>23</v>
      </c>
      <c r="G25">
        <f>INDEX(Question_Bank!$G$3:$G$14,MATCH(D25,Question_Bank!$A$3:$A$14,0))</f>
        <v>0</v>
      </c>
      <c r="H25">
        <f>IF(F25=G25,1,0)</f>
        <v>0</v>
      </c>
      <c r="I25">
        <f>H25*INDEX(Question_Bank!$M$3:$M$14,MATCH(D25,Question_Bank!$A$3:$A$14,0))</f>
        <v>0</v>
      </c>
      <c r="J25">
        <f>SUMIFS($I$3:$I$518,$A$3:$A$518,A25)</f>
        <v>0</v>
      </c>
      <c r="K25" s="5">
        <f>J25/SUM(Question_Bank!$M$3:$M$14)</f>
        <v>0</v>
      </c>
      <c r="L25" s="5">
        <f>SUMIFS($I$3:$I$518,$A$3:$A$518,A25,$E$3:$E$518,E25)/SUMIFS(Question_Bank!$M$3:$M$14,Question_Bank!$B$3:$B$14,E25)</f>
        <v>0</v>
      </c>
      <c r="M25" t="s">
        <v>266</v>
      </c>
    </row>
    <row r="26" spans="1:13">
      <c r="A26" t="s">
        <v>265</v>
      </c>
      <c r="B26" t="s">
        <v>263</v>
      </c>
      <c r="C26" t="s">
        <v>133</v>
      </c>
      <c r="D26" t="s">
        <v>112</v>
      </c>
      <c r="E26" t="s">
        <v>96</v>
      </c>
      <c r="F26" t="s">
        <v>20</v>
      </c>
      <c r="G26">
        <f>INDEX(Question_Bank!$G$3:$G$14,MATCH(D26,Question_Bank!$A$3:$A$14,0))</f>
        <v>0</v>
      </c>
      <c r="H26">
        <f>IF(F26=G26,1,0)</f>
        <v>0</v>
      </c>
      <c r="I26">
        <f>H26*INDEX(Question_Bank!$M$3:$M$14,MATCH(D26,Question_Bank!$A$3:$A$14,0))</f>
        <v>0</v>
      </c>
      <c r="J26">
        <f>SUMIFS($I$3:$I$518,$A$3:$A$518,A26)</f>
        <v>0</v>
      </c>
      <c r="K26" s="5">
        <f>J26/SUM(Question_Bank!$M$3:$M$14)</f>
        <v>0</v>
      </c>
      <c r="L26" s="5">
        <f>SUMIFS($I$3:$I$518,$A$3:$A$518,A26,$E$3:$E$518,E26)/SUMIFS(Question_Bank!$M$3:$M$14,Question_Bank!$B$3:$B$14,E26)</f>
        <v>0</v>
      </c>
      <c r="M26" t="s">
        <v>266</v>
      </c>
    </row>
    <row r="27" spans="1:13">
      <c r="A27" t="s">
        <v>267</v>
      </c>
      <c r="B27" t="s">
        <v>263</v>
      </c>
      <c r="C27" t="s">
        <v>133</v>
      </c>
      <c r="D27" t="s">
        <v>14</v>
      </c>
      <c r="E27" t="s">
        <v>15</v>
      </c>
      <c r="F27" t="s">
        <v>23</v>
      </c>
      <c r="G27">
        <f>INDEX(Question_Bank!$G$3:$G$14,MATCH(D27,Question_Bank!$A$3:$A$14,0))</f>
        <v>0</v>
      </c>
      <c r="H27">
        <f>IF(F27=G27,1,0)</f>
        <v>0</v>
      </c>
      <c r="I27">
        <f>H27*INDEX(Question_Bank!$M$3:$M$14,MATCH(D27,Question_Bank!$A$3:$A$14,0))</f>
        <v>0</v>
      </c>
      <c r="J27">
        <f>SUMIFS($I$3:$I$518,$A$3:$A$518,A27)</f>
        <v>0</v>
      </c>
      <c r="K27" s="5">
        <f>J27/SUM(Question_Bank!$M$3:$M$14)</f>
        <v>0</v>
      </c>
      <c r="L27" s="5">
        <f>SUMIFS($I$3:$I$518,$A$3:$A$518,A27,$E$3:$E$518,E27)/SUMIFS(Question_Bank!$M$3:$M$14,Question_Bank!$B$3:$B$14,E27)</f>
        <v>0</v>
      </c>
      <c r="M27" t="s">
        <v>268</v>
      </c>
    </row>
    <row r="28" spans="1:13">
      <c r="A28" t="s">
        <v>267</v>
      </c>
      <c r="B28" t="s">
        <v>263</v>
      </c>
      <c r="C28" t="s">
        <v>133</v>
      </c>
      <c r="D28" t="s">
        <v>26</v>
      </c>
      <c r="E28" t="s">
        <v>15</v>
      </c>
      <c r="F28" t="s">
        <v>31</v>
      </c>
      <c r="G28">
        <f>INDEX(Question_Bank!$G$3:$G$14,MATCH(D28,Question_Bank!$A$3:$A$14,0))</f>
        <v>0</v>
      </c>
      <c r="H28">
        <f>IF(F28=G28,1,0)</f>
        <v>0</v>
      </c>
      <c r="I28">
        <f>H28*INDEX(Question_Bank!$M$3:$M$14,MATCH(D28,Question_Bank!$A$3:$A$14,0))</f>
        <v>0</v>
      </c>
      <c r="J28">
        <f>SUMIFS($I$3:$I$518,$A$3:$A$518,A28)</f>
        <v>0</v>
      </c>
      <c r="K28" s="5">
        <f>J28/SUM(Question_Bank!$M$3:$M$14)</f>
        <v>0</v>
      </c>
      <c r="L28" s="5">
        <f>SUMIFS($I$3:$I$518,$A$3:$A$518,A28,$E$3:$E$518,E28)/SUMIFS(Question_Bank!$M$3:$M$14,Question_Bank!$B$3:$B$14,E28)</f>
        <v>0</v>
      </c>
      <c r="M28" t="s">
        <v>268</v>
      </c>
    </row>
    <row r="29" spans="1:13">
      <c r="A29" t="s">
        <v>267</v>
      </c>
      <c r="B29" t="s">
        <v>263</v>
      </c>
      <c r="C29" t="s">
        <v>133</v>
      </c>
      <c r="D29" t="s">
        <v>37</v>
      </c>
      <c r="E29" t="s">
        <v>15</v>
      </c>
      <c r="F29" t="s">
        <v>34</v>
      </c>
      <c r="G29">
        <f>INDEX(Question_Bank!$G$3:$G$14,MATCH(D29,Question_Bank!$A$3:$A$14,0))</f>
        <v>0</v>
      </c>
      <c r="H29">
        <f>IF(F29=G29,1,0)</f>
        <v>0</v>
      </c>
      <c r="I29">
        <f>H29*INDEX(Question_Bank!$M$3:$M$14,MATCH(D29,Question_Bank!$A$3:$A$14,0))</f>
        <v>0</v>
      </c>
      <c r="J29">
        <f>SUMIFS($I$3:$I$518,$A$3:$A$518,A29)</f>
        <v>0</v>
      </c>
      <c r="K29" s="5">
        <f>J29/SUM(Question_Bank!$M$3:$M$14)</f>
        <v>0</v>
      </c>
      <c r="L29" s="5">
        <f>SUMIFS($I$3:$I$518,$A$3:$A$518,A29,$E$3:$E$518,E29)/SUMIFS(Question_Bank!$M$3:$M$14,Question_Bank!$B$3:$B$14,E29)</f>
        <v>0</v>
      </c>
      <c r="M29" t="s">
        <v>268</v>
      </c>
    </row>
    <row r="30" spans="1:13">
      <c r="A30" t="s">
        <v>267</v>
      </c>
      <c r="B30" t="s">
        <v>263</v>
      </c>
      <c r="C30" t="s">
        <v>133</v>
      </c>
      <c r="D30" t="s">
        <v>45</v>
      </c>
      <c r="E30" t="s">
        <v>46</v>
      </c>
      <c r="F30" t="s">
        <v>23</v>
      </c>
      <c r="G30">
        <f>INDEX(Question_Bank!$G$3:$G$14,MATCH(D30,Question_Bank!$A$3:$A$14,0))</f>
        <v>0</v>
      </c>
      <c r="H30">
        <f>IF(F30=G30,1,0)</f>
        <v>0</v>
      </c>
      <c r="I30">
        <f>H30*INDEX(Question_Bank!$M$3:$M$14,MATCH(D30,Question_Bank!$A$3:$A$14,0))</f>
        <v>0</v>
      </c>
      <c r="J30">
        <f>SUMIFS($I$3:$I$518,$A$3:$A$518,A30)</f>
        <v>0</v>
      </c>
      <c r="K30" s="5">
        <f>J30/SUM(Question_Bank!$M$3:$M$14)</f>
        <v>0</v>
      </c>
      <c r="L30" s="5">
        <f>SUMIFS($I$3:$I$518,$A$3:$A$518,A30,$E$3:$E$518,E30)/SUMIFS(Question_Bank!$M$3:$M$14,Question_Bank!$B$3:$B$14,E30)</f>
        <v>0</v>
      </c>
      <c r="M30" t="s">
        <v>268</v>
      </c>
    </row>
    <row r="31" spans="1:13">
      <c r="A31" t="s">
        <v>267</v>
      </c>
      <c r="B31" t="s">
        <v>263</v>
      </c>
      <c r="C31" t="s">
        <v>133</v>
      </c>
      <c r="D31" t="s">
        <v>54</v>
      </c>
      <c r="E31" t="s">
        <v>46</v>
      </c>
      <c r="F31" t="s">
        <v>23</v>
      </c>
      <c r="G31">
        <f>INDEX(Question_Bank!$G$3:$G$14,MATCH(D31,Question_Bank!$A$3:$A$14,0))</f>
        <v>0</v>
      </c>
      <c r="H31">
        <f>IF(F31=G31,1,0)</f>
        <v>0</v>
      </c>
      <c r="I31">
        <f>H31*INDEX(Question_Bank!$M$3:$M$14,MATCH(D31,Question_Bank!$A$3:$A$14,0))</f>
        <v>0</v>
      </c>
      <c r="J31">
        <f>SUMIFS($I$3:$I$518,$A$3:$A$518,A31)</f>
        <v>0</v>
      </c>
      <c r="K31" s="5">
        <f>J31/SUM(Question_Bank!$M$3:$M$14)</f>
        <v>0</v>
      </c>
      <c r="L31" s="5">
        <f>SUMIFS($I$3:$I$518,$A$3:$A$518,A31,$E$3:$E$518,E31)/SUMIFS(Question_Bank!$M$3:$M$14,Question_Bank!$B$3:$B$14,E31)</f>
        <v>0</v>
      </c>
      <c r="M31" t="s">
        <v>268</v>
      </c>
    </row>
    <row r="32" spans="1:13">
      <c r="A32" t="s">
        <v>267</v>
      </c>
      <c r="B32" t="s">
        <v>263</v>
      </c>
      <c r="C32" t="s">
        <v>133</v>
      </c>
      <c r="D32" t="s">
        <v>62</v>
      </c>
      <c r="E32" t="s">
        <v>46</v>
      </c>
      <c r="F32" t="s">
        <v>20</v>
      </c>
      <c r="G32">
        <f>INDEX(Question_Bank!$G$3:$G$14,MATCH(D32,Question_Bank!$A$3:$A$14,0))</f>
        <v>0</v>
      </c>
      <c r="H32">
        <f>IF(F32=G32,1,0)</f>
        <v>0</v>
      </c>
      <c r="I32">
        <f>H32*INDEX(Question_Bank!$M$3:$M$14,MATCH(D32,Question_Bank!$A$3:$A$14,0))</f>
        <v>0</v>
      </c>
      <c r="J32">
        <f>SUMIFS($I$3:$I$518,$A$3:$A$518,A32)</f>
        <v>0</v>
      </c>
      <c r="K32" s="5">
        <f>J32/SUM(Question_Bank!$M$3:$M$14)</f>
        <v>0</v>
      </c>
      <c r="L32" s="5">
        <f>SUMIFS($I$3:$I$518,$A$3:$A$518,A32,$E$3:$E$518,E32)/SUMIFS(Question_Bank!$M$3:$M$14,Question_Bank!$B$3:$B$14,E32)</f>
        <v>0</v>
      </c>
      <c r="M32" t="s">
        <v>268</v>
      </c>
    </row>
    <row r="33" spans="1:13">
      <c r="A33" t="s">
        <v>267</v>
      </c>
      <c r="B33" t="s">
        <v>263</v>
      </c>
      <c r="C33" t="s">
        <v>133</v>
      </c>
      <c r="D33" t="s">
        <v>70</v>
      </c>
      <c r="E33" t="s">
        <v>71</v>
      </c>
      <c r="F33" t="s">
        <v>23</v>
      </c>
      <c r="G33">
        <f>INDEX(Question_Bank!$G$3:$G$14,MATCH(D33,Question_Bank!$A$3:$A$14,0))</f>
        <v>0</v>
      </c>
      <c r="H33">
        <f>IF(F33=G33,1,0)</f>
        <v>0</v>
      </c>
      <c r="I33">
        <f>H33*INDEX(Question_Bank!$M$3:$M$14,MATCH(D33,Question_Bank!$A$3:$A$14,0))</f>
        <v>0</v>
      </c>
      <c r="J33">
        <f>SUMIFS($I$3:$I$518,$A$3:$A$518,A33)</f>
        <v>0</v>
      </c>
      <c r="K33" s="5">
        <f>J33/SUM(Question_Bank!$M$3:$M$14)</f>
        <v>0</v>
      </c>
      <c r="L33" s="5">
        <f>SUMIFS($I$3:$I$518,$A$3:$A$518,A33,$E$3:$E$518,E33)/SUMIFS(Question_Bank!$M$3:$M$14,Question_Bank!$B$3:$B$14,E33)</f>
        <v>0</v>
      </c>
      <c r="M33" t="s">
        <v>268</v>
      </c>
    </row>
    <row r="34" spans="1:13">
      <c r="A34" t="s">
        <v>267</v>
      </c>
      <c r="B34" t="s">
        <v>263</v>
      </c>
      <c r="C34" t="s">
        <v>133</v>
      </c>
      <c r="D34" t="s">
        <v>79</v>
      </c>
      <c r="E34" t="s">
        <v>71</v>
      </c>
      <c r="F34" t="s">
        <v>23</v>
      </c>
      <c r="G34">
        <f>INDEX(Question_Bank!$G$3:$G$14,MATCH(D34,Question_Bank!$A$3:$A$14,0))</f>
        <v>0</v>
      </c>
      <c r="H34">
        <f>IF(F34=G34,1,0)</f>
        <v>0</v>
      </c>
      <c r="I34">
        <f>H34*INDEX(Question_Bank!$M$3:$M$14,MATCH(D34,Question_Bank!$A$3:$A$14,0))</f>
        <v>0</v>
      </c>
      <c r="J34">
        <f>SUMIFS($I$3:$I$518,$A$3:$A$518,A34)</f>
        <v>0</v>
      </c>
      <c r="K34" s="5">
        <f>J34/SUM(Question_Bank!$M$3:$M$14)</f>
        <v>0</v>
      </c>
      <c r="L34" s="5">
        <f>SUMIFS($I$3:$I$518,$A$3:$A$518,A34,$E$3:$E$518,E34)/SUMIFS(Question_Bank!$M$3:$M$14,Question_Bank!$B$3:$B$14,E34)</f>
        <v>0</v>
      </c>
      <c r="M34" t="s">
        <v>268</v>
      </c>
    </row>
    <row r="35" spans="1:13">
      <c r="A35" t="s">
        <v>267</v>
      </c>
      <c r="B35" t="s">
        <v>263</v>
      </c>
      <c r="C35" t="s">
        <v>133</v>
      </c>
      <c r="D35" t="s">
        <v>87</v>
      </c>
      <c r="E35" t="s">
        <v>71</v>
      </c>
      <c r="F35" t="s">
        <v>23</v>
      </c>
      <c r="G35">
        <f>INDEX(Question_Bank!$G$3:$G$14,MATCH(D35,Question_Bank!$A$3:$A$14,0))</f>
        <v>0</v>
      </c>
      <c r="H35">
        <f>IF(F35=G35,1,0)</f>
        <v>0</v>
      </c>
      <c r="I35">
        <f>H35*INDEX(Question_Bank!$M$3:$M$14,MATCH(D35,Question_Bank!$A$3:$A$14,0))</f>
        <v>0</v>
      </c>
      <c r="J35">
        <f>SUMIFS($I$3:$I$518,$A$3:$A$518,A35)</f>
        <v>0</v>
      </c>
      <c r="K35" s="5">
        <f>J35/SUM(Question_Bank!$M$3:$M$14)</f>
        <v>0</v>
      </c>
      <c r="L35" s="5">
        <f>SUMIFS($I$3:$I$518,$A$3:$A$518,A35,$E$3:$E$518,E35)/SUMIFS(Question_Bank!$M$3:$M$14,Question_Bank!$B$3:$B$14,E35)</f>
        <v>0</v>
      </c>
      <c r="M35" t="s">
        <v>268</v>
      </c>
    </row>
    <row r="36" spans="1:13">
      <c r="A36" t="s">
        <v>267</v>
      </c>
      <c r="B36" t="s">
        <v>263</v>
      </c>
      <c r="C36" t="s">
        <v>133</v>
      </c>
      <c r="D36" t="s">
        <v>95</v>
      </c>
      <c r="E36" t="s">
        <v>96</v>
      </c>
      <c r="F36" t="s">
        <v>20</v>
      </c>
      <c r="G36">
        <f>INDEX(Question_Bank!$G$3:$G$14,MATCH(D36,Question_Bank!$A$3:$A$14,0))</f>
        <v>0</v>
      </c>
      <c r="H36">
        <f>IF(F36=G36,1,0)</f>
        <v>0</v>
      </c>
      <c r="I36">
        <f>H36*INDEX(Question_Bank!$M$3:$M$14,MATCH(D36,Question_Bank!$A$3:$A$14,0))</f>
        <v>0</v>
      </c>
      <c r="J36">
        <f>SUMIFS($I$3:$I$518,$A$3:$A$518,A36)</f>
        <v>0</v>
      </c>
      <c r="K36" s="5">
        <f>J36/SUM(Question_Bank!$M$3:$M$14)</f>
        <v>0</v>
      </c>
      <c r="L36" s="5">
        <f>SUMIFS($I$3:$I$518,$A$3:$A$518,A36,$E$3:$E$518,E36)/SUMIFS(Question_Bank!$M$3:$M$14,Question_Bank!$B$3:$B$14,E36)</f>
        <v>0</v>
      </c>
      <c r="M36" t="s">
        <v>268</v>
      </c>
    </row>
    <row r="37" spans="1:13">
      <c r="A37" t="s">
        <v>267</v>
      </c>
      <c r="B37" t="s">
        <v>263</v>
      </c>
      <c r="C37" t="s">
        <v>133</v>
      </c>
      <c r="D37" t="s">
        <v>104</v>
      </c>
      <c r="E37" t="s">
        <v>96</v>
      </c>
      <c r="F37" t="s">
        <v>20</v>
      </c>
      <c r="G37">
        <f>INDEX(Question_Bank!$G$3:$G$14,MATCH(D37,Question_Bank!$A$3:$A$14,0))</f>
        <v>0</v>
      </c>
      <c r="H37">
        <f>IF(F37=G37,1,0)</f>
        <v>0</v>
      </c>
      <c r="I37">
        <f>H37*INDEX(Question_Bank!$M$3:$M$14,MATCH(D37,Question_Bank!$A$3:$A$14,0))</f>
        <v>0</v>
      </c>
      <c r="J37">
        <f>SUMIFS($I$3:$I$518,$A$3:$A$518,A37)</f>
        <v>0</v>
      </c>
      <c r="K37" s="5">
        <f>J37/SUM(Question_Bank!$M$3:$M$14)</f>
        <v>0</v>
      </c>
      <c r="L37" s="5">
        <f>SUMIFS($I$3:$I$518,$A$3:$A$518,A37,$E$3:$E$518,E37)/SUMIFS(Question_Bank!$M$3:$M$14,Question_Bank!$B$3:$B$14,E37)</f>
        <v>0</v>
      </c>
      <c r="M37" t="s">
        <v>268</v>
      </c>
    </row>
    <row r="38" spans="1:13">
      <c r="A38" t="s">
        <v>267</v>
      </c>
      <c r="B38" t="s">
        <v>263</v>
      </c>
      <c r="C38" t="s">
        <v>133</v>
      </c>
      <c r="D38" t="s">
        <v>112</v>
      </c>
      <c r="E38" t="s">
        <v>96</v>
      </c>
      <c r="F38" t="s">
        <v>20</v>
      </c>
      <c r="G38">
        <f>INDEX(Question_Bank!$G$3:$G$14,MATCH(D38,Question_Bank!$A$3:$A$14,0))</f>
        <v>0</v>
      </c>
      <c r="H38">
        <f>IF(F38=G38,1,0)</f>
        <v>0</v>
      </c>
      <c r="I38">
        <f>H38*INDEX(Question_Bank!$M$3:$M$14,MATCH(D38,Question_Bank!$A$3:$A$14,0))</f>
        <v>0</v>
      </c>
      <c r="J38">
        <f>SUMIFS($I$3:$I$518,$A$3:$A$518,A38)</f>
        <v>0</v>
      </c>
      <c r="K38" s="5">
        <f>J38/SUM(Question_Bank!$M$3:$M$14)</f>
        <v>0</v>
      </c>
      <c r="L38" s="5">
        <f>SUMIFS($I$3:$I$518,$A$3:$A$518,A38,$E$3:$E$518,E38)/SUMIFS(Question_Bank!$M$3:$M$14,Question_Bank!$B$3:$B$14,E38)</f>
        <v>0</v>
      </c>
      <c r="M38" t="s">
        <v>268</v>
      </c>
    </row>
    <row r="39" spans="1:13">
      <c r="A39" t="s">
        <v>269</v>
      </c>
      <c r="B39" t="s">
        <v>263</v>
      </c>
      <c r="C39" t="s">
        <v>133</v>
      </c>
      <c r="D39" t="s">
        <v>14</v>
      </c>
      <c r="E39" t="s">
        <v>15</v>
      </c>
      <c r="F39" t="s">
        <v>31</v>
      </c>
      <c r="G39">
        <f>INDEX(Question_Bank!$G$3:$G$14,MATCH(D39,Question_Bank!$A$3:$A$14,0))</f>
        <v>0</v>
      </c>
      <c r="H39">
        <f>IF(F39=G39,1,0)</f>
        <v>0</v>
      </c>
      <c r="I39">
        <f>H39*INDEX(Question_Bank!$M$3:$M$14,MATCH(D39,Question_Bank!$A$3:$A$14,0))</f>
        <v>0</v>
      </c>
      <c r="J39">
        <f>SUMIFS($I$3:$I$518,$A$3:$A$518,A39)</f>
        <v>0</v>
      </c>
      <c r="K39" s="5">
        <f>J39/SUM(Question_Bank!$M$3:$M$14)</f>
        <v>0</v>
      </c>
      <c r="L39" s="5">
        <f>SUMIFS($I$3:$I$518,$A$3:$A$518,A39,$E$3:$E$518,E39)/SUMIFS(Question_Bank!$M$3:$M$14,Question_Bank!$B$3:$B$14,E39)</f>
        <v>0</v>
      </c>
      <c r="M39" t="s">
        <v>270</v>
      </c>
    </row>
    <row r="40" spans="1:13">
      <c r="A40" t="s">
        <v>269</v>
      </c>
      <c r="B40" t="s">
        <v>263</v>
      </c>
      <c r="C40" t="s">
        <v>133</v>
      </c>
      <c r="D40" t="s">
        <v>26</v>
      </c>
      <c r="E40" t="s">
        <v>15</v>
      </c>
      <c r="F40" t="s">
        <v>23</v>
      </c>
      <c r="G40">
        <f>INDEX(Question_Bank!$G$3:$G$14,MATCH(D40,Question_Bank!$A$3:$A$14,0))</f>
        <v>0</v>
      </c>
      <c r="H40">
        <f>IF(F40=G40,1,0)</f>
        <v>0</v>
      </c>
      <c r="I40">
        <f>H40*INDEX(Question_Bank!$M$3:$M$14,MATCH(D40,Question_Bank!$A$3:$A$14,0))</f>
        <v>0</v>
      </c>
      <c r="J40">
        <f>SUMIFS($I$3:$I$518,$A$3:$A$518,A40)</f>
        <v>0</v>
      </c>
      <c r="K40" s="5">
        <f>J40/SUM(Question_Bank!$M$3:$M$14)</f>
        <v>0</v>
      </c>
      <c r="L40" s="5">
        <f>SUMIFS($I$3:$I$518,$A$3:$A$518,A40,$E$3:$E$518,E40)/SUMIFS(Question_Bank!$M$3:$M$14,Question_Bank!$B$3:$B$14,E40)</f>
        <v>0</v>
      </c>
      <c r="M40" t="s">
        <v>270</v>
      </c>
    </row>
    <row r="41" spans="1:13">
      <c r="A41" t="s">
        <v>269</v>
      </c>
      <c r="B41" t="s">
        <v>263</v>
      </c>
      <c r="C41" t="s">
        <v>133</v>
      </c>
      <c r="D41" t="s">
        <v>37</v>
      </c>
      <c r="E41" t="s">
        <v>15</v>
      </c>
      <c r="F41" t="s">
        <v>31</v>
      </c>
      <c r="G41">
        <f>INDEX(Question_Bank!$G$3:$G$14,MATCH(D41,Question_Bank!$A$3:$A$14,0))</f>
        <v>0</v>
      </c>
      <c r="H41">
        <f>IF(F41=G41,1,0)</f>
        <v>0</v>
      </c>
      <c r="I41">
        <f>H41*INDEX(Question_Bank!$M$3:$M$14,MATCH(D41,Question_Bank!$A$3:$A$14,0))</f>
        <v>0</v>
      </c>
      <c r="J41">
        <f>SUMIFS($I$3:$I$518,$A$3:$A$518,A41)</f>
        <v>0</v>
      </c>
      <c r="K41" s="5">
        <f>J41/SUM(Question_Bank!$M$3:$M$14)</f>
        <v>0</v>
      </c>
      <c r="L41" s="5">
        <f>SUMIFS($I$3:$I$518,$A$3:$A$518,A41,$E$3:$E$518,E41)/SUMIFS(Question_Bank!$M$3:$M$14,Question_Bank!$B$3:$B$14,E41)</f>
        <v>0</v>
      </c>
      <c r="M41" t="s">
        <v>270</v>
      </c>
    </row>
    <row r="42" spans="1:13">
      <c r="A42" t="s">
        <v>269</v>
      </c>
      <c r="B42" t="s">
        <v>263</v>
      </c>
      <c r="C42" t="s">
        <v>133</v>
      </c>
      <c r="D42" t="s">
        <v>45</v>
      </c>
      <c r="E42" t="s">
        <v>46</v>
      </c>
      <c r="F42" t="s">
        <v>34</v>
      </c>
      <c r="G42">
        <f>INDEX(Question_Bank!$G$3:$G$14,MATCH(D42,Question_Bank!$A$3:$A$14,0))</f>
        <v>0</v>
      </c>
      <c r="H42">
        <f>IF(F42=G42,1,0)</f>
        <v>0</v>
      </c>
      <c r="I42">
        <f>H42*INDEX(Question_Bank!$M$3:$M$14,MATCH(D42,Question_Bank!$A$3:$A$14,0))</f>
        <v>0</v>
      </c>
      <c r="J42">
        <f>SUMIFS($I$3:$I$518,$A$3:$A$518,A42)</f>
        <v>0</v>
      </c>
      <c r="K42" s="5">
        <f>J42/SUM(Question_Bank!$M$3:$M$14)</f>
        <v>0</v>
      </c>
      <c r="L42" s="5">
        <f>SUMIFS($I$3:$I$518,$A$3:$A$518,A42,$E$3:$E$518,E42)/SUMIFS(Question_Bank!$M$3:$M$14,Question_Bank!$B$3:$B$14,E42)</f>
        <v>0</v>
      </c>
      <c r="M42" t="s">
        <v>270</v>
      </c>
    </row>
    <row r="43" spans="1:13">
      <c r="A43" t="s">
        <v>269</v>
      </c>
      <c r="B43" t="s">
        <v>263</v>
      </c>
      <c r="C43" t="s">
        <v>133</v>
      </c>
      <c r="D43" t="s">
        <v>54</v>
      </c>
      <c r="E43" t="s">
        <v>46</v>
      </c>
      <c r="F43" t="s">
        <v>20</v>
      </c>
      <c r="G43">
        <f>INDEX(Question_Bank!$G$3:$G$14,MATCH(D43,Question_Bank!$A$3:$A$14,0))</f>
        <v>0</v>
      </c>
      <c r="H43">
        <f>IF(F43=G43,1,0)</f>
        <v>0</v>
      </c>
      <c r="I43">
        <f>H43*INDEX(Question_Bank!$M$3:$M$14,MATCH(D43,Question_Bank!$A$3:$A$14,0))</f>
        <v>0</v>
      </c>
      <c r="J43">
        <f>SUMIFS($I$3:$I$518,$A$3:$A$518,A43)</f>
        <v>0</v>
      </c>
      <c r="K43" s="5">
        <f>J43/SUM(Question_Bank!$M$3:$M$14)</f>
        <v>0</v>
      </c>
      <c r="L43" s="5">
        <f>SUMIFS($I$3:$I$518,$A$3:$A$518,A43,$E$3:$E$518,E43)/SUMIFS(Question_Bank!$M$3:$M$14,Question_Bank!$B$3:$B$14,E43)</f>
        <v>0</v>
      </c>
      <c r="M43" t="s">
        <v>270</v>
      </c>
    </row>
    <row r="44" spans="1:13">
      <c r="A44" t="s">
        <v>269</v>
      </c>
      <c r="B44" t="s">
        <v>263</v>
      </c>
      <c r="C44" t="s">
        <v>133</v>
      </c>
      <c r="D44" t="s">
        <v>62</v>
      </c>
      <c r="E44" t="s">
        <v>46</v>
      </c>
      <c r="F44" t="s">
        <v>34</v>
      </c>
      <c r="G44">
        <f>INDEX(Question_Bank!$G$3:$G$14,MATCH(D44,Question_Bank!$A$3:$A$14,0))</f>
        <v>0</v>
      </c>
      <c r="H44">
        <f>IF(F44=G44,1,0)</f>
        <v>0</v>
      </c>
      <c r="I44">
        <f>H44*INDEX(Question_Bank!$M$3:$M$14,MATCH(D44,Question_Bank!$A$3:$A$14,0))</f>
        <v>0</v>
      </c>
      <c r="J44">
        <f>SUMIFS($I$3:$I$518,$A$3:$A$518,A44)</f>
        <v>0</v>
      </c>
      <c r="K44" s="5">
        <f>J44/SUM(Question_Bank!$M$3:$M$14)</f>
        <v>0</v>
      </c>
      <c r="L44" s="5">
        <f>SUMIFS($I$3:$I$518,$A$3:$A$518,A44,$E$3:$E$518,E44)/SUMIFS(Question_Bank!$M$3:$M$14,Question_Bank!$B$3:$B$14,E44)</f>
        <v>0</v>
      </c>
      <c r="M44" t="s">
        <v>270</v>
      </c>
    </row>
    <row r="45" spans="1:13">
      <c r="A45" t="s">
        <v>269</v>
      </c>
      <c r="B45" t="s">
        <v>263</v>
      </c>
      <c r="C45" t="s">
        <v>133</v>
      </c>
      <c r="D45" t="s">
        <v>70</v>
      </c>
      <c r="E45" t="s">
        <v>71</v>
      </c>
      <c r="F45" t="s">
        <v>34</v>
      </c>
      <c r="G45">
        <f>INDEX(Question_Bank!$G$3:$G$14,MATCH(D45,Question_Bank!$A$3:$A$14,0))</f>
        <v>0</v>
      </c>
      <c r="H45">
        <f>IF(F45=G45,1,0)</f>
        <v>0</v>
      </c>
      <c r="I45">
        <f>H45*INDEX(Question_Bank!$M$3:$M$14,MATCH(D45,Question_Bank!$A$3:$A$14,0))</f>
        <v>0</v>
      </c>
      <c r="J45">
        <f>SUMIFS($I$3:$I$518,$A$3:$A$518,A45)</f>
        <v>0</v>
      </c>
      <c r="K45" s="5">
        <f>J45/SUM(Question_Bank!$M$3:$M$14)</f>
        <v>0</v>
      </c>
      <c r="L45" s="5">
        <f>SUMIFS($I$3:$I$518,$A$3:$A$518,A45,$E$3:$E$518,E45)/SUMIFS(Question_Bank!$M$3:$M$14,Question_Bank!$B$3:$B$14,E45)</f>
        <v>0</v>
      </c>
      <c r="M45" t="s">
        <v>270</v>
      </c>
    </row>
    <row r="46" spans="1:13">
      <c r="A46" t="s">
        <v>269</v>
      </c>
      <c r="B46" t="s">
        <v>263</v>
      </c>
      <c r="C46" t="s">
        <v>133</v>
      </c>
      <c r="D46" t="s">
        <v>79</v>
      </c>
      <c r="E46" t="s">
        <v>71</v>
      </c>
      <c r="F46" t="s">
        <v>23</v>
      </c>
      <c r="G46">
        <f>INDEX(Question_Bank!$G$3:$G$14,MATCH(D46,Question_Bank!$A$3:$A$14,0))</f>
        <v>0</v>
      </c>
      <c r="H46">
        <f>IF(F46=G46,1,0)</f>
        <v>0</v>
      </c>
      <c r="I46">
        <f>H46*INDEX(Question_Bank!$M$3:$M$14,MATCH(D46,Question_Bank!$A$3:$A$14,0))</f>
        <v>0</v>
      </c>
      <c r="J46">
        <f>SUMIFS($I$3:$I$518,$A$3:$A$518,A46)</f>
        <v>0</v>
      </c>
      <c r="K46" s="5">
        <f>J46/SUM(Question_Bank!$M$3:$M$14)</f>
        <v>0</v>
      </c>
      <c r="L46" s="5">
        <f>SUMIFS($I$3:$I$518,$A$3:$A$518,A46,$E$3:$E$518,E46)/SUMIFS(Question_Bank!$M$3:$M$14,Question_Bank!$B$3:$B$14,E46)</f>
        <v>0</v>
      </c>
      <c r="M46" t="s">
        <v>270</v>
      </c>
    </row>
    <row r="47" spans="1:13">
      <c r="A47" t="s">
        <v>269</v>
      </c>
      <c r="B47" t="s">
        <v>263</v>
      </c>
      <c r="C47" t="s">
        <v>133</v>
      </c>
      <c r="D47" t="s">
        <v>87</v>
      </c>
      <c r="E47" t="s">
        <v>71</v>
      </c>
      <c r="F47" t="s">
        <v>23</v>
      </c>
      <c r="G47">
        <f>INDEX(Question_Bank!$G$3:$G$14,MATCH(D47,Question_Bank!$A$3:$A$14,0))</f>
        <v>0</v>
      </c>
      <c r="H47">
        <f>IF(F47=G47,1,0)</f>
        <v>0</v>
      </c>
      <c r="I47">
        <f>H47*INDEX(Question_Bank!$M$3:$M$14,MATCH(D47,Question_Bank!$A$3:$A$14,0))</f>
        <v>0</v>
      </c>
      <c r="J47">
        <f>SUMIFS($I$3:$I$518,$A$3:$A$518,A47)</f>
        <v>0</v>
      </c>
      <c r="K47" s="5">
        <f>J47/SUM(Question_Bank!$M$3:$M$14)</f>
        <v>0</v>
      </c>
      <c r="L47" s="5">
        <f>SUMIFS($I$3:$I$518,$A$3:$A$518,A47,$E$3:$E$518,E47)/SUMIFS(Question_Bank!$M$3:$M$14,Question_Bank!$B$3:$B$14,E47)</f>
        <v>0</v>
      </c>
      <c r="M47" t="s">
        <v>270</v>
      </c>
    </row>
    <row r="48" spans="1:13">
      <c r="A48" t="s">
        <v>269</v>
      </c>
      <c r="B48" t="s">
        <v>263</v>
      </c>
      <c r="C48" t="s">
        <v>133</v>
      </c>
      <c r="D48" t="s">
        <v>95</v>
      </c>
      <c r="E48" t="s">
        <v>96</v>
      </c>
      <c r="F48" t="s">
        <v>20</v>
      </c>
      <c r="G48">
        <f>INDEX(Question_Bank!$G$3:$G$14,MATCH(D48,Question_Bank!$A$3:$A$14,0))</f>
        <v>0</v>
      </c>
      <c r="H48">
        <f>IF(F48=G48,1,0)</f>
        <v>0</v>
      </c>
      <c r="I48">
        <f>H48*INDEX(Question_Bank!$M$3:$M$14,MATCH(D48,Question_Bank!$A$3:$A$14,0))</f>
        <v>0</v>
      </c>
      <c r="J48">
        <f>SUMIFS($I$3:$I$518,$A$3:$A$518,A48)</f>
        <v>0</v>
      </c>
      <c r="K48" s="5">
        <f>J48/SUM(Question_Bank!$M$3:$M$14)</f>
        <v>0</v>
      </c>
      <c r="L48" s="5">
        <f>SUMIFS($I$3:$I$518,$A$3:$A$518,A48,$E$3:$E$518,E48)/SUMIFS(Question_Bank!$M$3:$M$14,Question_Bank!$B$3:$B$14,E48)</f>
        <v>0</v>
      </c>
      <c r="M48" t="s">
        <v>270</v>
      </c>
    </row>
    <row r="49" spans="1:13">
      <c r="A49" t="s">
        <v>269</v>
      </c>
      <c r="B49" t="s">
        <v>263</v>
      </c>
      <c r="C49" t="s">
        <v>133</v>
      </c>
      <c r="D49" t="s">
        <v>104</v>
      </c>
      <c r="E49" t="s">
        <v>96</v>
      </c>
      <c r="F49" t="s">
        <v>34</v>
      </c>
      <c r="G49">
        <f>INDEX(Question_Bank!$G$3:$G$14,MATCH(D49,Question_Bank!$A$3:$A$14,0))</f>
        <v>0</v>
      </c>
      <c r="H49">
        <f>IF(F49=G49,1,0)</f>
        <v>0</v>
      </c>
      <c r="I49">
        <f>H49*INDEX(Question_Bank!$M$3:$M$14,MATCH(D49,Question_Bank!$A$3:$A$14,0))</f>
        <v>0</v>
      </c>
      <c r="J49">
        <f>SUMIFS($I$3:$I$518,$A$3:$A$518,A49)</f>
        <v>0</v>
      </c>
      <c r="K49" s="5">
        <f>J49/SUM(Question_Bank!$M$3:$M$14)</f>
        <v>0</v>
      </c>
      <c r="L49" s="5">
        <f>SUMIFS($I$3:$I$518,$A$3:$A$518,A49,$E$3:$E$518,E49)/SUMIFS(Question_Bank!$M$3:$M$14,Question_Bank!$B$3:$B$14,E49)</f>
        <v>0</v>
      </c>
      <c r="M49" t="s">
        <v>270</v>
      </c>
    </row>
    <row r="50" spans="1:13">
      <c r="A50" t="s">
        <v>269</v>
      </c>
      <c r="B50" t="s">
        <v>263</v>
      </c>
      <c r="C50" t="s">
        <v>133</v>
      </c>
      <c r="D50" t="s">
        <v>112</v>
      </c>
      <c r="E50" t="s">
        <v>96</v>
      </c>
      <c r="F50" t="s">
        <v>34</v>
      </c>
      <c r="G50">
        <f>INDEX(Question_Bank!$G$3:$G$14,MATCH(D50,Question_Bank!$A$3:$A$14,0))</f>
        <v>0</v>
      </c>
      <c r="H50">
        <f>IF(F50=G50,1,0)</f>
        <v>0</v>
      </c>
      <c r="I50">
        <f>H50*INDEX(Question_Bank!$M$3:$M$14,MATCH(D50,Question_Bank!$A$3:$A$14,0))</f>
        <v>0</v>
      </c>
      <c r="J50">
        <f>SUMIFS($I$3:$I$518,$A$3:$A$518,A50)</f>
        <v>0</v>
      </c>
      <c r="K50" s="5">
        <f>J50/SUM(Question_Bank!$M$3:$M$14)</f>
        <v>0</v>
      </c>
      <c r="L50" s="5">
        <f>SUMIFS($I$3:$I$518,$A$3:$A$518,A50,$E$3:$E$518,E50)/SUMIFS(Question_Bank!$M$3:$M$14,Question_Bank!$B$3:$B$14,E50)</f>
        <v>0</v>
      </c>
      <c r="M50" t="s">
        <v>270</v>
      </c>
    </row>
    <row r="51" spans="1:13">
      <c r="A51" t="s">
        <v>271</v>
      </c>
      <c r="B51" t="s">
        <v>263</v>
      </c>
      <c r="C51" t="s">
        <v>133</v>
      </c>
      <c r="D51" t="s">
        <v>14</v>
      </c>
      <c r="E51" t="s">
        <v>15</v>
      </c>
      <c r="F51" t="s">
        <v>20</v>
      </c>
      <c r="G51">
        <f>INDEX(Question_Bank!$G$3:$G$14,MATCH(D51,Question_Bank!$A$3:$A$14,0))</f>
        <v>0</v>
      </c>
      <c r="H51">
        <f>IF(F51=G51,1,0)</f>
        <v>0</v>
      </c>
      <c r="I51">
        <f>H51*INDEX(Question_Bank!$M$3:$M$14,MATCH(D51,Question_Bank!$A$3:$A$14,0))</f>
        <v>0</v>
      </c>
      <c r="J51">
        <f>SUMIFS($I$3:$I$518,$A$3:$A$518,A51)</f>
        <v>0</v>
      </c>
      <c r="K51" s="5">
        <f>J51/SUM(Question_Bank!$M$3:$M$14)</f>
        <v>0</v>
      </c>
      <c r="L51" s="5">
        <f>SUMIFS($I$3:$I$518,$A$3:$A$518,A51,$E$3:$E$518,E51)/SUMIFS(Question_Bank!$M$3:$M$14,Question_Bank!$B$3:$B$14,E51)</f>
        <v>0</v>
      </c>
      <c r="M51" t="s">
        <v>272</v>
      </c>
    </row>
    <row r="52" spans="1:13">
      <c r="A52" t="s">
        <v>271</v>
      </c>
      <c r="B52" t="s">
        <v>263</v>
      </c>
      <c r="C52" t="s">
        <v>133</v>
      </c>
      <c r="D52" t="s">
        <v>26</v>
      </c>
      <c r="E52" t="s">
        <v>15</v>
      </c>
      <c r="F52" t="s">
        <v>31</v>
      </c>
      <c r="G52">
        <f>INDEX(Question_Bank!$G$3:$G$14,MATCH(D52,Question_Bank!$A$3:$A$14,0))</f>
        <v>0</v>
      </c>
      <c r="H52">
        <f>IF(F52=G52,1,0)</f>
        <v>0</v>
      </c>
      <c r="I52">
        <f>H52*INDEX(Question_Bank!$M$3:$M$14,MATCH(D52,Question_Bank!$A$3:$A$14,0))</f>
        <v>0</v>
      </c>
      <c r="J52">
        <f>SUMIFS($I$3:$I$518,$A$3:$A$518,A52)</f>
        <v>0</v>
      </c>
      <c r="K52" s="5">
        <f>J52/SUM(Question_Bank!$M$3:$M$14)</f>
        <v>0</v>
      </c>
      <c r="L52" s="5">
        <f>SUMIFS($I$3:$I$518,$A$3:$A$518,A52,$E$3:$E$518,E52)/SUMIFS(Question_Bank!$M$3:$M$14,Question_Bank!$B$3:$B$14,E52)</f>
        <v>0</v>
      </c>
      <c r="M52" t="s">
        <v>272</v>
      </c>
    </row>
    <row r="53" spans="1:13">
      <c r="A53" t="s">
        <v>271</v>
      </c>
      <c r="B53" t="s">
        <v>263</v>
      </c>
      <c r="C53" t="s">
        <v>133</v>
      </c>
      <c r="D53" t="s">
        <v>37</v>
      </c>
      <c r="E53" t="s">
        <v>15</v>
      </c>
      <c r="F53" t="s">
        <v>34</v>
      </c>
      <c r="G53">
        <f>INDEX(Question_Bank!$G$3:$G$14,MATCH(D53,Question_Bank!$A$3:$A$14,0))</f>
        <v>0</v>
      </c>
      <c r="H53">
        <f>IF(F53=G53,1,0)</f>
        <v>0</v>
      </c>
      <c r="I53">
        <f>H53*INDEX(Question_Bank!$M$3:$M$14,MATCH(D53,Question_Bank!$A$3:$A$14,0))</f>
        <v>0</v>
      </c>
      <c r="J53">
        <f>SUMIFS($I$3:$I$518,$A$3:$A$518,A53)</f>
        <v>0</v>
      </c>
      <c r="K53" s="5">
        <f>J53/SUM(Question_Bank!$M$3:$M$14)</f>
        <v>0</v>
      </c>
      <c r="L53" s="5">
        <f>SUMIFS($I$3:$I$518,$A$3:$A$518,A53,$E$3:$E$518,E53)/SUMIFS(Question_Bank!$M$3:$M$14,Question_Bank!$B$3:$B$14,E53)</f>
        <v>0</v>
      </c>
      <c r="M53" t="s">
        <v>272</v>
      </c>
    </row>
    <row r="54" spans="1:13">
      <c r="A54" t="s">
        <v>271</v>
      </c>
      <c r="B54" t="s">
        <v>263</v>
      </c>
      <c r="C54" t="s">
        <v>133</v>
      </c>
      <c r="D54" t="s">
        <v>45</v>
      </c>
      <c r="E54" t="s">
        <v>46</v>
      </c>
      <c r="F54" t="s">
        <v>23</v>
      </c>
      <c r="G54">
        <f>INDEX(Question_Bank!$G$3:$G$14,MATCH(D54,Question_Bank!$A$3:$A$14,0))</f>
        <v>0</v>
      </c>
      <c r="H54">
        <f>IF(F54=G54,1,0)</f>
        <v>0</v>
      </c>
      <c r="I54">
        <f>H54*INDEX(Question_Bank!$M$3:$M$14,MATCH(D54,Question_Bank!$A$3:$A$14,0))</f>
        <v>0</v>
      </c>
      <c r="J54">
        <f>SUMIFS($I$3:$I$518,$A$3:$A$518,A54)</f>
        <v>0</v>
      </c>
      <c r="K54" s="5">
        <f>J54/SUM(Question_Bank!$M$3:$M$14)</f>
        <v>0</v>
      </c>
      <c r="L54" s="5">
        <f>SUMIFS($I$3:$I$518,$A$3:$A$518,A54,$E$3:$E$518,E54)/SUMIFS(Question_Bank!$M$3:$M$14,Question_Bank!$B$3:$B$14,E54)</f>
        <v>0</v>
      </c>
      <c r="M54" t="s">
        <v>272</v>
      </c>
    </row>
    <row r="55" spans="1:13">
      <c r="A55" t="s">
        <v>271</v>
      </c>
      <c r="B55" t="s">
        <v>263</v>
      </c>
      <c r="C55" t="s">
        <v>133</v>
      </c>
      <c r="D55" t="s">
        <v>54</v>
      </c>
      <c r="E55" t="s">
        <v>46</v>
      </c>
      <c r="F55" t="s">
        <v>34</v>
      </c>
      <c r="G55">
        <f>INDEX(Question_Bank!$G$3:$G$14,MATCH(D55,Question_Bank!$A$3:$A$14,0))</f>
        <v>0</v>
      </c>
      <c r="H55">
        <f>IF(F55=G55,1,0)</f>
        <v>0</v>
      </c>
      <c r="I55">
        <f>H55*INDEX(Question_Bank!$M$3:$M$14,MATCH(D55,Question_Bank!$A$3:$A$14,0))</f>
        <v>0</v>
      </c>
      <c r="J55">
        <f>SUMIFS($I$3:$I$518,$A$3:$A$518,A55)</f>
        <v>0</v>
      </c>
      <c r="K55" s="5">
        <f>J55/SUM(Question_Bank!$M$3:$M$14)</f>
        <v>0</v>
      </c>
      <c r="L55" s="5">
        <f>SUMIFS($I$3:$I$518,$A$3:$A$518,A55,$E$3:$E$518,E55)/SUMIFS(Question_Bank!$M$3:$M$14,Question_Bank!$B$3:$B$14,E55)</f>
        <v>0</v>
      </c>
      <c r="M55" t="s">
        <v>272</v>
      </c>
    </row>
    <row r="56" spans="1:13">
      <c r="A56" t="s">
        <v>271</v>
      </c>
      <c r="B56" t="s">
        <v>263</v>
      </c>
      <c r="C56" t="s">
        <v>133</v>
      </c>
      <c r="D56" t="s">
        <v>62</v>
      </c>
      <c r="E56" t="s">
        <v>46</v>
      </c>
      <c r="F56" t="s">
        <v>31</v>
      </c>
      <c r="G56">
        <f>INDEX(Question_Bank!$G$3:$G$14,MATCH(D56,Question_Bank!$A$3:$A$14,0))</f>
        <v>0</v>
      </c>
      <c r="H56">
        <f>IF(F56=G56,1,0)</f>
        <v>0</v>
      </c>
      <c r="I56">
        <f>H56*INDEX(Question_Bank!$M$3:$M$14,MATCH(D56,Question_Bank!$A$3:$A$14,0))</f>
        <v>0</v>
      </c>
      <c r="J56">
        <f>SUMIFS($I$3:$I$518,$A$3:$A$518,A56)</f>
        <v>0</v>
      </c>
      <c r="K56" s="5">
        <f>J56/SUM(Question_Bank!$M$3:$M$14)</f>
        <v>0</v>
      </c>
      <c r="L56" s="5">
        <f>SUMIFS($I$3:$I$518,$A$3:$A$518,A56,$E$3:$E$518,E56)/SUMIFS(Question_Bank!$M$3:$M$14,Question_Bank!$B$3:$B$14,E56)</f>
        <v>0</v>
      </c>
      <c r="M56" t="s">
        <v>272</v>
      </c>
    </row>
    <row r="57" spans="1:13">
      <c r="A57" t="s">
        <v>271</v>
      </c>
      <c r="B57" t="s">
        <v>263</v>
      </c>
      <c r="C57" t="s">
        <v>133</v>
      </c>
      <c r="D57" t="s">
        <v>70</v>
      </c>
      <c r="E57" t="s">
        <v>71</v>
      </c>
      <c r="F57" t="s">
        <v>34</v>
      </c>
      <c r="G57">
        <f>INDEX(Question_Bank!$G$3:$G$14,MATCH(D57,Question_Bank!$A$3:$A$14,0))</f>
        <v>0</v>
      </c>
      <c r="H57">
        <f>IF(F57=G57,1,0)</f>
        <v>0</v>
      </c>
      <c r="I57">
        <f>H57*INDEX(Question_Bank!$M$3:$M$14,MATCH(D57,Question_Bank!$A$3:$A$14,0))</f>
        <v>0</v>
      </c>
      <c r="J57">
        <f>SUMIFS($I$3:$I$518,$A$3:$A$518,A57)</f>
        <v>0</v>
      </c>
      <c r="K57" s="5">
        <f>J57/SUM(Question_Bank!$M$3:$M$14)</f>
        <v>0</v>
      </c>
      <c r="L57" s="5">
        <f>SUMIFS($I$3:$I$518,$A$3:$A$518,A57,$E$3:$E$518,E57)/SUMIFS(Question_Bank!$M$3:$M$14,Question_Bank!$B$3:$B$14,E57)</f>
        <v>0</v>
      </c>
      <c r="M57" t="s">
        <v>272</v>
      </c>
    </row>
    <row r="58" spans="1:13">
      <c r="A58" t="s">
        <v>271</v>
      </c>
      <c r="B58" t="s">
        <v>263</v>
      </c>
      <c r="C58" t="s">
        <v>133</v>
      </c>
      <c r="D58" t="s">
        <v>79</v>
      </c>
      <c r="E58" t="s">
        <v>71</v>
      </c>
      <c r="F58" t="s">
        <v>34</v>
      </c>
      <c r="G58">
        <f>INDEX(Question_Bank!$G$3:$G$14,MATCH(D58,Question_Bank!$A$3:$A$14,0))</f>
        <v>0</v>
      </c>
      <c r="H58">
        <f>IF(F58=G58,1,0)</f>
        <v>0</v>
      </c>
      <c r="I58">
        <f>H58*INDEX(Question_Bank!$M$3:$M$14,MATCH(D58,Question_Bank!$A$3:$A$14,0))</f>
        <v>0</v>
      </c>
      <c r="J58">
        <f>SUMIFS($I$3:$I$518,$A$3:$A$518,A58)</f>
        <v>0</v>
      </c>
      <c r="K58" s="5">
        <f>J58/SUM(Question_Bank!$M$3:$M$14)</f>
        <v>0</v>
      </c>
      <c r="L58" s="5">
        <f>SUMIFS($I$3:$I$518,$A$3:$A$518,A58,$E$3:$E$518,E58)/SUMIFS(Question_Bank!$M$3:$M$14,Question_Bank!$B$3:$B$14,E58)</f>
        <v>0</v>
      </c>
      <c r="M58" t="s">
        <v>272</v>
      </c>
    </row>
    <row r="59" spans="1:13">
      <c r="A59" t="s">
        <v>271</v>
      </c>
      <c r="B59" t="s">
        <v>263</v>
      </c>
      <c r="C59" t="s">
        <v>133</v>
      </c>
      <c r="D59" t="s">
        <v>87</v>
      </c>
      <c r="E59" t="s">
        <v>71</v>
      </c>
      <c r="F59" t="s">
        <v>31</v>
      </c>
      <c r="G59">
        <f>INDEX(Question_Bank!$G$3:$G$14,MATCH(D59,Question_Bank!$A$3:$A$14,0))</f>
        <v>0</v>
      </c>
      <c r="H59">
        <f>IF(F59=G59,1,0)</f>
        <v>0</v>
      </c>
      <c r="I59">
        <f>H59*INDEX(Question_Bank!$M$3:$M$14,MATCH(D59,Question_Bank!$A$3:$A$14,0))</f>
        <v>0</v>
      </c>
      <c r="J59">
        <f>SUMIFS($I$3:$I$518,$A$3:$A$518,A59)</f>
        <v>0</v>
      </c>
      <c r="K59" s="5">
        <f>J59/SUM(Question_Bank!$M$3:$M$14)</f>
        <v>0</v>
      </c>
      <c r="L59" s="5">
        <f>SUMIFS($I$3:$I$518,$A$3:$A$518,A59,$E$3:$E$518,E59)/SUMIFS(Question_Bank!$M$3:$M$14,Question_Bank!$B$3:$B$14,E59)</f>
        <v>0</v>
      </c>
      <c r="M59" t="s">
        <v>272</v>
      </c>
    </row>
    <row r="60" spans="1:13">
      <c r="A60" t="s">
        <v>271</v>
      </c>
      <c r="B60" t="s">
        <v>263</v>
      </c>
      <c r="C60" t="s">
        <v>133</v>
      </c>
      <c r="D60" t="s">
        <v>95</v>
      </c>
      <c r="E60" t="s">
        <v>96</v>
      </c>
      <c r="F60" t="s">
        <v>31</v>
      </c>
      <c r="G60">
        <f>INDEX(Question_Bank!$G$3:$G$14,MATCH(D60,Question_Bank!$A$3:$A$14,0))</f>
        <v>0</v>
      </c>
      <c r="H60">
        <f>IF(F60=G60,1,0)</f>
        <v>0</v>
      </c>
      <c r="I60">
        <f>H60*INDEX(Question_Bank!$M$3:$M$14,MATCH(D60,Question_Bank!$A$3:$A$14,0))</f>
        <v>0</v>
      </c>
      <c r="J60">
        <f>SUMIFS($I$3:$I$518,$A$3:$A$518,A60)</f>
        <v>0</v>
      </c>
      <c r="K60" s="5">
        <f>J60/SUM(Question_Bank!$M$3:$M$14)</f>
        <v>0</v>
      </c>
      <c r="L60" s="5">
        <f>SUMIFS($I$3:$I$518,$A$3:$A$518,A60,$E$3:$E$518,E60)/SUMIFS(Question_Bank!$M$3:$M$14,Question_Bank!$B$3:$B$14,E60)</f>
        <v>0</v>
      </c>
      <c r="M60" t="s">
        <v>272</v>
      </c>
    </row>
    <row r="61" spans="1:13">
      <c r="A61" t="s">
        <v>271</v>
      </c>
      <c r="B61" t="s">
        <v>263</v>
      </c>
      <c r="C61" t="s">
        <v>133</v>
      </c>
      <c r="D61" t="s">
        <v>104</v>
      </c>
      <c r="E61" t="s">
        <v>96</v>
      </c>
      <c r="F61" t="s">
        <v>23</v>
      </c>
      <c r="G61">
        <f>INDEX(Question_Bank!$G$3:$G$14,MATCH(D61,Question_Bank!$A$3:$A$14,0))</f>
        <v>0</v>
      </c>
      <c r="H61">
        <f>IF(F61=G61,1,0)</f>
        <v>0</v>
      </c>
      <c r="I61">
        <f>H61*INDEX(Question_Bank!$M$3:$M$14,MATCH(D61,Question_Bank!$A$3:$A$14,0))</f>
        <v>0</v>
      </c>
      <c r="J61">
        <f>SUMIFS($I$3:$I$518,$A$3:$A$518,A61)</f>
        <v>0</v>
      </c>
      <c r="K61" s="5">
        <f>J61/SUM(Question_Bank!$M$3:$M$14)</f>
        <v>0</v>
      </c>
      <c r="L61" s="5">
        <f>SUMIFS($I$3:$I$518,$A$3:$A$518,A61,$E$3:$E$518,E61)/SUMIFS(Question_Bank!$M$3:$M$14,Question_Bank!$B$3:$B$14,E61)</f>
        <v>0</v>
      </c>
      <c r="M61" t="s">
        <v>272</v>
      </c>
    </row>
    <row r="62" spans="1:13">
      <c r="A62" t="s">
        <v>271</v>
      </c>
      <c r="B62" t="s">
        <v>263</v>
      </c>
      <c r="C62" t="s">
        <v>133</v>
      </c>
      <c r="D62" t="s">
        <v>112</v>
      </c>
      <c r="E62" t="s">
        <v>96</v>
      </c>
      <c r="F62" t="s">
        <v>23</v>
      </c>
      <c r="G62">
        <f>INDEX(Question_Bank!$G$3:$G$14,MATCH(D62,Question_Bank!$A$3:$A$14,0))</f>
        <v>0</v>
      </c>
      <c r="H62">
        <f>IF(F62=G62,1,0)</f>
        <v>0</v>
      </c>
      <c r="I62">
        <f>H62*INDEX(Question_Bank!$M$3:$M$14,MATCH(D62,Question_Bank!$A$3:$A$14,0))</f>
        <v>0</v>
      </c>
      <c r="J62">
        <f>SUMIFS($I$3:$I$518,$A$3:$A$518,A62)</f>
        <v>0</v>
      </c>
      <c r="K62" s="5">
        <f>J62/SUM(Question_Bank!$M$3:$M$14)</f>
        <v>0</v>
      </c>
      <c r="L62" s="5">
        <f>SUMIFS($I$3:$I$518,$A$3:$A$518,A62,$E$3:$E$518,E62)/SUMIFS(Question_Bank!$M$3:$M$14,Question_Bank!$B$3:$B$14,E62)</f>
        <v>0</v>
      </c>
      <c r="M62" t="s">
        <v>272</v>
      </c>
    </row>
    <row r="63" spans="1:13">
      <c r="A63" t="s">
        <v>273</v>
      </c>
      <c r="B63" t="s">
        <v>263</v>
      </c>
      <c r="C63" t="s">
        <v>133</v>
      </c>
      <c r="D63" t="s">
        <v>14</v>
      </c>
      <c r="E63" t="s">
        <v>15</v>
      </c>
      <c r="F63" t="s">
        <v>23</v>
      </c>
      <c r="G63">
        <f>INDEX(Question_Bank!$G$3:$G$14,MATCH(D63,Question_Bank!$A$3:$A$14,0))</f>
        <v>0</v>
      </c>
      <c r="H63">
        <f>IF(F63=G63,1,0)</f>
        <v>0</v>
      </c>
      <c r="I63">
        <f>H63*INDEX(Question_Bank!$M$3:$M$14,MATCH(D63,Question_Bank!$A$3:$A$14,0))</f>
        <v>0</v>
      </c>
      <c r="J63">
        <f>SUMIFS($I$3:$I$518,$A$3:$A$518,A63)</f>
        <v>0</v>
      </c>
      <c r="K63" s="5">
        <f>J63/SUM(Question_Bank!$M$3:$M$14)</f>
        <v>0</v>
      </c>
      <c r="L63" s="5">
        <f>SUMIFS($I$3:$I$518,$A$3:$A$518,A63,$E$3:$E$518,E63)/SUMIFS(Question_Bank!$M$3:$M$14,Question_Bank!$B$3:$B$14,E63)</f>
        <v>0</v>
      </c>
      <c r="M63" t="s">
        <v>274</v>
      </c>
    </row>
    <row r="64" spans="1:13">
      <c r="A64" t="s">
        <v>273</v>
      </c>
      <c r="B64" t="s">
        <v>263</v>
      </c>
      <c r="C64" t="s">
        <v>133</v>
      </c>
      <c r="D64" t="s">
        <v>26</v>
      </c>
      <c r="E64" t="s">
        <v>15</v>
      </c>
      <c r="F64" t="s">
        <v>31</v>
      </c>
      <c r="G64">
        <f>INDEX(Question_Bank!$G$3:$G$14,MATCH(D64,Question_Bank!$A$3:$A$14,0))</f>
        <v>0</v>
      </c>
      <c r="H64">
        <f>IF(F64=G64,1,0)</f>
        <v>0</v>
      </c>
      <c r="I64">
        <f>H64*INDEX(Question_Bank!$M$3:$M$14,MATCH(D64,Question_Bank!$A$3:$A$14,0))</f>
        <v>0</v>
      </c>
      <c r="J64">
        <f>SUMIFS($I$3:$I$518,$A$3:$A$518,A64)</f>
        <v>0</v>
      </c>
      <c r="K64" s="5">
        <f>J64/SUM(Question_Bank!$M$3:$M$14)</f>
        <v>0</v>
      </c>
      <c r="L64" s="5">
        <f>SUMIFS($I$3:$I$518,$A$3:$A$518,A64,$E$3:$E$518,E64)/SUMIFS(Question_Bank!$M$3:$M$14,Question_Bank!$B$3:$B$14,E64)</f>
        <v>0</v>
      </c>
      <c r="M64" t="s">
        <v>274</v>
      </c>
    </row>
    <row r="65" spans="1:13">
      <c r="A65" t="s">
        <v>273</v>
      </c>
      <c r="B65" t="s">
        <v>263</v>
      </c>
      <c r="C65" t="s">
        <v>133</v>
      </c>
      <c r="D65" t="s">
        <v>37</v>
      </c>
      <c r="E65" t="s">
        <v>15</v>
      </c>
      <c r="F65" t="s">
        <v>23</v>
      </c>
      <c r="G65">
        <f>INDEX(Question_Bank!$G$3:$G$14,MATCH(D65,Question_Bank!$A$3:$A$14,0))</f>
        <v>0</v>
      </c>
      <c r="H65">
        <f>IF(F65=G65,1,0)</f>
        <v>0</v>
      </c>
      <c r="I65">
        <f>H65*INDEX(Question_Bank!$M$3:$M$14,MATCH(D65,Question_Bank!$A$3:$A$14,0))</f>
        <v>0</v>
      </c>
      <c r="J65">
        <f>SUMIFS($I$3:$I$518,$A$3:$A$518,A65)</f>
        <v>0</v>
      </c>
      <c r="K65" s="5">
        <f>J65/SUM(Question_Bank!$M$3:$M$14)</f>
        <v>0</v>
      </c>
      <c r="L65" s="5">
        <f>SUMIFS($I$3:$I$518,$A$3:$A$518,A65,$E$3:$E$518,E65)/SUMIFS(Question_Bank!$M$3:$M$14,Question_Bank!$B$3:$B$14,E65)</f>
        <v>0</v>
      </c>
      <c r="M65" t="s">
        <v>274</v>
      </c>
    </row>
    <row r="66" spans="1:13">
      <c r="A66" t="s">
        <v>273</v>
      </c>
      <c r="B66" t="s">
        <v>263</v>
      </c>
      <c r="C66" t="s">
        <v>133</v>
      </c>
      <c r="D66" t="s">
        <v>45</v>
      </c>
      <c r="E66" t="s">
        <v>46</v>
      </c>
      <c r="F66" t="s">
        <v>31</v>
      </c>
      <c r="G66">
        <f>INDEX(Question_Bank!$G$3:$G$14,MATCH(D66,Question_Bank!$A$3:$A$14,0))</f>
        <v>0</v>
      </c>
      <c r="H66">
        <f>IF(F66=G66,1,0)</f>
        <v>0</v>
      </c>
      <c r="I66">
        <f>H66*INDEX(Question_Bank!$M$3:$M$14,MATCH(D66,Question_Bank!$A$3:$A$14,0))</f>
        <v>0</v>
      </c>
      <c r="J66">
        <f>SUMIFS($I$3:$I$518,$A$3:$A$518,A66)</f>
        <v>0</v>
      </c>
      <c r="K66" s="5">
        <f>J66/SUM(Question_Bank!$M$3:$M$14)</f>
        <v>0</v>
      </c>
      <c r="L66" s="5">
        <f>SUMIFS($I$3:$I$518,$A$3:$A$518,A66,$E$3:$E$518,E66)/SUMIFS(Question_Bank!$M$3:$M$14,Question_Bank!$B$3:$B$14,E66)</f>
        <v>0</v>
      </c>
      <c r="M66" t="s">
        <v>274</v>
      </c>
    </row>
    <row r="67" spans="1:13">
      <c r="A67" t="s">
        <v>273</v>
      </c>
      <c r="B67" t="s">
        <v>263</v>
      </c>
      <c r="C67" t="s">
        <v>133</v>
      </c>
      <c r="D67" t="s">
        <v>54</v>
      </c>
      <c r="E67" t="s">
        <v>46</v>
      </c>
      <c r="F67" t="s">
        <v>20</v>
      </c>
      <c r="G67">
        <f>INDEX(Question_Bank!$G$3:$G$14,MATCH(D67,Question_Bank!$A$3:$A$14,0))</f>
        <v>0</v>
      </c>
      <c r="H67">
        <f>IF(F67=G67,1,0)</f>
        <v>0</v>
      </c>
      <c r="I67">
        <f>H67*INDEX(Question_Bank!$M$3:$M$14,MATCH(D67,Question_Bank!$A$3:$A$14,0))</f>
        <v>0</v>
      </c>
      <c r="J67">
        <f>SUMIFS($I$3:$I$518,$A$3:$A$518,A67)</f>
        <v>0</v>
      </c>
      <c r="K67" s="5">
        <f>J67/SUM(Question_Bank!$M$3:$M$14)</f>
        <v>0</v>
      </c>
      <c r="L67" s="5">
        <f>SUMIFS($I$3:$I$518,$A$3:$A$518,A67,$E$3:$E$518,E67)/SUMIFS(Question_Bank!$M$3:$M$14,Question_Bank!$B$3:$B$14,E67)</f>
        <v>0</v>
      </c>
      <c r="M67" t="s">
        <v>274</v>
      </c>
    </row>
    <row r="68" spans="1:13">
      <c r="A68" t="s">
        <v>273</v>
      </c>
      <c r="B68" t="s">
        <v>263</v>
      </c>
      <c r="C68" t="s">
        <v>133</v>
      </c>
      <c r="D68" t="s">
        <v>62</v>
      </c>
      <c r="E68" t="s">
        <v>46</v>
      </c>
      <c r="F68" t="s">
        <v>34</v>
      </c>
      <c r="G68">
        <f>INDEX(Question_Bank!$G$3:$G$14,MATCH(D68,Question_Bank!$A$3:$A$14,0))</f>
        <v>0</v>
      </c>
      <c r="H68">
        <f>IF(F68=G68,1,0)</f>
        <v>0</v>
      </c>
      <c r="I68">
        <f>H68*INDEX(Question_Bank!$M$3:$M$14,MATCH(D68,Question_Bank!$A$3:$A$14,0))</f>
        <v>0</v>
      </c>
      <c r="J68">
        <f>SUMIFS($I$3:$I$518,$A$3:$A$518,A68)</f>
        <v>0</v>
      </c>
      <c r="K68" s="5">
        <f>J68/SUM(Question_Bank!$M$3:$M$14)</f>
        <v>0</v>
      </c>
      <c r="L68" s="5">
        <f>SUMIFS($I$3:$I$518,$A$3:$A$518,A68,$E$3:$E$518,E68)/SUMIFS(Question_Bank!$M$3:$M$14,Question_Bank!$B$3:$B$14,E68)</f>
        <v>0</v>
      </c>
      <c r="M68" t="s">
        <v>274</v>
      </c>
    </row>
    <row r="69" spans="1:13">
      <c r="A69" t="s">
        <v>273</v>
      </c>
      <c r="B69" t="s">
        <v>263</v>
      </c>
      <c r="C69" t="s">
        <v>133</v>
      </c>
      <c r="D69" t="s">
        <v>70</v>
      </c>
      <c r="E69" t="s">
        <v>71</v>
      </c>
      <c r="F69" t="s">
        <v>34</v>
      </c>
      <c r="G69">
        <f>INDEX(Question_Bank!$G$3:$G$14,MATCH(D69,Question_Bank!$A$3:$A$14,0))</f>
        <v>0</v>
      </c>
      <c r="H69">
        <f>IF(F69=G69,1,0)</f>
        <v>0</v>
      </c>
      <c r="I69">
        <f>H69*INDEX(Question_Bank!$M$3:$M$14,MATCH(D69,Question_Bank!$A$3:$A$14,0))</f>
        <v>0</v>
      </c>
      <c r="J69">
        <f>SUMIFS($I$3:$I$518,$A$3:$A$518,A69)</f>
        <v>0</v>
      </c>
      <c r="K69" s="5">
        <f>J69/SUM(Question_Bank!$M$3:$M$14)</f>
        <v>0</v>
      </c>
      <c r="L69" s="5">
        <f>SUMIFS($I$3:$I$518,$A$3:$A$518,A69,$E$3:$E$518,E69)/SUMIFS(Question_Bank!$M$3:$M$14,Question_Bank!$B$3:$B$14,E69)</f>
        <v>0</v>
      </c>
      <c r="M69" t="s">
        <v>274</v>
      </c>
    </row>
    <row r="70" spans="1:13">
      <c r="A70" t="s">
        <v>273</v>
      </c>
      <c r="B70" t="s">
        <v>263</v>
      </c>
      <c r="C70" t="s">
        <v>133</v>
      </c>
      <c r="D70" t="s">
        <v>79</v>
      </c>
      <c r="E70" t="s">
        <v>71</v>
      </c>
      <c r="F70" t="s">
        <v>20</v>
      </c>
      <c r="G70">
        <f>INDEX(Question_Bank!$G$3:$G$14,MATCH(D70,Question_Bank!$A$3:$A$14,0))</f>
        <v>0</v>
      </c>
      <c r="H70">
        <f>IF(F70=G70,1,0)</f>
        <v>0</v>
      </c>
      <c r="I70">
        <f>H70*INDEX(Question_Bank!$M$3:$M$14,MATCH(D70,Question_Bank!$A$3:$A$14,0))</f>
        <v>0</v>
      </c>
      <c r="J70">
        <f>SUMIFS($I$3:$I$518,$A$3:$A$518,A70)</f>
        <v>0</v>
      </c>
      <c r="K70" s="5">
        <f>J70/SUM(Question_Bank!$M$3:$M$14)</f>
        <v>0</v>
      </c>
      <c r="L70" s="5">
        <f>SUMIFS($I$3:$I$518,$A$3:$A$518,A70,$E$3:$E$518,E70)/SUMIFS(Question_Bank!$M$3:$M$14,Question_Bank!$B$3:$B$14,E70)</f>
        <v>0</v>
      </c>
      <c r="M70" t="s">
        <v>274</v>
      </c>
    </row>
    <row r="71" spans="1:13">
      <c r="A71" t="s">
        <v>273</v>
      </c>
      <c r="B71" t="s">
        <v>263</v>
      </c>
      <c r="C71" t="s">
        <v>133</v>
      </c>
      <c r="D71" t="s">
        <v>87</v>
      </c>
      <c r="E71" t="s">
        <v>71</v>
      </c>
      <c r="F71" t="s">
        <v>23</v>
      </c>
      <c r="G71">
        <f>INDEX(Question_Bank!$G$3:$G$14,MATCH(D71,Question_Bank!$A$3:$A$14,0))</f>
        <v>0</v>
      </c>
      <c r="H71">
        <f>IF(F71=G71,1,0)</f>
        <v>0</v>
      </c>
      <c r="I71">
        <f>H71*INDEX(Question_Bank!$M$3:$M$14,MATCH(D71,Question_Bank!$A$3:$A$14,0))</f>
        <v>0</v>
      </c>
      <c r="J71">
        <f>SUMIFS($I$3:$I$518,$A$3:$A$518,A71)</f>
        <v>0</v>
      </c>
      <c r="K71" s="5">
        <f>J71/SUM(Question_Bank!$M$3:$M$14)</f>
        <v>0</v>
      </c>
      <c r="L71" s="5">
        <f>SUMIFS($I$3:$I$518,$A$3:$A$518,A71,$E$3:$E$518,E71)/SUMIFS(Question_Bank!$M$3:$M$14,Question_Bank!$B$3:$B$14,E71)</f>
        <v>0</v>
      </c>
      <c r="M71" t="s">
        <v>274</v>
      </c>
    </row>
    <row r="72" spans="1:13">
      <c r="A72" t="s">
        <v>273</v>
      </c>
      <c r="B72" t="s">
        <v>263</v>
      </c>
      <c r="C72" t="s">
        <v>133</v>
      </c>
      <c r="D72" t="s">
        <v>95</v>
      </c>
      <c r="E72" t="s">
        <v>96</v>
      </c>
      <c r="F72" t="s">
        <v>23</v>
      </c>
      <c r="G72">
        <f>INDEX(Question_Bank!$G$3:$G$14,MATCH(D72,Question_Bank!$A$3:$A$14,0))</f>
        <v>0</v>
      </c>
      <c r="H72">
        <f>IF(F72=G72,1,0)</f>
        <v>0</v>
      </c>
      <c r="I72">
        <f>H72*INDEX(Question_Bank!$M$3:$M$14,MATCH(D72,Question_Bank!$A$3:$A$14,0))</f>
        <v>0</v>
      </c>
      <c r="J72">
        <f>SUMIFS($I$3:$I$518,$A$3:$A$518,A72)</f>
        <v>0</v>
      </c>
      <c r="K72" s="5">
        <f>J72/SUM(Question_Bank!$M$3:$M$14)</f>
        <v>0</v>
      </c>
      <c r="L72" s="5">
        <f>SUMIFS($I$3:$I$518,$A$3:$A$518,A72,$E$3:$E$518,E72)/SUMIFS(Question_Bank!$M$3:$M$14,Question_Bank!$B$3:$B$14,E72)</f>
        <v>0</v>
      </c>
      <c r="M72" t="s">
        <v>274</v>
      </c>
    </row>
    <row r="73" spans="1:13">
      <c r="A73" t="s">
        <v>273</v>
      </c>
      <c r="B73" t="s">
        <v>263</v>
      </c>
      <c r="C73" t="s">
        <v>133</v>
      </c>
      <c r="D73" t="s">
        <v>104</v>
      </c>
      <c r="E73" t="s">
        <v>96</v>
      </c>
      <c r="F73" t="s">
        <v>31</v>
      </c>
      <c r="G73">
        <f>INDEX(Question_Bank!$G$3:$G$14,MATCH(D73,Question_Bank!$A$3:$A$14,0))</f>
        <v>0</v>
      </c>
      <c r="H73">
        <f>IF(F73=G73,1,0)</f>
        <v>0</v>
      </c>
      <c r="I73">
        <f>H73*INDEX(Question_Bank!$M$3:$M$14,MATCH(D73,Question_Bank!$A$3:$A$14,0))</f>
        <v>0</v>
      </c>
      <c r="J73">
        <f>SUMIFS($I$3:$I$518,$A$3:$A$518,A73)</f>
        <v>0</v>
      </c>
      <c r="K73" s="5">
        <f>J73/SUM(Question_Bank!$M$3:$M$14)</f>
        <v>0</v>
      </c>
      <c r="L73" s="5">
        <f>SUMIFS($I$3:$I$518,$A$3:$A$518,A73,$E$3:$E$518,E73)/SUMIFS(Question_Bank!$M$3:$M$14,Question_Bank!$B$3:$B$14,E73)</f>
        <v>0</v>
      </c>
      <c r="M73" t="s">
        <v>274</v>
      </c>
    </row>
    <row r="74" spans="1:13">
      <c r="A74" t="s">
        <v>273</v>
      </c>
      <c r="B74" t="s">
        <v>263</v>
      </c>
      <c r="C74" t="s">
        <v>133</v>
      </c>
      <c r="D74" t="s">
        <v>112</v>
      </c>
      <c r="E74" t="s">
        <v>96</v>
      </c>
      <c r="F74" t="s">
        <v>31</v>
      </c>
      <c r="G74">
        <f>INDEX(Question_Bank!$G$3:$G$14,MATCH(D74,Question_Bank!$A$3:$A$14,0))</f>
        <v>0</v>
      </c>
      <c r="H74">
        <f>IF(F74=G74,1,0)</f>
        <v>0</v>
      </c>
      <c r="I74">
        <f>H74*INDEX(Question_Bank!$M$3:$M$14,MATCH(D74,Question_Bank!$A$3:$A$14,0))</f>
        <v>0</v>
      </c>
      <c r="J74">
        <f>SUMIFS($I$3:$I$518,$A$3:$A$518,A74)</f>
        <v>0</v>
      </c>
      <c r="K74" s="5">
        <f>J74/SUM(Question_Bank!$M$3:$M$14)</f>
        <v>0</v>
      </c>
      <c r="L74" s="5">
        <f>SUMIFS($I$3:$I$518,$A$3:$A$518,A74,$E$3:$E$518,E74)/SUMIFS(Question_Bank!$M$3:$M$14,Question_Bank!$B$3:$B$14,E74)</f>
        <v>0</v>
      </c>
      <c r="M74" t="s">
        <v>274</v>
      </c>
    </row>
    <row r="75" spans="1:13">
      <c r="A75" t="s">
        <v>275</v>
      </c>
      <c r="B75" t="s">
        <v>263</v>
      </c>
      <c r="C75" t="s">
        <v>133</v>
      </c>
      <c r="D75" t="s">
        <v>14</v>
      </c>
      <c r="E75" t="s">
        <v>15</v>
      </c>
      <c r="F75" t="s">
        <v>31</v>
      </c>
      <c r="G75">
        <f>INDEX(Question_Bank!$G$3:$G$14,MATCH(D75,Question_Bank!$A$3:$A$14,0))</f>
        <v>0</v>
      </c>
      <c r="H75">
        <f>IF(F75=G75,1,0)</f>
        <v>0</v>
      </c>
      <c r="I75">
        <f>H75*INDEX(Question_Bank!$M$3:$M$14,MATCH(D75,Question_Bank!$A$3:$A$14,0))</f>
        <v>0</v>
      </c>
      <c r="J75">
        <f>SUMIFS($I$3:$I$518,$A$3:$A$518,A75)</f>
        <v>0</v>
      </c>
      <c r="K75" s="5">
        <f>J75/SUM(Question_Bank!$M$3:$M$14)</f>
        <v>0</v>
      </c>
      <c r="L75" s="5">
        <f>SUMIFS($I$3:$I$518,$A$3:$A$518,A75,$E$3:$E$518,E75)/SUMIFS(Question_Bank!$M$3:$M$14,Question_Bank!$B$3:$B$14,E75)</f>
        <v>0</v>
      </c>
      <c r="M75" t="s">
        <v>276</v>
      </c>
    </row>
    <row r="76" spans="1:13">
      <c r="A76" t="s">
        <v>275</v>
      </c>
      <c r="B76" t="s">
        <v>263</v>
      </c>
      <c r="C76" t="s">
        <v>133</v>
      </c>
      <c r="D76" t="s">
        <v>26</v>
      </c>
      <c r="E76" t="s">
        <v>15</v>
      </c>
      <c r="F76" t="s">
        <v>20</v>
      </c>
      <c r="G76">
        <f>INDEX(Question_Bank!$G$3:$G$14,MATCH(D76,Question_Bank!$A$3:$A$14,0))</f>
        <v>0</v>
      </c>
      <c r="H76">
        <f>IF(F76=G76,1,0)</f>
        <v>0</v>
      </c>
      <c r="I76">
        <f>H76*INDEX(Question_Bank!$M$3:$M$14,MATCH(D76,Question_Bank!$A$3:$A$14,0))</f>
        <v>0</v>
      </c>
      <c r="J76">
        <f>SUMIFS($I$3:$I$518,$A$3:$A$518,A76)</f>
        <v>0</v>
      </c>
      <c r="K76" s="5">
        <f>J76/SUM(Question_Bank!$M$3:$M$14)</f>
        <v>0</v>
      </c>
      <c r="L76" s="5">
        <f>SUMIFS($I$3:$I$518,$A$3:$A$518,A76,$E$3:$E$518,E76)/SUMIFS(Question_Bank!$M$3:$M$14,Question_Bank!$B$3:$B$14,E76)</f>
        <v>0</v>
      </c>
      <c r="M76" t="s">
        <v>276</v>
      </c>
    </row>
    <row r="77" spans="1:13">
      <c r="A77" t="s">
        <v>275</v>
      </c>
      <c r="B77" t="s">
        <v>263</v>
      </c>
      <c r="C77" t="s">
        <v>133</v>
      </c>
      <c r="D77" t="s">
        <v>37</v>
      </c>
      <c r="E77" t="s">
        <v>15</v>
      </c>
      <c r="F77" t="s">
        <v>20</v>
      </c>
      <c r="G77">
        <f>INDEX(Question_Bank!$G$3:$G$14,MATCH(D77,Question_Bank!$A$3:$A$14,0))</f>
        <v>0</v>
      </c>
      <c r="H77">
        <f>IF(F77=G77,1,0)</f>
        <v>0</v>
      </c>
      <c r="I77">
        <f>H77*INDEX(Question_Bank!$M$3:$M$14,MATCH(D77,Question_Bank!$A$3:$A$14,0))</f>
        <v>0</v>
      </c>
      <c r="J77">
        <f>SUMIFS($I$3:$I$518,$A$3:$A$518,A77)</f>
        <v>0</v>
      </c>
      <c r="K77" s="5">
        <f>J77/SUM(Question_Bank!$M$3:$M$14)</f>
        <v>0</v>
      </c>
      <c r="L77" s="5">
        <f>SUMIFS($I$3:$I$518,$A$3:$A$518,A77,$E$3:$E$518,E77)/SUMIFS(Question_Bank!$M$3:$M$14,Question_Bank!$B$3:$B$14,E77)</f>
        <v>0</v>
      </c>
      <c r="M77" t="s">
        <v>276</v>
      </c>
    </row>
    <row r="78" spans="1:13">
      <c r="A78" t="s">
        <v>275</v>
      </c>
      <c r="B78" t="s">
        <v>263</v>
      </c>
      <c r="C78" t="s">
        <v>133</v>
      </c>
      <c r="D78" t="s">
        <v>45</v>
      </c>
      <c r="E78" t="s">
        <v>46</v>
      </c>
      <c r="F78" t="s">
        <v>20</v>
      </c>
      <c r="G78">
        <f>INDEX(Question_Bank!$G$3:$G$14,MATCH(D78,Question_Bank!$A$3:$A$14,0))</f>
        <v>0</v>
      </c>
      <c r="H78">
        <f>IF(F78=G78,1,0)</f>
        <v>0</v>
      </c>
      <c r="I78">
        <f>H78*INDEX(Question_Bank!$M$3:$M$14,MATCH(D78,Question_Bank!$A$3:$A$14,0))</f>
        <v>0</v>
      </c>
      <c r="J78">
        <f>SUMIFS($I$3:$I$518,$A$3:$A$518,A78)</f>
        <v>0</v>
      </c>
      <c r="K78" s="5">
        <f>J78/SUM(Question_Bank!$M$3:$M$14)</f>
        <v>0</v>
      </c>
      <c r="L78" s="5">
        <f>SUMIFS($I$3:$I$518,$A$3:$A$518,A78,$E$3:$E$518,E78)/SUMIFS(Question_Bank!$M$3:$M$14,Question_Bank!$B$3:$B$14,E78)</f>
        <v>0</v>
      </c>
      <c r="M78" t="s">
        <v>276</v>
      </c>
    </row>
    <row r="79" spans="1:13">
      <c r="A79" t="s">
        <v>275</v>
      </c>
      <c r="B79" t="s">
        <v>263</v>
      </c>
      <c r="C79" t="s">
        <v>133</v>
      </c>
      <c r="D79" t="s">
        <v>54</v>
      </c>
      <c r="E79" t="s">
        <v>46</v>
      </c>
      <c r="F79" t="s">
        <v>34</v>
      </c>
      <c r="G79">
        <f>INDEX(Question_Bank!$G$3:$G$14,MATCH(D79,Question_Bank!$A$3:$A$14,0))</f>
        <v>0</v>
      </c>
      <c r="H79">
        <f>IF(F79=G79,1,0)</f>
        <v>0</v>
      </c>
      <c r="I79">
        <f>H79*INDEX(Question_Bank!$M$3:$M$14,MATCH(D79,Question_Bank!$A$3:$A$14,0))</f>
        <v>0</v>
      </c>
      <c r="J79">
        <f>SUMIFS($I$3:$I$518,$A$3:$A$518,A79)</f>
        <v>0</v>
      </c>
      <c r="K79" s="5">
        <f>J79/SUM(Question_Bank!$M$3:$M$14)</f>
        <v>0</v>
      </c>
      <c r="L79" s="5">
        <f>SUMIFS($I$3:$I$518,$A$3:$A$518,A79,$E$3:$E$518,E79)/SUMIFS(Question_Bank!$M$3:$M$14,Question_Bank!$B$3:$B$14,E79)</f>
        <v>0</v>
      </c>
      <c r="M79" t="s">
        <v>276</v>
      </c>
    </row>
    <row r="80" spans="1:13">
      <c r="A80" t="s">
        <v>275</v>
      </c>
      <c r="B80" t="s">
        <v>263</v>
      </c>
      <c r="C80" t="s">
        <v>133</v>
      </c>
      <c r="D80" t="s">
        <v>62</v>
      </c>
      <c r="E80" t="s">
        <v>46</v>
      </c>
      <c r="F80" t="s">
        <v>34</v>
      </c>
      <c r="G80">
        <f>INDEX(Question_Bank!$G$3:$G$14,MATCH(D80,Question_Bank!$A$3:$A$14,0))</f>
        <v>0</v>
      </c>
      <c r="H80">
        <f>IF(F80=G80,1,0)</f>
        <v>0</v>
      </c>
      <c r="I80">
        <f>H80*INDEX(Question_Bank!$M$3:$M$14,MATCH(D80,Question_Bank!$A$3:$A$14,0))</f>
        <v>0</v>
      </c>
      <c r="J80">
        <f>SUMIFS($I$3:$I$518,$A$3:$A$518,A80)</f>
        <v>0</v>
      </c>
      <c r="K80" s="5">
        <f>J80/SUM(Question_Bank!$M$3:$M$14)</f>
        <v>0</v>
      </c>
      <c r="L80" s="5">
        <f>SUMIFS($I$3:$I$518,$A$3:$A$518,A80,$E$3:$E$518,E80)/SUMIFS(Question_Bank!$M$3:$M$14,Question_Bank!$B$3:$B$14,E80)</f>
        <v>0</v>
      </c>
      <c r="M80" t="s">
        <v>276</v>
      </c>
    </row>
    <row r="81" spans="1:13">
      <c r="A81" t="s">
        <v>275</v>
      </c>
      <c r="B81" t="s">
        <v>263</v>
      </c>
      <c r="C81" t="s">
        <v>133</v>
      </c>
      <c r="D81" t="s">
        <v>70</v>
      </c>
      <c r="E81" t="s">
        <v>71</v>
      </c>
      <c r="F81" t="s">
        <v>20</v>
      </c>
      <c r="G81">
        <f>INDEX(Question_Bank!$G$3:$G$14,MATCH(D81,Question_Bank!$A$3:$A$14,0))</f>
        <v>0</v>
      </c>
      <c r="H81">
        <f>IF(F81=G81,1,0)</f>
        <v>0</v>
      </c>
      <c r="I81">
        <f>H81*INDEX(Question_Bank!$M$3:$M$14,MATCH(D81,Question_Bank!$A$3:$A$14,0))</f>
        <v>0</v>
      </c>
      <c r="J81">
        <f>SUMIFS($I$3:$I$518,$A$3:$A$518,A81)</f>
        <v>0</v>
      </c>
      <c r="K81" s="5">
        <f>J81/SUM(Question_Bank!$M$3:$M$14)</f>
        <v>0</v>
      </c>
      <c r="L81" s="5">
        <f>SUMIFS($I$3:$I$518,$A$3:$A$518,A81,$E$3:$E$518,E81)/SUMIFS(Question_Bank!$M$3:$M$14,Question_Bank!$B$3:$B$14,E81)</f>
        <v>0</v>
      </c>
      <c r="M81" t="s">
        <v>276</v>
      </c>
    </row>
    <row r="82" spans="1:13">
      <c r="A82" t="s">
        <v>275</v>
      </c>
      <c r="B82" t="s">
        <v>263</v>
      </c>
      <c r="C82" t="s">
        <v>133</v>
      </c>
      <c r="D82" t="s">
        <v>79</v>
      </c>
      <c r="E82" t="s">
        <v>71</v>
      </c>
      <c r="F82" t="s">
        <v>31</v>
      </c>
      <c r="G82">
        <f>INDEX(Question_Bank!$G$3:$G$14,MATCH(D82,Question_Bank!$A$3:$A$14,0))</f>
        <v>0</v>
      </c>
      <c r="H82">
        <f>IF(F82=G82,1,0)</f>
        <v>0</v>
      </c>
      <c r="I82">
        <f>H82*INDEX(Question_Bank!$M$3:$M$14,MATCH(D82,Question_Bank!$A$3:$A$14,0))</f>
        <v>0</v>
      </c>
      <c r="J82">
        <f>SUMIFS($I$3:$I$518,$A$3:$A$518,A82)</f>
        <v>0</v>
      </c>
      <c r="K82" s="5">
        <f>J82/SUM(Question_Bank!$M$3:$M$14)</f>
        <v>0</v>
      </c>
      <c r="L82" s="5">
        <f>SUMIFS($I$3:$I$518,$A$3:$A$518,A82,$E$3:$E$518,E82)/SUMIFS(Question_Bank!$M$3:$M$14,Question_Bank!$B$3:$B$14,E82)</f>
        <v>0</v>
      </c>
      <c r="M82" t="s">
        <v>276</v>
      </c>
    </row>
    <row r="83" spans="1:13">
      <c r="A83" t="s">
        <v>275</v>
      </c>
      <c r="B83" t="s">
        <v>263</v>
      </c>
      <c r="C83" t="s">
        <v>133</v>
      </c>
      <c r="D83" t="s">
        <v>87</v>
      </c>
      <c r="E83" t="s">
        <v>71</v>
      </c>
      <c r="F83" t="s">
        <v>34</v>
      </c>
      <c r="G83">
        <f>INDEX(Question_Bank!$G$3:$G$14,MATCH(D83,Question_Bank!$A$3:$A$14,0))</f>
        <v>0</v>
      </c>
      <c r="H83">
        <f>IF(F83=G83,1,0)</f>
        <v>0</v>
      </c>
      <c r="I83">
        <f>H83*INDEX(Question_Bank!$M$3:$M$14,MATCH(D83,Question_Bank!$A$3:$A$14,0))</f>
        <v>0</v>
      </c>
      <c r="J83">
        <f>SUMIFS($I$3:$I$518,$A$3:$A$518,A83)</f>
        <v>0</v>
      </c>
      <c r="K83" s="5">
        <f>J83/SUM(Question_Bank!$M$3:$M$14)</f>
        <v>0</v>
      </c>
      <c r="L83" s="5">
        <f>SUMIFS($I$3:$I$518,$A$3:$A$518,A83,$E$3:$E$518,E83)/SUMIFS(Question_Bank!$M$3:$M$14,Question_Bank!$B$3:$B$14,E83)</f>
        <v>0</v>
      </c>
      <c r="M83" t="s">
        <v>276</v>
      </c>
    </row>
    <row r="84" spans="1:13">
      <c r="A84" t="s">
        <v>275</v>
      </c>
      <c r="B84" t="s">
        <v>263</v>
      </c>
      <c r="C84" t="s">
        <v>133</v>
      </c>
      <c r="D84" t="s">
        <v>95</v>
      </c>
      <c r="E84" t="s">
        <v>96</v>
      </c>
      <c r="F84" t="s">
        <v>31</v>
      </c>
      <c r="G84">
        <f>INDEX(Question_Bank!$G$3:$G$14,MATCH(D84,Question_Bank!$A$3:$A$14,0))</f>
        <v>0</v>
      </c>
      <c r="H84">
        <f>IF(F84=G84,1,0)</f>
        <v>0</v>
      </c>
      <c r="I84">
        <f>H84*INDEX(Question_Bank!$M$3:$M$14,MATCH(D84,Question_Bank!$A$3:$A$14,0))</f>
        <v>0</v>
      </c>
      <c r="J84">
        <f>SUMIFS($I$3:$I$518,$A$3:$A$518,A84)</f>
        <v>0</v>
      </c>
      <c r="K84" s="5">
        <f>J84/SUM(Question_Bank!$M$3:$M$14)</f>
        <v>0</v>
      </c>
      <c r="L84" s="5">
        <f>SUMIFS($I$3:$I$518,$A$3:$A$518,A84,$E$3:$E$518,E84)/SUMIFS(Question_Bank!$M$3:$M$14,Question_Bank!$B$3:$B$14,E84)</f>
        <v>0</v>
      </c>
      <c r="M84" t="s">
        <v>276</v>
      </c>
    </row>
    <row r="85" spans="1:13">
      <c r="A85" t="s">
        <v>275</v>
      </c>
      <c r="B85" t="s">
        <v>263</v>
      </c>
      <c r="C85" t="s">
        <v>133</v>
      </c>
      <c r="D85" t="s">
        <v>104</v>
      </c>
      <c r="E85" t="s">
        <v>96</v>
      </c>
      <c r="F85" t="s">
        <v>31</v>
      </c>
      <c r="G85">
        <f>INDEX(Question_Bank!$G$3:$G$14,MATCH(D85,Question_Bank!$A$3:$A$14,0))</f>
        <v>0</v>
      </c>
      <c r="H85">
        <f>IF(F85=G85,1,0)</f>
        <v>0</v>
      </c>
      <c r="I85">
        <f>H85*INDEX(Question_Bank!$M$3:$M$14,MATCH(D85,Question_Bank!$A$3:$A$14,0))</f>
        <v>0</v>
      </c>
      <c r="J85">
        <f>SUMIFS($I$3:$I$518,$A$3:$A$518,A85)</f>
        <v>0</v>
      </c>
      <c r="K85" s="5">
        <f>J85/SUM(Question_Bank!$M$3:$M$14)</f>
        <v>0</v>
      </c>
      <c r="L85" s="5">
        <f>SUMIFS($I$3:$I$518,$A$3:$A$518,A85,$E$3:$E$518,E85)/SUMIFS(Question_Bank!$M$3:$M$14,Question_Bank!$B$3:$B$14,E85)</f>
        <v>0</v>
      </c>
      <c r="M85" t="s">
        <v>276</v>
      </c>
    </row>
    <row r="86" spans="1:13">
      <c r="A86" t="s">
        <v>275</v>
      </c>
      <c r="B86" t="s">
        <v>263</v>
      </c>
      <c r="C86" t="s">
        <v>133</v>
      </c>
      <c r="D86" t="s">
        <v>112</v>
      </c>
      <c r="E86" t="s">
        <v>96</v>
      </c>
      <c r="F86" t="s">
        <v>34</v>
      </c>
      <c r="G86">
        <f>INDEX(Question_Bank!$G$3:$G$14,MATCH(D86,Question_Bank!$A$3:$A$14,0))</f>
        <v>0</v>
      </c>
      <c r="H86">
        <f>IF(F86=G86,1,0)</f>
        <v>0</v>
      </c>
      <c r="I86">
        <f>H86*INDEX(Question_Bank!$M$3:$M$14,MATCH(D86,Question_Bank!$A$3:$A$14,0))</f>
        <v>0</v>
      </c>
      <c r="J86">
        <f>SUMIFS($I$3:$I$518,$A$3:$A$518,A86)</f>
        <v>0</v>
      </c>
      <c r="K86" s="5">
        <f>J86/SUM(Question_Bank!$M$3:$M$14)</f>
        <v>0</v>
      </c>
      <c r="L86" s="5">
        <f>SUMIFS($I$3:$I$518,$A$3:$A$518,A86,$E$3:$E$518,E86)/SUMIFS(Question_Bank!$M$3:$M$14,Question_Bank!$B$3:$B$14,E86)</f>
        <v>0</v>
      </c>
      <c r="M86" t="s">
        <v>276</v>
      </c>
    </row>
    <row r="87" spans="1:13">
      <c r="A87" t="s">
        <v>277</v>
      </c>
      <c r="B87" t="s">
        <v>263</v>
      </c>
      <c r="C87" t="s">
        <v>133</v>
      </c>
      <c r="D87" t="s">
        <v>14</v>
      </c>
      <c r="E87" t="s">
        <v>15</v>
      </c>
      <c r="F87" t="s">
        <v>20</v>
      </c>
      <c r="G87">
        <f>INDEX(Question_Bank!$G$3:$G$14,MATCH(D87,Question_Bank!$A$3:$A$14,0))</f>
        <v>0</v>
      </c>
      <c r="H87">
        <f>IF(F87=G87,1,0)</f>
        <v>0</v>
      </c>
      <c r="I87">
        <f>H87*INDEX(Question_Bank!$M$3:$M$14,MATCH(D87,Question_Bank!$A$3:$A$14,0))</f>
        <v>0</v>
      </c>
      <c r="J87">
        <f>SUMIFS($I$3:$I$518,$A$3:$A$518,A87)</f>
        <v>0</v>
      </c>
      <c r="K87" s="5">
        <f>J87/SUM(Question_Bank!$M$3:$M$14)</f>
        <v>0</v>
      </c>
      <c r="L87" s="5">
        <f>SUMIFS($I$3:$I$518,$A$3:$A$518,A87,$E$3:$E$518,E87)/SUMIFS(Question_Bank!$M$3:$M$14,Question_Bank!$B$3:$B$14,E87)</f>
        <v>0</v>
      </c>
      <c r="M87" t="s">
        <v>278</v>
      </c>
    </row>
    <row r="88" spans="1:13">
      <c r="A88" t="s">
        <v>277</v>
      </c>
      <c r="B88" t="s">
        <v>263</v>
      </c>
      <c r="C88" t="s">
        <v>133</v>
      </c>
      <c r="D88" t="s">
        <v>26</v>
      </c>
      <c r="E88" t="s">
        <v>15</v>
      </c>
      <c r="F88" t="s">
        <v>34</v>
      </c>
      <c r="G88">
        <f>INDEX(Question_Bank!$G$3:$G$14,MATCH(D88,Question_Bank!$A$3:$A$14,0))</f>
        <v>0</v>
      </c>
      <c r="H88">
        <f>IF(F88=G88,1,0)</f>
        <v>0</v>
      </c>
      <c r="I88">
        <f>H88*INDEX(Question_Bank!$M$3:$M$14,MATCH(D88,Question_Bank!$A$3:$A$14,0))</f>
        <v>0</v>
      </c>
      <c r="J88">
        <f>SUMIFS($I$3:$I$518,$A$3:$A$518,A88)</f>
        <v>0</v>
      </c>
      <c r="K88" s="5">
        <f>J88/SUM(Question_Bank!$M$3:$M$14)</f>
        <v>0</v>
      </c>
      <c r="L88" s="5">
        <f>SUMIFS($I$3:$I$518,$A$3:$A$518,A88,$E$3:$E$518,E88)/SUMIFS(Question_Bank!$M$3:$M$14,Question_Bank!$B$3:$B$14,E88)</f>
        <v>0</v>
      </c>
      <c r="M88" t="s">
        <v>278</v>
      </c>
    </row>
    <row r="89" spans="1:13">
      <c r="A89" t="s">
        <v>277</v>
      </c>
      <c r="B89" t="s">
        <v>263</v>
      </c>
      <c r="C89" t="s">
        <v>133</v>
      </c>
      <c r="D89" t="s">
        <v>37</v>
      </c>
      <c r="E89" t="s">
        <v>15</v>
      </c>
      <c r="F89" t="s">
        <v>31</v>
      </c>
      <c r="G89">
        <f>INDEX(Question_Bank!$G$3:$G$14,MATCH(D89,Question_Bank!$A$3:$A$14,0))</f>
        <v>0</v>
      </c>
      <c r="H89">
        <f>IF(F89=G89,1,0)</f>
        <v>0</v>
      </c>
      <c r="I89">
        <f>H89*INDEX(Question_Bank!$M$3:$M$14,MATCH(D89,Question_Bank!$A$3:$A$14,0))</f>
        <v>0</v>
      </c>
      <c r="J89">
        <f>SUMIFS($I$3:$I$518,$A$3:$A$518,A89)</f>
        <v>0</v>
      </c>
      <c r="K89" s="5">
        <f>J89/SUM(Question_Bank!$M$3:$M$14)</f>
        <v>0</v>
      </c>
      <c r="L89" s="5">
        <f>SUMIFS($I$3:$I$518,$A$3:$A$518,A89,$E$3:$E$518,E89)/SUMIFS(Question_Bank!$M$3:$M$14,Question_Bank!$B$3:$B$14,E89)</f>
        <v>0</v>
      </c>
      <c r="M89" t="s">
        <v>278</v>
      </c>
    </row>
    <row r="90" spans="1:13">
      <c r="A90" t="s">
        <v>277</v>
      </c>
      <c r="B90" t="s">
        <v>263</v>
      </c>
      <c r="C90" t="s">
        <v>133</v>
      </c>
      <c r="D90" t="s">
        <v>45</v>
      </c>
      <c r="E90" t="s">
        <v>46</v>
      </c>
      <c r="F90" t="s">
        <v>23</v>
      </c>
      <c r="G90">
        <f>INDEX(Question_Bank!$G$3:$G$14,MATCH(D90,Question_Bank!$A$3:$A$14,0))</f>
        <v>0</v>
      </c>
      <c r="H90">
        <f>IF(F90=G90,1,0)</f>
        <v>0</v>
      </c>
      <c r="I90">
        <f>H90*INDEX(Question_Bank!$M$3:$M$14,MATCH(D90,Question_Bank!$A$3:$A$14,0))</f>
        <v>0</v>
      </c>
      <c r="J90">
        <f>SUMIFS($I$3:$I$518,$A$3:$A$518,A90)</f>
        <v>0</v>
      </c>
      <c r="K90" s="5">
        <f>J90/SUM(Question_Bank!$M$3:$M$14)</f>
        <v>0</v>
      </c>
      <c r="L90" s="5">
        <f>SUMIFS($I$3:$I$518,$A$3:$A$518,A90,$E$3:$E$518,E90)/SUMIFS(Question_Bank!$M$3:$M$14,Question_Bank!$B$3:$B$14,E90)</f>
        <v>0</v>
      </c>
      <c r="M90" t="s">
        <v>278</v>
      </c>
    </row>
    <row r="91" spans="1:13">
      <c r="A91" t="s">
        <v>277</v>
      </c>
      <c r="B91" t="s">
        <v>263</v>
      </c>
      <c r="C91" t="s">
        <v>133</v>
      </c>
      <c r="D91" t="s">
        <v>54</v>
      </c>
      <c r="E91" t="s">
        <v>46</v>
      </c>
      <c r="F91" t="s">
        <v>20</v>
      </c>
      <c r="G91">
        <f>INDEX(Question_Bank!$G$3:$G$14,MATCH(D91,Question_Bank!$A$3:$A$14,0))</f>
        <v>0</v>
      </c>
      <c r="H91">
        <f>IF(F91=G91,1,0)</f>
        <v>0</v>
      </c>
      <c r="I91">
        <f>H91*INDEX(Question_Bank!$M$3:$M$14,MATCH(D91,Question_Bank!$A$3:$A$14,0))</f>
        <v>0</v>
      </c>
      <c r="J91">
        <f>SUMIFS($I$3:$I$518,$A$3:$A$518,A91)</f>
        <v>0</v>
      </c>
      <c r="K91" s="5">
        <f>J91/SUM(Question_Bank!$M$3:$M$14)</f>
        <v>0</v>
      </c>
      <c r="L91" s="5">
        <f>SUMIFS($I$3:$I$518,$A$3:$A$518,A91,$E$3:$E$518,E91)/SUMIFS(Question_Bank!$M$3:$M$14,Question_Bank!$B$3:$B$14,E91)</f>
        <v>0</v>
      </c>
      <c r="M91" t="s">
        <v>278</v>
      </c>
    </row>
    <row r="92" spans="1:13">
      <c r="A92" t="s">
        <v>277</v>
      </c>
      <c r="B92" t="s">
        <v>263</v>
      </c>
      <c r="C92" t="s">
        <v>133</v>
      </c>
      <c r="D92" t="s">
        <v>62</v>
      </c>
      <c r="E92" t="s">
        <v>46</v>
      </c>
      <c r="F92" t="s">
        <v>31</v>
      </c>
      <c r="G92">
        <f>INDEX(Question_Bank!$G$3:$G$14,MATCH(D92,Question_Bank!$A$3:$A$14,0))</f>
        <v>0</v>
      </c>
      <c r="H92">
        <f>IF(F92=G92,1,0)</f>
        <v>0</v>
      </c>
      <c r="I92">
        <f>H92*INDEX(Question_Bank!$M$3:$M$14,MATCH(D92,Question_Bank!$A$3:$A$14,0))</f>
        <v>0</v>
      </c>
      <c r="J92">
        <f>SUMIFS($I$3:$I$518,$A$3:$A$518,A92)</f>
        <v>0</v>
      </c>
      <c r="K92" s="5">
        <f>J92/SUM(Question_Bank!$M$3:$M$14)</f>
        <v>0</v>
      </c>
      <c r="L92" s="5">
        <f>SUMIFS($I$3:$I$518,$A$3:$A$518,A92,$E$3:$E$518,E92)/SUMIFS(Question_Bank!$M$3:$M$14,Question_Bank!$B$3:$B$14,E92)</f>
        <v>0</v>
      </c>
      <c r="M92" t="s">
        <v>278</v>
      </c>
    </row>
    <row r="93" spans="1:13">
      <c r="A93" t="s">
        <v>277</v>
      </c>
      <c r="B93" t="s">
        <v>263</v>
      </c>
      <c r="C93" t="s">
        <v>133</v>
      </c>
      <c r="D93" t="s">
        <v>70</v>
      </c>
      <c r="E93" t="s">
        <v>71</v>
      </c>
      <c r="F93" t="s">
        <v>31</v>
      </c>
      <c r="G93">
        <f>INDEX(Question_Bank!$G$3:$G$14,MATCH(D93,Question_Bank!$A$3:$A$14,0))</f>
        <v>0</v>
      </c>
      <c r="H93">
        <f>IF(F93=G93,1,0)</f>
        <v>0</v>
      </c>
      <c r="I93">
        <f>H93*INDEX(Question_Bank!$M$3:$M$14,MATCH(D93,Question_Bank!$A$3:$A$14,0))</f>
        <v>0</v>
      </c>
      <c r="J93">
        <f>SUMIFS($I$3:$I$518,$A$3:$A$518,A93)</f>
        <v>0</v>
      </c>
      <c r="K93" s="5">
        <f>J93/SUM(Question_Bank!$M$3:$M$14)</f>
        <v>0</v>
      </c>
      <c r="L93" s="5">
        <f>SUMIFS($I$3:$I$518,$A$3:$A$518,A93,$E$3:$E$518,E93)/SUMIFS(Question_Bank!$M$3:$M$14,Question_Bank!$B$3:$B$14,E93)</f>
        <v>0</v>
      </c>
      <c r="M93" t="s">
        <v>278</v>
      </c>
    </row>
    <row r="94" spans="1:13">
      <c r="A94" t="s">
        <v>277</v>
      </c>
      <c r="B94" t="s">
        <v>263</v>
      </c>
      <c r="C94" t="s">
        <v>133</v>
      </c>
      <c r="D94" t="s">
        <v>79</v>
      </c>
      <c r="E94" t="s">
        <v>71</v>
      </c>
      <c r="F94" t="s">
        <v>34</v>
      </c>
      <c r="G94">
        <f>INDEX(Question_Bank!$G$3:$G$14,MATCH(D94,Question_Bank!$A$3:$A$14,0))</f>
        <v>0</v>
      </c>
      <c r="H94">
        <f>IF(F94=G94,1,0)</f>
        <v>0</v>
      </c>
      <c r="I94">
        <f>H94*INDEX(Question_Bank!$M$3:$M$14,MATCH(D94,Question_Bank!$A$3:$A$14,0))</f>
        <v>0</v>
      </c>
      <c r="J94">
        <f>SUMIFS($I$3:$I$518,$A$3:$A$518,A94)</f>
        <v>0</v>
      </c>
      <c r="K94" s="5">
        <f>J94/SUM(Question_Bank!$M$3:$M$14)</f>
        <v>0</v>
      </c>
      <c r="L94" s="5">
        <f>SUMIFS($I$3:$I$518,$A$3:$A$518,A94,$E$3:$E$518,E94)/SUMIFS(Question_Bank!$M$3:$M$14,Question_Bank!$B$3:$B$14,E94)</f>
        <v>0</v>
      </c>
      <c r="M94" t="s">
        <v>278</v>
      </c>
    </row>
    <row r="95" spans="1:13">
      <c r="A95" t="s">
        <v>277</v>
      </c>
      <c r="B95" t="s">
        <v>263</v>
      </c>
      <c r="C95" t="s">
        <v>133</v>
      </c>
      <c r="D95" t="s">
        <v>87</v>
      </c>
      <c r="E95" t="s">
        <v>71</v>
      </c>
      <c r="F95" t="s">
        <v>20</v>
      </c>
      <c r="G95">
        <f>INDEX(Question_Bank!$G$3:$G$14,MATCH(D95,Question_Bank!$A$3:$A$14,0))</f>
        <v>0</v>
      </c>
      <c r="H95">
        <f>IF(F95=G95,1,0)</f>
        <v>0</v>
      </c>
      <c r="I95">
        <f>H95*INDEX(Question_Bank!$M$3:$M$14,MATCH(D95,Question_Bank!$A$3:$A$14,0))</f>
        <v>0</v>
      </c>
      <c r="J95">
        <f>SUMIFS($I$3:$I$518,$A$3:$A$518,A95)</f>
        <v>0</v>
      </c>
      <c r="K95" s="5">
        <f>J95/SUM(Question_Bank!$M$3:$M$14)</f>
        <v>0</v>
      </c>
      <c r="L95" s="5">
        <f>SUMIFS($I$3:$I$518,$A$3:$A$518,A95,$E$3:$E$518,E95)/SUMIFS(Question_Bank!$M$3:$M$14,Question_Bank!$B$3:$B$14,E95)</f>
        <v>0</v>
      </c>
      <c r="M95" t="s">
        <v>278</v>
      </c>
    </row>
    <row r="96" spans="1:13">
      <c r="A96" t="s">
        <v>277</v>
      </c>
      <c r="B96" t="s">
        <v>263</v>
      </c>
      <c r="C96" t="s">
        <v>133</v>
      </c>
      <c r="D96" t="s">
        <v>95</v>
      </c>
      <c r="E96" t="s">
        <v>96</v>
      </c>
      <c r="F96" t="s">
        <v>31</v>
      </c>
      <c r="G96">
        <f>INDEX(Question_Bank!$G$3:$G$14,MATCH(D96,Question_Bank!$A$3:$A$14,0))</f>
        <v>0</v>
      </c>
      <c r="H96">
        <f>IF(F96=G96,1,0)</f>
        <v>0</v>
      </c>
      <c r="I96">
        <f>H96*INDEX(Question_Bank!$M$3:$M$14,MATCH(D96,Question_Bank!$A$3:$A$14,0))</f>
        <v>0</v>
      </c>
      <c r="J96">
        <f>SUMIFS($I$3:$I$518,$A$3:$A$518,A96)</f>
        <v>0</v>
      </c>
      <c r="K96" s="5">
        <f>J96/SUM(Question_Bank!$M$3:$M$14)</f>
        <v>0</v>
      </c>
      <c r="L96" s="5">
        <f>SUMIFS($I$3:$I$518,$A$3:$A$518,A96,$E$3:$E$518,E96)/SUMIFS(Question_Bank!$M$3:$M$14,Question_Bank!$B$3:$B$14,E96)</f>
        <v>0</v>
      </c>
      <c r="M96" t="s">
        <v>278</v>
      </c>
    </row>
    <row r="97" spans="1:13">
      <c r="A97" t="s">
        <v>277</v>
      </c>
      <c r="B97" t="s">
        <v>263</v>
      </c>
      <c r="C97" t="s">
        <v>133</v>
      </c>
      <c r="D97" t="s">
        <v>104</v>
      </c>
      <c r="E97" t="s">
        <v>96</v>
      </c>
      <c r="F97" t="s">
        <v>20</v>
      </c>
      <c r="G97">
        <f>INDEX(Question_Bank!$G$3:$G$14,MATCH(D97,Question_Bank!$A$3:$A$14,0))</f>
        <v>0</v>
      </c>
      <c r="H97">
        <f>IF(F97=G97,1,0)</f>
        <v>0</v>
      </c>
      <c r="I97">
        <f>H97*INDEX(Question_Bank!$M$3:$M$14,MATCH(D97,Question_Bank!$A$3:$A$14,0))</f>
        <v>0</v>
      </c>
      <c r="J97">
        <f>SUMIFS($I$3:$I$518,$A$3:$A$518,A97)</f>
        <v>0</v>
      </c>
      <c r="K97" s="5">
        <f>J97/SUM(Question_Bank!$M$3:$M$14)</f>
        <v>0</v>
      </c>
      <c r="L97" s="5">
        <f>SUMIFS($I$3:$I$518,$A$3:$A$518,A97,$E$3:$E$518,E97)/SUMIFS(Question_Bank!$M$3:$M$14,Question_Bank!$B$3:$B$14,E97)</f>
        <v>0</v>
      </c>
      <c r="M97" t="s">
        <v>278</v>
      </c>
    </row>
    <row r="98" spans="1:13">
      <c r="A98" t="s">
        <v>277</v>
      </c>
      <c r="B98" t="s">
        <v>263</v>
      </c>
      <c r="C98" t="s">
        <v>133</v>
      </c>
      <c r="D98" t="s">
        <v>112</v>
      </c>
      <c r="E98" t="s">
        <v>96</v>
      </c>
      <c r="F98" t="s">
        <v>34</v>
      </c>
      <c r="G98">
        <f>INDEX(Question_Bank!$G$3:$G$14,MATCH(D98,Question_Bank!$A$3:$A$14,0))</f>
        <v>0</v>
      </c>
      <c r="H98">
        <f>IF(F98=G98,1,0)</f>
        <v>0</v>
      </c>
      <c r="I98">
        <f>H98*INDEX(Question_Bank!$M$3:$M$14,MATCH(D98,Question_Bank!$A$3:$A$14,0))</f>
        <v>0</v>
      </c>
      <c r="J98">
        <f>SUMIFS($I$3:$I$518,$A$3:$A$518,A98)</f>
        <v>0</v>
      </c>
      <c r="K98" s="5">
        <f>J98/SUM(Question_Bank!$M$3:$M$14)</f>
        <v>0</v>
      </c>
      <c r="L98" s="5">
        <f>SUMIFS($I$3:$I$518,$A$3:$A$518,A98,$E$3:$E$518,E98)/SUMIFS(Question_Bank!$M$3:$M$14,Question_Bank!$B$3:$B$14,E98)</f>
        <v>0</v>
      </c>
      <c r="M98" t="s">
        <v>278</v>
      </c>
    </row>
    <row r="99" spans="1:13">
      <c r="A99" t="s">
        <v>279</v>
      </c>
      <c r="B99" t="s">
        <v>263</v>
      </c>
      <c r="C99" t="s">
        <v>133</v>
      </c>
      <c r="D99" t="s">
        <v>14</v>
      </c>
      <c r="E99" t="s">
        <v>15</v>
      </c>
      <c r="F99" t="s">
        <v>20</v>
      </c>
      <c r="G99">
        <f>INDEX(Question_Bank!$G$3:$G$14,MATCH(D99,Question_Bank!$A$3:$A$14,0))</f>
        <v>0</v>
      </c>
      <c r="H99">
        <f>IF(F99=G99,1,0)</f>
        <v>0</v>
      </c>
      <c r="I99">
        <f>H99*INDEX(Question_Bank!$M$3:$M$14,MATCH(D99,Question_Bank!$A$3:$A$14,0))</f>
        <v>0</v>
      </c>
      <c r="J99">
        <f>SUMIFS($I$3:$I$518,$A$3:$A$518,A99)</f>
        <v>0</v>
      </c>
      <c r="K99" s="5">
        <f>J99/SUM(Question_Bank!$M$3:$M$14)</f>
        <v>0</v>
      </c>
      <c r="L99" s="5">
        <f>SUMIFS($I$3:$I$518,$A$3:$A$518,A99,$E$3:$E$518,E99)/SUMIFS(Question_Bank!$M$3:$M$14,Question_Bank!$B$3:$B$14,E99)</f>
        <v>0</v>
      </c>
      <c r="M99" t="s">
        <v>280</v>
      </c>
    </row>
    <row r="100" spans="1:13">
      <c r="A100" t="s">
        <v>279</v>
      </c>
      <c r="B100" t="s">
        <v>263</v>
      </c>
      <c r="C100" t="s">
        <v>133</v>
      </c>
      <c r="D100" t="s">
        <v>26</v>
      </c>
      <c r="E100" t="s">
        <v>15</v>
      </c>
      <c r="F100" t="s">
        <v>31</v>
      </c>
      <c r="G100">
        <f>INDEX(Question_Bank!$G$3:$G$14,MATCH(D100,Question_Bank!$A$3:$A$14,0))</f>
        <v>0</v>
      </c>
      <c r="H100">
        <f>IF(F100=G100,1,0)</f>
        <v>0</v>
      </c>
      <c r="I100">
        <f>H100*INDEX(Question_Bank!$M$3:$M$14,MATCH(D100,Question_Bank!$A$3:$A$14,0))</f>
        <v>0</v>
      </c>
      <c r="J100">
        <f>SUMIFS($I$3:$I$518,$A$3:$A$518,A100)</f>
        <v>0</v>
      </c>
      <c r="K100" s="5">
        <f>J100/SUM(Question_Bank!$M$3:$M$14)</f>
        <v>0</v>
      </c>
      <c r="L100" s="5">
        <f>SUMIFS($I$3:$I$518,$A$3:$A$518,A100,$E$3:$E$518,E100)/SUMIFS(Question_Bank!$M$3:$M$14,Question_Bank!$B$3:$B$14,E100)</f>
        <v>0</v>
      </c>
      <c r="M100" t="s">
        <v>280</v>
      </c>
    </row>
    <row r="101" spans="1:13">
      <c r="A101" t="s">
        <v>279</v>
      </c>
      <c r="B101" t="s">
        <v>263</v>
      </c>
      <c r="C101" t="s">
        <v>133</v>
      </c>
      <c r="D101" t="s">
        <v>37</v>
      </c>
      <c r="E101" t="s">
        <v>15</v>
      </c>
      <c r="F101" t="s">
        <v>23</v>
      </c>
      <c r="G101">
        <f>INDEX(Question_Bank!$G$3:$G$14,MATCH(D101,Question_Bank!$A$3:$A$14,0))</f>
        <v>0</v>
      </c>
      <c r="H101">
        <f>IF(F101=G101,1,0)</f>
        <v>0</v>
      </c>
      <c r="I101">
        <f>H101*INDEX(Question_Bank!$M$3:$M$14,MATCH(D101,Question_Bank!$A$3:$A$14,0))</f>
        <v>0</v>
      </c>
      <c r="J101">
        <f>SUMIFS($I$3:$I$518,$A$3:$A$518,A101)</f>
        <v>0</v>
      </c>
      <c r="K101" s="5">
        <f>J101/SUM(Question_Bank!$M$3:$M$14)</f>
        <v>0</v>
      </c>
      <c r="L101" s="5">
        <f>SUMIFS($I$3:$I$518,$A$3:$A$518,A101,$E$3:$E$518,E101)/SUMIFS(Question_Bank!$M$3:$M$14,Question_Bank!$B$3:$B$14,E101)</f>
        <v>0</v>
      </c>
      <c r="M101" t="s">
        <v>280</v>
      </c>
    </row>
    <row r="102" spans="1:13">
      <c r="A102" t="s">
        <v>279</v>
      </c>
      <c r="B102" t="s">
        <v>263</v>
      </c>
      <c r="C102" t="s">
        <v>133</v>
      </c>
      <c r="D102" t="s">
        <v>45</v>
      </c>
      <c r="E102" t="s">
        <v>46</v>
      </c>
      <c r="F102" t="s">
        <v>20</v>
      </c>
      <c r="G102">
        <f>INDEX(Question_Bank!$G$3:$G$14,MATCH(D102,Question_Bank!$A$3:$A$14,0))</f>
        <v>0</v>
      </c>
      <c r="H102">
        <f>IF(F102=G102,1,0)</f>
        <v>0</v>
      </c>
      <c r="I102">
        <f>H102*INDEX(Question_Bank!$M$3:$M$14,MATCH(D102,Question_Bank!$A$3:$A$14,0))</f>
        <v>0</v>
      </c>
      <c r="J102">
        <f>SUMIFS($I$3:$I$518,$A$3:$A$518,A102)</f>
        <v>0</v>
      </c>
      <c r="K102" s="5">
        <f>J102/SUM(Question_Bank!$M$3:$M$14)</f>
        <v>0</v>
      </c>
      <c r="L102" s="5">
        <f>SUMIFS($I$3:$I$518,$A$3:$A$518,A102,$E$3:$E$518,E102)/SUMIFS(Question_Bank!$M$3:$M$14,Question_Bank!$B$3:$B$14,E102)</f>
        <v>0</v>
      </c>
      <c r="M102" t="s">
        <v>280</v>
      </c>
    </row>
    <row r="103" spans="1:13">
      <c r="A103" t="s">
        <v>279</v>
      </c>
      <c r="B103" t="s">
        <v>263</v>
      </c>
      <c r="C103" t="s">
        <v>133</v>
      </c>
      <c r="D103" t="s">
        <v>54</v>
      </c>
      <c r="E103" t="s">
        <v>46</v>
      </c>
      <c r="F103" t="s">
        <v>34</v>
      </c>
      <c r="G103">
        <f>INDEX(Question_Bank!$G$3:$G$14,MATCH(D103,Question_Bank!$A$3:$A$14,0))</f>
        <v>0</v>
      </c>
      <c r="H103">
        <f>IF(F103=G103,1,0)</f>
        <v>0</v>
      </c>
      <c r="I103">
        <f>H103*INDEX(Question_Bank!$M$3:$M$14,MATCH(D103,Question_Bank!$A$3:$A$14,0))</f>
        <v>0</v>
      </c>
      <c r="J103">
        <f>SUMIFS($I$3:$I$518,$A$3:$A$518,A103)</f>
        <v>0</v>
      </c>
      <c r="K103" s="5">
        <f>J103/SUM(Question_Bank!$M$3:$M$14)</f>
        <v>0</v>
      </c>
      <c r="L103" s="5">
        <f>SUMIFS($I$3:$I$518,$A$3:$A$518,A103,$E$3:$E$518,E103)/SUMIFS(Question_Bank!$M$3:$M$14,Question_Bank!$B$3:$B$14,E103)</f>
        <v>0</v>
      </c>
      <c r="M103" t="s">
        <v>280</v>
      </c>
    </row>
    <row r="104" spans="1:13">
      <c r="A104" t="s">
        <v>279</v>
      </c>
      <c r="B104" t="s">
        <v>263</v>
      </c>
      <c r="C104" t="s">
        <v>133</v>
      </c>
      <c r="D104" t="s">
        <v>62</v>
      </c>
      <c r="E104" t="s">
        <v>46</v>
      </c>
      <c r="F104" t="s">
        <v>31</v>
      </c>
      <c r="G104">
        <f>INDEX(Question_Bank!$G$3:$G$14,MATCH(D104,Question_Bank!$A$3:$A$14,0))</f>
        <v>0</v>
      </c>
      <c r="H104">
        <f>IF(F104=G104,1,0)</f>
        <v>0</v>
      </c>
      <c r="I104">
        <f>H104*INDEX(Question_Bank!$M$3:$M$14,MATCH(D104,Question_Bank!$A$3:$A$14,0))</f>
        <v>0</v>
      </c>
      <c r="J104">
        <f>SUMIFS($I$3:$I$518,$A$3:$A$518,A104)</f>
        <v>0</v>
      </c>
      <c r="K104" s="5">
        <f>J104/SUM(Question_Bank!$M$3:$M$14)</f>
        <v>0</v>
      </c>
      <c r="L104" s="5">
        <f>SUMIFS($I$3:$I$518,$A$3:$A$518,A104,$E$3:$E$518,E104)/SUMIFS(Question_Bank!$M$3:$M$14,Question_Bank!$B$3:$B$14,E104)</f>
        <v>0</v>
      </c>
      <c r="M104" t="s">
        <v>280</v>
      </c>
    </row>
    <row r="105" spans="1:13">
      <c r="A105" t="s">
        <v>279</v>
      </c>
      <c r="B105" t="s">
        <v>263</v>
      </c>
      <c r="C105" t="s">
        <v>133</v>
      </c>
      <c r="D105" t="s">
        <v>70</v>
      </c>
      <c r="E105" t="s">
        <v>71</v>
      </c>
      <c r="F105" t="s">
        <v>23</v>
      </c>
      <c r="G105">
        <f>INDEX(Question_Bank!$G$3:$G$14,MATCH(D105,Question_Bank!$A$3:$A$14,0))</f>
        <v>0</v>
      </c>
      <c r="H105">
        <f>IF(F105=G105,1,0)</f>
        <v>0</v>
      </c>
      <c r="I105">
        <f>H105*INDEX(Question_Bank!$M$3:$M$14,MATCH(D105,Question_Bank!$A$3:$A$14,0))</f>
        <v>0</v>
      </c>
      <c r="J105">
        <f>SUMIFS($I$3:$I$518,$A$3:$A$518,A105)</f>
        <v>0</v>
      </c>
      <c r="K105" s="5">
        <f>J105/SUM(Question_Bank!$M$3:$M$14)</f>
        <v>0</v>
      </c>
      <c r="L105" s="5">
        <f>SUMIFS($I$3:$I$518,$A$3:$A$518,A105,$E$3:$E$518,E105)/SUMIFS(Question_Bank!$M$3:$M$14,Question_Bank!$B$3:$B$14,E105)</f>
        <v>0</v>
      </c>
      <c r="M105" t="s">
        <v>280</v>
      </c>
    </row>
    <row r="106" spans="1:13">
      <c r="A106" t="s">
        <v>279</v>
      </c>
      <c r="B106" t="s">
        <v>263</v>
      </c>
      <c r="C106" t="s">
        <v>133</v>
      </c>
      <c r="D106" t="s">
        <v>79</v>
      </c>
      <c r="E106" t="s">
        <v>71</v>
      </c>
      <c r="F106" t="s">
        <v>20</v>
      </c>
      <c r="G106">
        <f>INDEX(Question_Bank!$G$3:$G$14,MATCH(D106,Question_Bank!$A$3:$A$14,0))</f>
        <v>0</v>
      </c>
      <c r="H106">
        <f>IF(F106=G106,1,0)</f>
        <v>0</v>
      </c>
      <c r="I106">
        <f>H106*INDEX(Question_Bank!$M$3:$M$14,MATCH(D106,Question_Bank!$A$3:$A$14,0))</f>
        <v>0</v>
      </c>
      <c r="J106">
        <f>SUMIFS($I$3:$I$518,$A$3:$A$518,A106)</f>
        <v>0</v>
      </c>
      <c r="K106" s="5">
        <f>J106/SUM(Question_Bank!$M$3:$M$14)</f>
        <v>0</v>
      </c>
      <c r="L106" s="5">
        <f>SUMIFS($I$3:$I$518,$A$3:$A$518,A106,$E$3:$E$518,E106)/SUMIFS(Question_Bank!$M$3:$M$14,Question_Bank!$B$3:$B$14,E106)</f>
        <v>0</v>
      </c>
      <c r="M106" t="s">
        <v>280</v>
      </c>
    </row>
    <row r="107" spans="1:13">
      <c r="A107" t="s">
        <v>279</v>
      </c>
      <c r="B107" t="s">
        <v>263</v>
      </c>
      <c r="C107" t="s">
        <v>133</v>
      </c>
      <c r="D107" t="s">
        <v>87</v>
      </c>
      <c r="E107" t="s">
        <v>71</v>
      </c>
      <c r="F107" t="s">
        <v>34</v>
      </c>
      <c r="G107">
        <f>INDEX(Question_Bank!$G$3:$G$14,MATCH(D107,Question_Bank!$A$3:$A$14,0))</f>
        <v>0</v>
      </c>
      <c r="H107">
        <f>IF(F107=G107,1,0)</f>
        <v>0</v>
      </c>
      <c r="I107">
        <f>H107*INDEX(Question_Bank!$M$3:$M$14,MATCH(D107,Question_Bank!$A$3:$A$14,0))</f>
        <v>0</v>
      </c>
      <c r="J107">
        <f>SUMIFS($I$3:$I$518,$A$3:$A$518,A107)</f>
        <v>0</v>
      </c>
      <c r="K107" s="5">
        <f>J107/SUM(Question_Bank!$M$3:$M$14)</f>
        <v>0</v>
      </c>
      <c r="L107" s="5">
        <f>SUMIFS($I$3:$I$518,$A$3:$A$518,A107,$E$3:$E$518,E107)/SUMIFS(Question_Bank!$M$3:$M$14,Question_Bank!$B$3:$B$14,E107)</f>
        <v>0</v>
      </c>
      <c r="M107" t="s">
        <v>280</v>
      </c>
    </row>
    <row r="108" spans="1:13">
      <c r="A108" t="s">
        <v>279</v>
      </c>
      <c r="B108" t="s">
        <v>263</v>
      </c>
      <c r="C108" t="s">
        <v>133</v>
      </c>
      <c r="D108" t="s">
        <v>95</v>
      </c>
      <c r="E108" t="s">
        <v>96</v>
      </c>
      <c r="F108" t="s">
        <v>34</v>
      </c>
      <c r="G108">
        <f>INDEX(Question_Bank!$G$3:$G$14,MATCH(D108,Question_Bank!$A$3:$A$14,0))</f>
        <v>0</v>
      </c>
      <c r="H108">
        <f>IF(F108=G108,1,0)</f>
        <v>0</v>
      </c>
      <c r="I108">
        <f>H108*INDEX(Question_Bank!$M$3:$M$14,MATCH(D108,Question_Bank!$A$3:$A$14,0))</f>
        <v>0</v>
      </c>
      <c r="J108">
        <f>SUMIFS($I$3:$I$518,$A$3:$A$518,A108)</f>
        <v>0</v>
      </c>
      <c r="K108" s="5">
        <f>J108/SUM(Question_Bank!$M$3:$M$14)</f>
        <v>0</v>
      </c>
      <c r="L108" s="5">
        <f>SUMIFS($I$3:$I$518,$A$3:$A$518,A108,$E$3:$E$518,E108)/SUMIFS(Question_Bank!$M$3:$M$14,Question_Bank!$B$3:$B$14,E108)</f>
        <v>0</v>
      </c>
      <c r="M108" t="s">
        <v>280</v>
      </c>
    </row>
    <row r="109" spans="1:13">
      <c r="A109" t="s">
        <v>279</v>
      </c>
      <c r="B109" t="s">
        <v>263</v>
      </c>
      <c r="C109" t="s">
        <v>133</v>
      </c>
      <c r="D109" t="s">
        <v>104</v>
      </c>
      <c r="E109" t="s">
        <v>96</v>
      </c>
      <c r="F109" t="s">
        <v>23</v>
      </c>
      <c r="G109">
        <f>INDEX(Question_Bank!$G$3:$G$14,MATCH(D109,Question_Bank!$A$3:$A$14,0))</f>
        <v>0</v>
      </c>
      <c r="H109">
        <f>IF(F109=G109,1,0)</f>
        <v>0</v>
      </c>
      <c r="I109">
        <f>H109*INDEX(Question_Bank!$M$3:$M$14,MATCH(D109,Question_Bank!$A$3:$A$14,0))</f>
        <v>0</v>
      </c>
      <c r="J109">
        <f>SUMIFS($I$3:$I$518,$A$3:$A$518,A109)</f>
        <v>0</v>
      </c>
      <c r="K109" s="5">
        <f>J109/SUM(Question_Bank!$M$3:$M$14)</f>
        <v>0</v>
      </c>
      <c r="L109" s="5">
        <f>SUMIFS($I$3:$I$518,$A$3:$A$518,A109,$E$3:$E$518,E109)/SUMIFS(Question_Bank!$M$3:$M$14,Question_Bank!$B$3:$B$14,E109)</f>
        <v>0</v>
      </c>
      <c r="M109" t="s">
        <v>280</v>
      </c>
    </row>
    <row r="110" spans="1:13">
      <c r="A110" t="s">
        <v>279</v>
      </c>
      <c r="B110" t="s">
        <v>263</v>
      </c>
      <c r="C110" t="s">
        <v>133</v>
      </c>
      <c r="D110" t="s">
        <v>112</v>
      </c>
      <c r="E110" t="s">
        <v>96</v>
      </c>
      <c r="F110" t="s">
        <v>20</v>
      </c>
      <c r="G110">
        <f>INDEX(Question_Bank!$G$3:$G$14,MATCH(D110,Question_Bank!$A$3:$A$14,0))</f>
        <v>0</v>
      </c>
      <c r="H110">
        <f>IF(F110=G110,1,0)</f>
        <v>0</v>
      </c>
      <c r="I110">
        <f>H110*INDEX(Question_Bank!$M$3:$M$14,MATCH(D110,Question_Bank!$A$3:$A$14,0))</f>
        <v>0</v>
      </c>
      <c r="J110">
        <f>SUMIFS($I$3:$I$518,$A$3:$A$518,A110)</f>
        <v>0</v>
      </c>
      <c r="K110" s="5">
        <f>J110/SUM(Question_Bank!$M$3:$M$14)</f>
        <v>0</v>
      </c>
      <c r="L110" s="5">
        <f>SUMIFS($I$3:$I$518,$A$3:$A$518,A110,$E$3:$E$518,E110)/SUMIFS(Question_Bank!$M$3:$M$14,Question_Bank!$B$3:$B$14,E110)</f>
        <v>0</v>
      </c>
      <c r="M110" t="s">
        <v>280</v>
      </c>
    </row>
    <row r="111" spans="1:13">
      <c r="A111" t="s">
        <v>281</v>
      </c>
      <c r="B111" t="s">
        <v>263</v>
      </c>
      <c r="C111" t="s">
        <v>133</v>
      </c>
      <c r="D111" t="s">
        <v>14</v>
      </c>
      <c r="E111" t="s">
        <v>15</v>
      </c>
      <c r="F111" t="s">
        <v>20</v>
      </c>
      <c r="G111">
        <f>INDEX(Question_Bank!$G$3:$G$14,MATCH(D111,Question_Bank!$A$3:$A$14,0))</f>
        <v>0</v>
      </c>
      <c r="H111">
        <f>IF(F111=G111,1,0)</f>
        <v>0</v>
      </c>
      <c r="I111">
        <f>H111*INDEX(Question_Bank!$M$3:$M$14,MATCH(D111,Question_Bank!$A$3:$A$14,0))</f>
        <v>0</v>
      </c>
      <c r="J111">
        <f>SUMIFS($I$3:$I$518,$A$3:$A$518,A111)</f>
        <v>0</v>
      </c>
      <c r="K111" s="5">
        <f>J111/SUM(Question_Bank!$M$3:$M$14)</f>
        <v>0</v>
      </c>
      <c r="L111" s="5">
        <f>SUMIFS($I$3:$I$518,$A$3:$A$518,A111,$E$3:$E$518,E111)/SUMIFS(Question_Bank!$M$3:$M$14,Question_Bank!$B$3:$B$14,E111)</f>
        <v>0</v>
      </c>
      <c r="M111" t="s">
        <v>282</v>
      </c>
    </row>
    <row r="112" spans="1:13">
      <c r="A112" t="s">
        <v>281</v>
      </c>
      <c r="B112" t="s">
        <v>263</v>
      </c>
      <c r="C112" t="s">
        <v>133</v>
      </c>
      <c r="D112" t="s">
        <v>26</v>
      </c>
      <c r="E112" t="s">
        <v>15</v>
      </c>
      <c r="F112" t="s">
        <v>31</v>
      </c>
      <c r="G112">
        <f>INDEX(Question_Bank!$G$3:$G$14,MATCH(D112,Question_Bank!$A$3:$A$14,0))</f>
        <v>0</v>
      </c>
      <c r="H112">
        <f>IF(F112=G112,1,0)</f>
        <v>0</v>
      </c>
      <c r="I112">
        <f>H112*INDEX(Question_Bank!$M$3:$M$14,MATCH(D112,Question_Bank!$A$3:$A$14,0))</f>
        <v>0</v>
      </c>
      <c r="J112">
        <f>SUMIFS($I$3:$I$518,$A$3:$A$518,A112)</f>
        <v>0</v>
      </c>
      <c r="K112" s="5">
        <f>J112/SUM(Question_Bank!$M$3:$M$14)</f>
        <v>0</v>
      </c>
      <c r="L112" s="5">
        <f>SUMIFS($I$3:$I$518,$A$3:$A$518,A112,$E$3:$E$518,E112)/SUMIFS(Question_Bank!$M$3:$M$14,Question_Bank!$B$3:$B$14,E112)</f>
        <v>0</v>
      </c>
      <c r="M112" t="s">
        <v>282</v>
      </c>
    </row>
    <row r="113" spans="1:13">
      <c r="A113" t="s">
        <v>281</v>
      </c>
      <c r="B113" t="s">
        <v>263</v>
      </c>
      <c r="C113" t="s">
        <v>133</v>
      </c>
      <c r="D113" t="s">
        <v>37</v>
      </c>
      <c r="E113" t="s">
        <v>15</v>
      </c>
      <c r="F113" t="s">
        <v>23</v>
      </c>
      <c r="G113">
        <f>INDEX(Question_Bank!$G$3:$G$14,MATCH(D113,Question_Bank!$A$3:$A$14,0))</f>
        <v>0</v>
      </c>
      <c r="H113">
        <f>IF(F113=G113,1,0)</f>
        <v>0</v>
      </c>
      <c r="I113">
        <f>H113*INDEX(Question_Bank!$M$3:$M$14,MATCH(D113,Question_Bank!$A$3:$A$14,0))</f>
        <v>0</v>
      </c>
      <c r="J113">
        <f>SUMIFS($I$3:$I$518,$A$3:$A$518,A113)</f>
        <v>0</v>
      </c>
      <c r="K113" s="5">
        <f>J113/SUM(Question_Bank!$M$3:$M$14)</f>
        <v>0</v>
      </c>
      <c r="L113" s="5">
        <f>SUMIFS($I$3:$I$518,$A$3:$A$518,A113,$E$3:$E$518,E113)/SUMIFS(Question_Bank!$M$3:$M$14,Question_Bank!$B$3:$B$14,E113)</f>
        <v>0</v>
      </c>
      <c r="M113" t="s">
        <v>282</v>
      </c>
    </row>
    <row r="114" spans="1:13">
      <c r="A114" t="s">
        <v>281</v>
      </c>
      <c r="B114" t="s">
        <v>263</v>
      </c>
      <c r="C114" t="s">
        <v>133</v>
      </c>
      <c r="D114" t="s">
        <v>45</v>
      </c>
      <c r="E114" t="s">
        <v>46</v>
      </c>
      <c r="F114" t="s">
        <v>34</v>
      </c>
      <c r="G114">
        <f>INDEX(Question_Bank!$G$3:$G$14,MATCH(D114,Question_Bank!$A$3:$A$14,0))</f>
        <v>0</v>
      </c>
      <c r="H114">
        <f>IF(F114=G114,1,0)</f>
        <v>0</v>
      </c>
      <c r="I114">
        <f>H114*INDEX(Question_Bank!$M$3:$M$14,MATCH(D114,Question_Bank!$A$3:$A$14,0))</f>
        <v>0</v>
      </c>
      <c r="J114">
        <f>SUMIFS($I$3:$I$518,$A$3:$A$518,A114)</f>
        <v>0</v>
      </c>
      <c r="K114" s="5">
        <f>J114/SUM(Question_Bank!$M$3:$M$14)</f>
        <v>0</v>
      </c>
      <c r="L114" s="5">
        <f>SUMIFS($I$3:$I$518,$A$3:$A$518,A114,$E$3:$E$518,E114)/SUMIFS(Question_Bank!$M$3:$M$14,Question_Bank!$B$3:$B$14,E114)</f>
        <v>0</v>
      </c>
      <c r="M114" t="s">
        <v>282</v>
      </c>
    </row>
    <row r="115" spans="1:13">
      <c r="A115" t="s">
        <v>281</v>
      </c>
      <c r="B115" t="s">
        <v>263</v>
      </c>
      <c r="C115" t="s">
        <v>133</v>
      </c>
      <c r="D115" t="s">
        <v>54</v>
      </c>
      <c r="E115" t="s">
        <v>46</v>
      </c>
      <c r="F115" t="s">
        <v>20</v>
      </c>
      <c r="G115">
        <f>INDEX(Question_Bank!$G$3:$G$14,MATCH(D115,Question_Bank!$A$3:$A$14,0))</f>
        <v>0</v>
      </c>
      <c r="H115">
        <f>IF(F115=G115,1,0)</f>
        <v>0</v>
      </c>
      <c r="I115">
        <f>H115*INDEX(Question_Bank!$M$3:$M$14,MATCH(D115,Question_Bank!$A$3:$A$14,0))</f>
        <v>0</v>
      </c>
      <c r="J115">
        <f>SUMIFS($I$3:$I$518,$A$3:$A$518,A115)</f>
        <v>0</v>
      </c>
      <c r="K115" s="5">
        <f>J115/SUM(Question_Bank!$M$3:$M$14)</f>
        <v>0</v>
      </c>
      <c r="L115" s="5">
        <f>SUMIFS($I$3:$I$518,$A$3:$A$518,A115,$E$3:$E$518,E115)/SUMIFS(Question_Bank!$M$3:$M$14,Question_Bank!$B$3:$B$14,E115)</f>
        <v>0</v>
      </c>
      <c r="M115" t="s">
        <v>282</v>
      </c>
    </row>
    <row r="116" spans="1:13">
      <c r="A116" t="s">
        <v>281</v>
      </c>
      <c r="B116" t="s">
        <v>263</v>
      </c>
      <c r="C116" t="s">
        <v>133</v>
      </c>
      <c r="D116" t="s">
        <v>62</v>
      </c>
      <c r="E116" t="s">
        <v>46</v>
      </c>
      <c r="F116" t="s">
        <v>31</v>
      </c>
      <c r="G116">
        <f>INDEX(Question_Bank!$G$3:$G$14,MATCH(D116,Question_Bank!$A$3:$A$14,0))</f>
        <v>0</v>
      </c>
      <c r="H116">
        <f>IF(F116=G116,1,0)</f>
        <v>0</v>
      </c>
      <c r="I116">
        <f>H116*INDEX(Question_Bank!$M$3:$M$14,MATCH(D116,Question_Bank!$A$3:$A$14,0))</f>
        <v>0</v>
      </c>
      <c r="J116">
        <f>SUMIFS($I$3:$I$518,$A$3:$A$518,A116)</f>
        <v>0</v>
      </c>
      <c r="K116" s="5">
        <f>J116/SUM(Question_Bank!$M$3:$M$14)</f>
        <v>0</v>
      </c>
      <c r="L116" s="5">
        <f>SUMIFS($I$3:$I$518,$A$3:$A$518,A116,$E$3:$E$518,E116)/SUMIFS(Question_Bank!$M$3:$M$14,Question_Bank!$B$3:$B$14,E116)</f>
        <v>0</v>
      </c>
      <c r="M116" t="s">
        <v>282</v>
      </c>
    </row>
    <row r="117" spans="1:13">
      <c r="A117" t="s">
        <v>281</v>
      </c>
      <c r="B117" t="s">
        <v>263</v>
      </c>
      <c r="C117" t="s">
        <v>133</v>
      </c>
      <c r="D117" t="s">
        <v>70</v>
      </c>
      <c r="E117" t="s">
        <v>71</v>
      </c>
      <c r="F117" t="s">
        <v>23</v>
      </c>
      <c r="G117">
        <f>INDEX(Question_Bank!$G$3:$G$14,MATCH(D117,Question_Bank!$A$3:$A$14,0))</f>
        <v>0</v>
      </c>
      <c r="H117">
        <f>IF(F117=G117,1,0)</f>
        <v>0</v>
      </c>
      <c r="I117">
        <f>H117*INDEX(Question_Bank!$M$3:$M$14,MATCH(D117,Question_Bank!$A$3:$A$14,0))</f>
        <v>0</v>
      </c>
      <c r="J117">
        <f>SUMIFS($I$3:$I$518,$A$3:$A$518,A117)</f>
        <v>0</v>
      </c>
      <c r="K117" s="5">
        <f>J117/SUM(Question_Bank!$M$3:$M$14)</f>
        <v>0</v>
      </c>
      <c r="L117" s="5">
        <f>SUMIFS($I$3:$I$518,$A$3:$A$518,A117,$E$3:$E$518,E117)/SUMIFS(Question_Bank!$M$3:$M$14,Question_Bank!$B$3:$B$14,E117)</f>
        <v>0</v>
      </c>
      <c r="M117" t="s">
        <v>282</v>
      </c>
    </row>
    <row r="118" spans="1:13">
      <c r="A118" t="s">
        <v>281</v>
      </c>
      <c r="B118" t="s">
        <v>263</v>
      </c>
      <c r="C118" t="s">
        <v>133</v>
      </c>
      <c r="D118" t="s">
        <v>79</v>
      </c>
      <c r="E118" t="s">
        <v>71</v>
      </c>
      <c r="F118" t="s">
        <v>34</v>
      </c>
      <c r="G118">
        <f>INDEX(Question_Bank!$G$3:$G$14,MATCH(D118,Question_Bank!$A$3:$A$14,0))</f>
        <v>0</v>
      </c>
      <c r="H118">
        <f>IF(F118=G118,1,0)</f>
        <v>0</v>
      </c>
      <c r="I118">
        <f>H118*INDEX(Question_Bank!$M$3:$M$14,MATCH(D118,Question_Bank!$A$3:$A$14,0))</f>
        <v>0</v>
      </c>
      <c r="J118">
        <f>SUMIFS($I$3:$I$518,$A$3:$A$518,A118)</f>
        <v>0</v>
      </c>
      <c r="K118" s="5">
        <f>J118/SUM(Question_Bank!$M$3:$M$14)</f>
        <v>0</v>
      </c>
      <c r="L118" s="5">
        <f>SUMIFS($I$3:$I$518,$A$3:$A$518,A118,$E$3:$E$518,E118)/SUMIFS(Question_Bank!$M$3:$M$14,Question_Bank!$B$3:$B$14,E118)</f>
        <v>0</v>
      </c>
      <c r="M118" t="s">
        <v>282</v>
      </c>
    </row>
    <row r="119" spans="1:13">
      <c r="A119" t="s">
        <v>281</v>
      </c>
      <c r="B119" t="s">
        <v>263</v>
      </c>
      <c r="C119" t="s">
        <v>133</v>
      </c>
      <c r="D119" t="s">
        <v>87</v>
      </c>
      <c r="E119" t="s">
        <v>71</v>
      </c>
      <c r="F119" t="s">
        <v>20</v>
      </c>
      <c r="G119">
        <f>INDEX(Question_Bank!$G$3:$G$14,MATCH(D119,Question_Bank!$A$3:$A$14,0))</f>
        <v>0</v>
      </c>
      <c r="H119">
        <f>IF(F119=G119,1,0)</f>
        <v>0</v>
      </c>
      <c r="I119">
        <f>H119*INDEX(Question_Bank!$M$3:$M$14,MATCH(D119,Question_Bank!$A$3:$A$14,0))</f>
        <v>0</v>
      </c>
      <c r="J119">
        <f>SUMIFS($I$3:$I$518,$A$3:$A$518,A119)</f>
        <v>0</v>
      </c>
      <c r="K119" s="5">
        <f>J119/SUM(Question_Bank!$M$3:$M$14)</f>
        <v>0</v>
      </c>
      <c r="L119" s="5">
        <f>SUMIFS($I$3:$I$518,$A$3:$A$518,A119,$E$3:$E$518,E119)/SUMIFS(Question_Bank!$M$3:$M$14,Question_Bank!$B$3:$B$14,E119)</f>
        <v>0</v>
      </c>
      <c r="M119" t="s">
        <v>282</v>
      </c>
    </row>
    <row r="120" spans="1:13">
      <c r="A120" t="s">
        <v>281</v>
      </c>
      <c r="B120" t="s">
        <v>263</v>
      </c>
      <c r="C120" t="s">
        <v>133</v>
      </c>
      <c r="D120" t="s">
        <v>95</v>
      </c>
      <c r="E120" t="s">
        <v>96</v>
      </c>
      <c r="F120" t="s">
        <v>31</v>
      </c>
      <c r="G120">
        <f>INDEX(Question_Bank!$G$3:$G$14,MATCH(D120,Question_Bank!$A$3:$A$14,0))</f>
        <v>0</v>
      </c>
      <c r="H120">
        <f>IF(F120=G120,1,0)</f>
        <v>0</v>
      </c>
      <c r="I120">
        <f>H120*INDEX(Question_Bank!$M$3:$M$14,MATCH(D120,Question_Bank!$A$3:$A$14,0))</f>
        <v>0</v>
      </c>
      <c r="J120">
        <f>SUMIFS($I$3:$I$518,$A$3:$A$518,A120)</f>
        <v>0</v>
      </c>
      <c r="K120" s="5">
        <f>J120/SUM(Question_Bank!$M$3:$M$14)</f>
        <v>0</v>
      </c>
      <c r="L120" s="5">
        <f>SUMIFS($I$3:$I$518,$A$3:$A$518,A120,$E$3:$E$518,E120)/SUMIFS(Question_Bank!$M$3:$M$14,Question_Bank!$B$3:$B$14,E120)</f>
        <v>0</v>
      </c>
      <c r="M120" t="s">
        <v>282</v>
      </c>
    </row>
    <row r="121" spans="1:13">
      <c r="A121" t="s">
        <v>281</v>
      </c>
      <c r="B121" t="s">
        <v>263</v>
      </c>
      <c r="C121" t="s">
        <v>133</v>
      </c>
      <c r="D121" t="s">
        <v>104</v>
      </c>
      <c r="E121" t="s">
        <v>96</v>
      </c>
      <c r="F121" t="s">
        <v>23</v>
      </c>
      <c r="G121">
        <f>INDEX(Question_Bank!$G$3:$G$14,MATCH(D121,Question_Bank!$A$3:$A$14,0))</f>
        <v>0</v>
      </c>
      <c r="H121">
        <f>IF(F121=G121,1,0)</f>
        <v>0</v>
      </c>
      <c r="I121">
        <f>H121*INDEX(Question_Bank!$M$3:$M$14,MATCH(D121,Question_Bank!$A$3:$A$14,0))</f>
        <v>0</v>
      </c>
      <c r="J121">
        <f>SUMIFS($I$3:$I$518,$A$3:$A$518,A121)</f>
        <v>0</v>
      </c>
      <c r="K121" s="5">
        <f>J121/SUM(Question_Bank!$M$3:$M$14)</f>
        <v>0</v>
      </c>
      <c r="L121" s="5">
        <f>SUMIFS($I$3:$I$518,$A$3:$A$518,A121,$E$3:$E$518,E121)/SUMIFS(Question_Bank!$M$3:$M$14,Question_Bank!$B$3:$B$14,E121)</f>
        <v>0</v>
      </c>
      <c r="M121" t="s">
        <v>282</v>
      </c>
    </row>
    <row r="122" spans="1:13">
      <c r="A122" t="s">
        <v>281</v>
      </c>
      <c r="B122" t="s">
        <v>263</v>
      </c>
      <c r="C122" t="s">
        <v>133</v>
      </c>
      <c r="D122" t="s">
        <v>112</v>
      </c>
      <c r="E122" t="s">
        <v>96</v>
      </c>
      <c r="F122" t="s">
        <v>20</v>
      </c>
      <c r="G122">
        <f>INDEX(Question_Bank!$G$3:$G$14,MATCH(D122,Question_Bank!$A$3:$A$14,0))</f>
        <v>0</v>
      </c>
      <c r="H122">
        <f>IF(F122=G122,1,0)</f>
        <v>0</v>
      </c>
      <c r="I122">
        <f>H122*INDEX(Question_Bank!$M$3:$M$14,MATCH(D122,Question_Bank!$A$3:$A$14,0))</f>
        <v>0</v>
      </c>
      <c r="J122">
        <f>SUMIFS($I$3:$I$518,$A$3:$A$518,A122)</f>
        <v>0</v>
      </c>
      <c r="K122" s="5">
        <f>J122/SUM(Question_Bank!$M$3:$M$14)</f>
        <v>0</v>
      </c>
      <c r="L122" s="5">
        <f>SUMIFS($I$3:$I$518,$A$3:$A$518,A122,$E$3:$E$518,E122)/SUMIFS(Question_Bank!$M$3:$M$14,Question_Bank!$B$3:$B$14,E122)</f>
        <v>0</v>
      </c>
      <c r="M122" t="s">
        <v>282</v>
      </c>
    </row>
    <row r="123" spans="1:13">
      <c r="A123" t="s">
        <v>283</v>
      </c>
      <c r="B123" t="s">
        <v>263</v>
      </c>
      <c r="C123" t="s">
        <v>133</v>
      </c>
      <c r="D123" t="s">
        <v>14</v>
      </c>
      <c r="E123" t="s">
        <v>15</v>
      </c>
      <c r="F123" t="s">
        <v>34</v>
      </c>
      <c r="G123">
        <f>INDEX(Question_Bank!$G$3:$G$14,MATCH(D123,Question_Bank!$A$3:$A$14,0))</f>
        <v>0</v>
      </c>
      <c r="H123">
        <f>IF(F123=G123,1,0)</f>
        <v>0</v>
      </c>
      <c r="I123">
        <f>H123*INDEX(Question_Bank!$M$3:$M$14,MATCH(D123,Question_Bank!$A$3:$A$14,0))</f>
        <v>0</v>
      </c>
      <c r="J123">
        <f>SUMIFS($I$3:$I$518,$A$3:$A$518,A123)</f>
        <v>0</v>
      </c>
      <c r="K123" s="5">
        <f>J123/SUM(Question_Bank!$M$3:$M$14)</f>
        <v>0</v>
      </c>
      <c r="L123" s="5">
        <f>SUMIFS($I$3:$I$518,$A$3:$A$518,A123,$E$3:$E$518,E123)/SUMIFS(Question_Bank!$M$3:$M$14,Question_Bank!$B$3:$B$14,E123)</f>
        <v>0</v>
      </c>
      <c r="M123" t="s">
        <v>284</v>
      </c>
    </row>
    <row r="124" spans="1:13">
      <c r="A124" t="s">
        <v>283</v>
      </c>
      <c r="B124" t="s">
        <v>263</v>
      </c>
      <c r="C124" t="s">
        <v>133</v>
      </c>
      <c r="D124" t="s">
        <v>26</v>
      </c>
      <c r="E124" t="s">
        <v>15</v>
      </c>
      <c r="F124" t="s">
        <v>34</v>
      </c>
      <c r="G124">
        <f>INDEX(Question_Bank!$G$3:$G$14,MATCH(D124,Question_Bank!$A$3:$A$14,0))</f>
        <v>0</v>
      </c>
      <c r="H124">
        <f>IF(F124=G124,1,0)</f>
        <v>0</v>
      </c>
      <c r="I124">
        <f>H124*INDEX(Question_Bank!$M$3:$M$14,MATCH(D124,Question_Bank!$A$3:$A$14,0))</f>
        <v>0</v>
      </c>
      <c r="J124">
        <f>SUMIFS($I$3:$I$518,$A$3:$A$518,A124)</f>
        <v>0</v>
      </c>
      <c r="K124" s="5">
        <f>J124/SUM(Question_Bank!$M$3:$M$14)</f>
        <v>0</v>
      </c>
      <c r="L124" s="5">
        <f>SUMIFS($I$3:$I$518,$A$3:$A$518,A124,$E$3:$E$518,E124)/SUMIFS(Question_Bank!$M$3:$M$14,Question_Bank!$B$3:$B$14,E124)</f>
        <v>0</v>
      </c>
      <c r="M124" t="s">
        <v>284</v>
      </c>
    </row>
    <row r="125" spans="1:13">
      <c r="A125" t="s">
        <v>283</v>
      </c>
      <c r="B125" t="s">
        <v>263</v>
      </c>
      <c r="C125" t="s">
        <v>133</v>
      </c>
      <c r="D125" t="s">
        <v>37</v>
      </c>
      <c r="E125" t="s">
        <v>15</v>
      </c>
      <c r="F125" t="s">
        <v>31</v>
      </c>
      <c r="G125">
        <f>INDEX(Question_Bank!$G$3:$G$14,MATCH(D125,Question_Bank!$A$3:$A$14,0))</f>
        <v>0</v>
      </c>
      <c r="H125">
        <f>IF(F125=G125,1,0)</f>
        <v>0</v>
      </c>
      <c r="I125">
        <f>H125*INDEX(Question_Bank!$M$3:$M$14,MATCH(D125,Question_Bank!$A$3:$A$14,0))</f>
        <v>0</v>
      </c>
      <c r="J125">
        <f>SUMIFS($I$3:$I$518,$A$3:$A$518,A125)</f>
        <v>0</v>
      </c>
      <c r="K125" s="5">
        <f>J125/SUM(Question_Bank!$M$3:$M$14)</f>
        <v>0</v>
      </c>
      <c r="L125" s="5">
        <f>SUMIFS($I$3:$I$518,$A$3:$A$518,A125,$E$3:$E$518,E125)/SUMIFS(Question_Bank!$M$3:$M$14,Question_Bank!$B$3:$B$14,E125)</f>
        <v>0</v>
      </c>
      <c r="M125" t="s">
        <v>284</v>
      </c>
    </row>
    <row r="126" spans="1:13">
      <c r="A126" t="s">
        <v>283</v>
      </c>
      <c r="B126" t="s">
        <v>263</v>
      </c>
      <c r="C126" t="s">
        <v>133</v>
      </c>
      <c r="D126" t="s">
        <v>45</v>
      </c>
      <c r="E126" t="s">
        <v>46</v>
      </c>
      <c r="F126" t="s">
        <v>31</v>
      </c>
      <c r="G126">
        <f>INDEX(Question_Bank!$G$3:$G$14,MATCH(D126,Question_Bank!$A$3:$A$14,0))</f>
        <v>0</v>
      </c>
      <c r="H126">
        <f>IF(F126=G126,1,0)</f>
        <v>0</v>
      </c>
      <c r="I126">
        <f>H126*INDEX(Question_Bank!$M$3:$M$14,MATCH(D126,Question_Bank!$A$3:$A$14,0))</f>
        <v>0</v>
      </c>
      <c r="J126">
        <f>SUMIFS($I$3:$I$518,$A$3:$A$518,A126)</f>
        <v>0</v>
      </c>
      <c r="K126" s="5">
        <f>J126/SUM(Question_Bank!$M$3:$M$14)</f>
        <v>0</v>
      </c>
      <c r="L126" s="5">
        <f>SUMIFS($I$3:$I$518,$A$3:$A$518,A126,$E$3:$E$518,E126)/SUMIFS(Question_Bank!$M$3:$M$14,Question_Bank!$B$3:$B$14,E126)</f>
        <v>0</v>
      </c>
      <c r="M126" t="s">
        <v>284</v>
      </c>
    </row>
    <row r="127" spans="1:13">
      <c r="A127" t="s">
        <v>283</v>
      </c>
      <c r="B127" t="s">
        <v>263</v>
      </c>
      <c r="C127" t="s">
        <v>133</v>
      </c>
      <c r="D127" t="s">
        <v>54</v>
      </c>
      <c r="E127" t="s">
        <v>46</v>
      </c>
      <c r="F127" t="s">
        <v>23</v>
      </c>
      <c r="G127">
        <f>INDEX(Question_Bank!$G$3:$G$14,MATCH(D127,Question_Bank!$A$3:$A$14,0))</f>
        <v>0</v>
      </c>
      <c r="H127">
        <f>IF(F127=G127,1,0)</f>
        <v>0</v>
      </c>
      <c r="I127">
        <f>H127*INDEX(Question_Bank!$M$3:$M$14,MATCH(D127,Question_Bank!$A$3:$A$14,0))</f>
        <v>0</v>
      </c>
      <c r="J127">
        <f>SUMIFS($I$3:$I$518,$A$3:$A$518,A127)</f>
        <v>0</v>
      </c>
      <c r="K127" s="5">
        <f>J127/SUM(Question_Bank!$M$3:$M$14)</f>
        <v>0</v>
      </c>
      <c r="L127" s="5">
        <f>SUMIFS($I$3:$I$518,$A$3:$A$518,A127,$E$3:$E$518,E127)/SUMIFS(Question_Bank!$M$3:$M$14,Question_Bank!$B$3:$B$14,E127)</f>
        <v>0</v>
      </c>
      <c r="M127" t="s">
        <v>284</v>
      </c>
    </row>
    <row r="128" spans="1:13">
      <c r="A128" t="s">
        <v>283</v>
      </c>
      <c r="B128" t="s">
        <v>263</v>
      </c>
      <c r="C128" t="s">
        <v>133</v>
      </c>
      <c r="D128" t="s">
        <v>62</v>
      </c>
      <c r="E128" t="s">
        <v>46</v>
      </c>
      <c r="F128" t="s">
        <v>31</v>
      </c>
      <c r="G128">
        <f>INDEX(Question_Bank!$G$3:$G$14,MATCH(D128,Question_Bank!$A$3:$A$14,0))</f>
        <v>0</v>
      </c>
      <c r="H128">
        <f>IF(F128=G128,1,0)</f>
        <v>0</v>
      </c>
      <c r="I128">
        <f>H128*INDEX(Question_Bank!$M$3:$M$14,MATCH(D128,Question_Bank!$A$3:$A$14,0))</f>
        <v>0</v>
      </c>
      <c r="J128">
        <f>SUMIFS($I$3:$I$518,$A$3:$A$518,A128)</f>
        <v>0</v>
      </c>
      <c r="K128" s="5">
        <f>J128/SUM(Question_Bank!$M$3:$M$14)</f>
        <v>0</v>
      </c>
      <c r="L128" s="5">
        <f>SUMIFS($I$3:$I$518,$A$3:$A$518,A128,$E$3:$E$518,E128)/SUMIFS(Question_Bank!$M$3:$M$14,Question_Bank!$B$3:$B$14,E128)</f>
        <v>0</v>
      </c>
      <c r="M128" t="s">
        <v>284</v>
      </c>
    </row>
    <row r="129" spans="1:13">
      <c r="A129" t="s">
        <v>283</v>
      </c>
      <c r="B129" t="s">
        <v>263</v>
      </c>
      <c r="C129" t="s">
        <v>133</v>
      </c>
      <c r="D129" t="s">
        <v>70</v>
      </c>
      <c r="E129" t="s">
        <v>71</v>
      </c>
      <c r="F129" t="s">
        <v>23</v>
      </c>
      <c r="G129">
        <f>INDEX(Question_Bank!$G$3:$G$14,MATCH(D129,Question_Bank!$A$3:$A$14,0))</f>
        <v>0</v>
      </c>
      <c r="H129">
        <f>IF(F129=G129,1,0)</f>
        <v>0</v>
      </c>
      <c r="I129">
        <f>H129*INDEX(Question_Bank!$M$3:$M$14,MATCH(D129,Question_Bank!$A$3:$A$14,0))</f>
        <v>0</v>
      </c>
      <c r="J129">
        <f>SUMIFS($I$3:$I$518,$A$3:$A$518,A129)</f>
        <v>0</v>
      </c>
      <c r="K129" s="5">
        <f>J129/SUM(Question_Bank!$M$3:$M$14)</f>
        <v>0</v>
      </c>
      <c r="L129" s="5">
        <f>SUMIFS($I$3:$I$518,$A$3:$A$518,A129,$E$3:$E$518,E129)/SUMIFS(Question_Bank!$M$3:$M$14,Question_Bank!$B$3:$B$14,E129)</f>
        <v>0</v>
      </c>
      <c r="M129" t="s">
        <v>284</v>
      </c>
    </row>
    <row r="130" spans="1:13">
      <c r="A130" t="s">
        <v>283</v>
      </c>
      <c r="B130" t="s">
        <v>263</v>
      </c>
      <c r="C130" t="s">
        <v>133</v>
      </c>
      <c r="D130" t="s">
        <v>79</v>
      </c>
      <c r="E130" t="s">
        <v>71</v>
      </c>
      <c r="F130" t="s">
        <v>20</v>
      </c>
      <c r="G130">
        <f>INDEX(Question_Bank!$G$3:$G$14,MATCH(D130,Question_Bank!$A$3:$A$14,0))</f>
        <v>0</v>
      </c>
      <c r="H130">
        <f>IF(F130=G130,1,0)</f>
        <v>0</v>
      </c>
      <c r="I130">
        <f>H130*INDEX(Question_Bank!$M$3:$M$14,MATCH(D130,Question_Bank!$A$3:$A$14,0))</f>
        <v>0</v>
      </c>
      <c r="J130">
        <f>SUMIFS($I$3:$I$518,$A$3:$A$518,A130)</f>
        <v>0</v>
      </c>
      <c r="K130" s="5">
        <f>J130/SUM(Question_Bank!$M$3:$M$14)</f>
        <v>0</v>
      </c>
      <c r="L130" s="5">
        <f>SUMIFS($I$3:$I$518,$A$3:$A$518,A130,$E$3:$E$518,E130)/SUMIFS(Question_Bank!$M$3:$M$14,Question_Bank!$B$3:$B$14,E130)</f>
        <v>0</v>
      </c>
      <c r="M130" t="s">
        <v>284</v>
      </c>
    </row>
    <row r="131" spans="1:13">
      <c r="A131" t="s">
        <v>283</v>
      </c>
      <c r="B131" t="s">
        <v>263</v>
      </c>
      <c r="C131" t="s">
        <v>133</v>
      </c>
      <c r="D131" t="s">
        <v>87</v>
      </c>
      <c r="E131" t="s">
        <v>71</v>
      </c>
      <c r="F131" t="s">
        <v>20</v>
      </c>
      <c r="G131">
        <f>INDEX(Question_Bank!$G$3:$G$14,MATCH(D131,Question_Bank!$A$3:$A$14,0))</f>
        <v>0</v>
      </c>
      <c r="H131">
        <f>IF(F131=G131,1,0)</f>
        <v>0</v>
      </c>
      <c r="I131">
        <f>H131*INDEX(Question_Bank!$M$3:$M$14,MATCH(D131,Question_Bank!$A$3:$A$14,0))</f>
        <v>0</v>
      </c>
      <c r="J131">
        <f>SUMIFS($I$3:$I$518,$A$3:$A$518,A131)</f>
        <v>0</v>
      </c>
      <c r="K131" s="5">
        <f>J131/SUM(Question_Bank!$M$3:$M$14)</f>
        <v>0</v>
      </c>
      <c r="L131" s="5">
        <f>SUMIFS($I$3:$I$518,$A$3:$A$518,A131,$E$3:$E$518,E131)/SUMIFS(Question_Bank!$M$3:$M$14,Question_Bank!$B$3:$B$14,E131)</f>
        <v>0</v>
      </c>
      <c r="M131" t="s">
        <v>284</v>
      </c>
    </row>
    <row r="132" spans="1:13">
      <c r="A132" t="s">
        <v>283</v>
      </c>
      <c r="B132" t="s">
        <v>263</v>
      </c>
      <c r="C132" t="s">
        <v>133</v>
      </c>
      <c r="D132" t="s">
        <v>95</v>
      </c>
      <c r="E132" t="s">
        <v>96</v>
      </c>
      <c r="F132" t="s">
        <v>23</v>
      </c>
      <c r="G132">
        <f>INDEX(Question_Bank!$G$3:$G$14,MATCH(D132,Question_Bank!$A$3:$A$14,0))</f>
        <v>0</v>
      </c>
      <c r="H132">
        <f>IF(F132=G132,1,0)</f>
        <v>0</v>
      </c>
      <c r="I132">
        <f>H132*INDEX(Question_Bank!$M$3:$M$14,MATCH(D132,Question_Bank!$A$3:$A$14,0))</f>
        <v>0</v>
      </c>
      <c r="J132">
        <f>SUMIFS($I$3:$I$518,$A$3:$A$518,A132)</f>
        <v>0</v>
      </c>
      <c r="K132" s="5">
        <f>J132/SUM(Question_Bank!$M$3:$M$14)</f>
        <v>0</v>
      </c>
      <c r="L132" s="5">
        <f>SUMIFS($I$3:$I$518,$A$3:$A$518,A132,$E$3:$E$518,E132)/SUMIFS(Question_Bank!$M$3:$M$14,Question_Bank!$B$3:$B$14,E132)</f>
        <v>0</v>
      </c>
      <c r="M132" t="s">
        <v>284</v>
      </c>
    </row>
    <row r="133" spans="1:13">
      <c r="A133" t="s">
        <v>283</v>
      </c>
      <c r="B133" t="s">
        <v>263</v>
      </c>
      <c r="C133" t="s">
        <v>133</v>
      </c>
      <c r="D133" t="s">
        <v>104</v>
      </c>
      <c r="E133" t="s">
        <v>96</v>
      </c>
      <c r="F133" t="s">
        <v>31</v>
      </c>
      <c r="G133">
        <f>INDEX(Question_Bank!$G$3:$G$14,MATCH(D133,Question_Bank!$A$3:$A$14,0))</f>
        <v>0</v>
      </c>
      <c r="H133">
        <f>IF(F133=G133,1,0)</f>
        <v>0</v>
      </c>
      <c r="I133">
        <f>H133*INDEX(Question_Bank!$M$3:$M$14,MATCH(D133,Question_Bank!$A$3:$A$14,0))</f>
        <v>0</v>
      </c>
      <c r="J133">
        <f>SUMIFS($I$3:$I$518,$A$3:$A$518,A133)</f>
        <v>0</v>
      </c>
      <c r="K133" s="5">
        <f>J133/SUM(Question_Bank!$M$3:$M$14)</f>
        <v>0</v>
      </c>
      <c r="L133" s="5">
        <f>SUMIFS($I$3:$I$518,$A$3:$A$518,A133,$E$3:$E$518,E133)/SUMIFS(Question_Bank!$M$3:$M$14,Question_Bank!$B$3:$B$14,E133)</f>
        <v>0</v>
      </c>
      <c r="M133" t="s">
        <v>284</v>
      </c>
    </row>
    <row r="134" spans="1:13">
      <c r="A134" t="s">
        <v>283</v>
      </c>
      <c r="B134" t="s">
        <v>263</v>
      </c>
      <c r="C134" t="s">
        <v>133</v>
      </c>
      <c r="D134" t="s">
        <v>112</v>
      </c>
      <c r="E134" t="s">
        <v>96</v>
      </c>
      <c r="F134" t="s">
        <v>23</v>
      </c>
      <c r="G134">
        <f>INDEX(Question_Bank!$G$3:$G$14,MATCH(D134,Question_Bank!$A$3:$A$14,0))</f>
        <v>0</v>
      </c>
      <c r="H134">
        <f>IF(F134=G134,1,0)</f>
        <v>0</v>
      </c>
      <c r="I134">
        <f>H134*INDEX(Question_Bank!$M$3:$M$14,MATCH(D134,Question_Bank!$A$3:$A$14,0))</f>
        <v>0</v>
      </c>
      <c r="J134">
        <f>SUMIFS($I$3:$I$518,$A$3:$A$518,A134)</f>
        <v>0</v>
      </c>
      <c r="K134" s="5">
        <f>J134/SUM(Question_Bank!$M$3:$M$14)</f>
        <v>0</v>
      </c>
      <c r="L134" s="5">
        <f>SUMIFS($I$3:$I$518,$A$3:$A$518,A134,$E$3:$E$518,E134)/SUMIFS(Question_Bank!$M$3:$M$14,Question_Bank!$B$3:$B$14,E134)</f>
        <v>0</v>
      </c>
      <c r="M134" t="s">
        <v>284</v>
      </c>
    </row>
    <row r="135" spans="1:13">
      <c r="A135" t="s">
        <v>285</v>
      </c>
      <c r="B135" t="s">
        <v>263</v>
      </c>
      <c r="C135" t="s">
        <v>133</v>
      </c>
      <c r="D135" t="s">
        <v>14</v>
      </c>
      <c r="E135" t="s">
        <v>15</v>
      </c>
      <c r="F135" t="s">
        <v>23</v>
      </c>
      <c r="G135">
        <f>INDEX(Question_Bank!$G$3:$G$14,MATCH(D135,Question_Bank!$A$3:$A$14,0))</f>
        <v>0</v>
      </c>
      <c r="H135">
        <f>IF(F135=G135,1,0)</f>
        <v>0</v>
      </c>
      <c r="I135">
        <f>H135*INDEX(Question_Bank!$M$3:$M$14,MATCH(D135,Question_Bank!$A$3:$A$14,0))</f>
        <v>0</v>
      </c>
      <c r="J135">
        <f>SUMIFS($I$3:$I$518,$A$3:$A$518,A135)</f>
        <v>0</v>
      </c>
      <c r="K135" s="5">
        <f>J135/SUM(Question_Bank!$M$3:$M$14)</f>
        <v>0</v>
      </c>
      <c r="L135" s="5">
        <f>SUMIFS($I$3:$I$518,$A$3:$A$518,A135,$E$3:$E$518,E135)/SUMIFS(Question_Bank!$M$3:$M$14,Question_Bank!$B$3:$B$14,E135)</f>
        <v>0</v>
      </c>
      <c r="M135" t="s">
        <v>286</v>
      </c>
    </row>
    <row r="136" spans="1:13">
      <c r="A136" t="s">
        <v>285</v>
      </c>
      <c r="B136" t="s">
        <v>263</v>
      </c>
      <c r="C136" t="s">
        <v>133</v>
      </c>
      <c r="D136" t="s">
        <v>26</v>
      </c>
      <c r="E136" t="s">
        <v>15</v>
      </c>
      <c r="F136" t="s">
        <v>31</v>
      </c>
      <c r="G136">
        <f>INDEX(Question_Bank!$G$3:$G$14,MATCH(D136,Question_Bank!$A$3:$A$14,0))</f>
        <v>0</v>
      </c>
      <c r="H136">
        <f>IF(F136=G136,1,0)</f>
        <v>0</v>
      </c>
      <c r="I136">
        <f>H136*INDEX(Question_Bank!$M$3:$M$14,MATCH(D136,Question_Bank!$A$3:$A$14,0))</f>
        <v>0</v>
      </c>
      <c r="J136">
        <f>SUMIFS($I$3:$I$518,$A$3:$A$518,A136)</f>
        <v>0</v>
      </c>
      <c r="K136" s="5">
        <f>J136/SUM(Question_Bank!$M$3:$M$14)</f>
        <v>0</v>
      </c>
      <c r="L136" s="5">
        <f>SUMIFS($I$3:$I$518,$A$3:$A$518,A136,$E$3:$E$518,E136)/SUMIFS(Question_Bank!$M$3:$M$14,Question_Bank!$B$3:$B$14,E136)</f>
        <v>0</v>
      </c>
      <c r="M136" t="s">
        <v>286</v>
      </c>
    </row>
    <row r="137" spans="1:13">
      <c r="A137" t="s">
        <v>285</v>
      </c>
      <c r="B137" t="s">
        <v>263</v>
      </c>
      <c r="C137" t="s">
        <v>133</v>
      </c>
      <c r="D137" t="s">
        <v>37</v>
      </c>
      <c r="E137" t="s">
        <v>15</v>
      </c>
      <c r="F137" t="s">
        <v>34</v>
      </c>
      <c r="G137">
        <f>INDEX(Question_Bank!$G$3:$G$14,MATCH(D137,Question_Bank!$A$3:$A$14,0))</f>
        <v>0</v>
      </c>
      <c r="H137">
        <f>IF(F137=G137,1,0)</f>
        <v>0</v>
      </c>
      <c r="I137">
        <f>H137*INDEX(Question_Bank!$M$3:$M$14,MATCH(D137,Question_Bank!$A$3:$A$14,0))</f>
        <v>0</v>
      </c>
      <c r="J137">
        <f>SUMIFS($I$3:$I$518,$A$3:$A$518,A137)</f>
        <v>0</v>
      </c>
      <c r="K137" s="5">
        <f>J137/SUM(Question_Bank!$M$3:$M$14)</f>
        <v>0</v>
      </c>
      <c r="L137" s="5">
        <f>SUMIFS($I$3:$I$518,$A$3:$A$518,A137,$E$3:$E$518,E137)/SUMIFS(Question_Bank!$M$3:$M$14,Question_Bank!$B$3:$B$14,E137)</f>
        <v>0</v>
      </c>
      <c r="M137" t="s">
        <v>286</v>
      </c>
    </row>
    <row r="138" spans="1:13">
      <c r="A138" t="s">
        <v>285</v>
      </c>
      <c r="B138" t="s">
        <v>263</v>
      </c>
      <c r="C138" t="s">
        <v>133</v>
      </c>
      <c r="D138" t="s">
        <v>45</v>
      </c>
      <c r="E138" t="s">
        <v>46</v>
      </c>
      <c r="F138" t="s">
        <v>34</v>
      </c>
      <c r="G138">
        <f>INDEX(Question_Bank!$G$3:$G$14,MATCH(D138,Question_Bank!$A$3:$A$14,0))</f>
        <v>0</v>
      </c>
      <c r="H138">
        <f>IF(F138=G138,1,0)</f>
        <v>0</v>
      </c>
      <c r="I138">
        <f>H138*INDEX(Question_Bank!$M$3:$M$14,MATCH(D138,Question_Bank!$A$3:$A$14,0))</f>
        <v>0</v>
      </c>
      <c r="J138">
        <f>SUMIFS($I$3:$I$518,$A$3:$A$518,A138)</f>
        <v>0</v>
      </c>
      <c r="K138" s="5">
        <f>J138/SUM(Question_Bank!$M$3:$M$14)</f>
        <v>0</v>
      </c>
      <c r="L138" s="5">
        <f>SUMIFS($I$3:$I$518,$A$3:$A$518,A138,$E$3:$E$518,E138)/SUMIFS(Question_Bank!$M$3:$M$14,Question_Bank!$B$3:$B$14,E138)</f>
        <v>0</v>
      </c>
      <c r="M138" t="s">
        <v>286</v>
      </c>
    </row>
    <row r="139" spans="1:13">
      <c r="A139" t="s">
        <v>285</v>
      </c>
      <c r="B139" t="s">
        <v>263</v>
      </c>
      <c r="C139" t="s">
        <v>133</v>
      </c>
      <c r="D139" t="s">
        <v>54</v>
      </c>
      <c r="E139" t="s">
        <v>46</v>
      </c>
      <c r="F139" t="s">
        <v>23</v>
      </c>
      <c r="G139">
        <f>INDEX(Question_Bank!$G$3:$G$14,MATCH(D139,Question_Bank!$A$3:$A$14,0))</f>
        <v>0</v>
      </c>
      <c r="H139">
        <f>IF(F139=G139,1,0)</f>
        <v>0</v>
      </c>
      <c r="I139">
        <f>H139*INDEX(Question_Bank!$M$3:$M$14,MATCH(D139,Question_Bank!$A$3:$A$14,0))</f>
        <v>0</v>
      </c>
      <c r="J139">
        <f>SUMIFS($I$3:$I$518,$A$3:$A$518,A139)</f>
        <v>0</v>
      </c>
      <c r="K139" s="5">
        <f>J139/SUM(Question_Bank!$M$3:$M$14)</f>
        <v>0</v>
      </c>
      <c r="L139" s="5">
        <f>SUMIFS($I$3:$I$518,$A$3:$A$518,A139,$E$3:$E$518,E139)/SUMIFS(Question_Bank!$M$3:$M$14,Question_Bank!$B$3:$B$14,E139)</f>
        <v>0</v>
      </c>
      <c r="M139" t="s">
        <v>286</v>
      </c>
    </row>
    <row r="140" spans="1:13">
      <c r="A140" t="s">
        <v>285</v>
      </c>
      <c r="B140" t="s">
        <v>263</v>
      </c>
      <c r="C140" t="s">
        <v>133</v>
      </c>
      <c r="D140" t="s">
        <v>62</v>
      </c>
      <c r="E140" t="s">
        <v>46</v>
      </c>
      <c r="F140" t="s">
        <v>23</v>
      </c>
      <c r="G140">
        <f>INDEX(Question_Bank!$G$3:$G$14,MATCH(D140,Question_Bank!$A$3:$A$14,0))</f>
        <v>0</v>
      </c>
      <c r="H140">
        <f>IF(F140=G140,1,0)</f>
        <v>0</v>
      </c>
      <c r="I140">
        <f>H140*INDEX(Question_Bank!$M$3:$M$14,MATCH(D140,Question_Bank!$A$3:$A$14,0))</f>
        <v>0</v>
      </c>
      <c r="J140">
        <f>SUMIFS($I$3:$I$518,$A$3:$A$518,A140)</f>
        <v>0</v>
      </c>
      <c r="K140" s="5">
        <f>J140/SUM(Question_Bank!$M$3:$M$14)</f>
        <v>0</v>
      </c>
      <c r="L140" s="5">
        <f>SUMIFS($I$3:$I$518,$A$3:$A$518,A140,$E$3:$E$518,E140)/SUMIFS(Question_Bank!$M$3:$M$14,Question_Bank!$B$3:$B$14,E140)</f>
        <v>0</v>
      </c>
      <c r="M140" t="s">
        <v>286</v>
      </c>
    </row>
    <row r="141" spans="1:13">
      <c r="A141" t="s">
        <v>285</v>
      </c>
      <c r="B141" t="s">
        <v>263</v>
      </c>
      <c r="C141" t="s">
        <v>133</v>
      </c>
      <c r="D141" t="s">
        <v>70</v>
      </c>
      <c r="E141" t="s">
        <v>71</v>
      </c>
      <c r="F141" t="s">
        <v>20</v>
      </c>
      <c r="G141">
        <f>INDEX(Question_Bank!$G$3:$G$14,MATCH(D141,Question_Bank!$A$3:$A$14,0))</f>
        <v>0</v>
      </c>
      <c r="H141">
        <f>IF(F141=G141,1,0)</f>
        <v>0</v>
      </c>
      <c r="I141">
        <f>H141*INDEX(Question_Bank!$M$3:$M$14,MATCH(D141,Question_Bank!$A$3:$A$14,0))</f>
        <v>0</v>
      </c>
      <c r="J141">
        <f>SUMIFS($I$3:$I$518,$A$3:$A$518,A141)</f>
        <v>0</v>
      </c>
      <c r="K141" s="5">
        <f>J141/SUM(Question_Bank!$M$3:$M$14)</f>
        <v>0</v>
      </c>
      <c r="L141" s="5">
        <f>SUMIFS($I$3:$I$518,$A$3:$A$518,A141,$E$3:$E$518,E141)/SUMIFS(Question_Bank!$M$3:$M$14,Question_Bank!$B$3:$B$14,E141)</f>
        <v>0</v>
      </c>
      <c r="M141" t="s">
        <v>286</v>
      </c>
    </row>
    <row r="142" spans="1:13">
      <c r="A142" t="s">
        <v>285</v>
      </c>
      <c r="B142" t="s">
        <v>263</v>
      </c>
      <c r="C142" t="s">
        <v>133</v>
      </c>
      <c r="D142" t="s">
        <v>79</v>
      </c>
      <c r="E142" t="s">
        <v>71</v>
      </c>
      <c r="F142" t="s">
        <v>23</v>
      </c>
      <c r="G142">
        <f>INDEX(Question_Bank!$G$3:$G$14,MATCH(D142,Question_Bank!$A$3:$A$14,0))</f>
        <v>0</v>
      </c>
      <c r="H142">
        <f>IF(F142=G142,1,0)</f>
        <v>0</v>
      </c>
      <c r="I142">
        <f>H142*INDEX(Question_Bank!$M$3:$M$14,MATCH(D142,Question_Bank!$A$3:$A$14,0))</f>
        <v>0</v>
      </c>
      <c r="J142">
        <f>SUMIFS($I$3:$I$518,$A$3:$A$518,A142)</f>
        <v>0</v>
      </c>
      <c r="K142" s="5">
        <f>J142/SUM(Question_Bank!$M$3:$M$14)</f>
        <v>0</v>
      </c>
      <c r="L142" s="5">
        <f>SUMIFS($I$3:$I$518,$A$3:$A$518,A142,$E$3:$E$518,E142)/SUMIFS(Question_Bank!$M$3:$M$14,Question_Bank!$B$3:$B$14,E142)</f>
        <v>0</v>
      </c>
      <c r="M142" t="s">
        <v>286</v>
      </c>
    </row>
    <row r="143" spans="1:13">
      <c r="A143" t="s">
        <v>285</v>
      </c>
      <c r="B143" t="s">
        <v>263</v>
      </c>
      <c r="C143" t="s">
        <v>133</v>
      </c>
      <c r="D143" t="s">
        <v>87</v>
      </c>
      <c r="E143" t="s">
        <v>71</v>
      </c>
      <c r="F143" t="s">
        <v>20</v>
      </c>
      <c r="G143">
        <f>INDEX(Question_Bank!$G$3:$G$14,MATCH(D143,Question_Bank!$A$3:$A$14,0))</f>
        <v>0</v>
      </c>
      <c r="H143">
        <f>IF(F143=G143,1,0)</f>
        <v>0</v>
      </c>
      <c r="I143">
        <f>H143*INDEX(Question_Bank!$M$3:$M$14,MATCH(D143,Question_Bank!$A$3:$A$14,0))</f>
        <v>0</v>
      </c>
      <c r="J143">
        <f>SUMIFS($I$3:$I$518,$A$3:$A$518,A143)</f>
        <v>0</v>
      </c>
      <c r="K143" s="5">
        <f>J143/SUM(Question_Bank!$M$3:$M$14)</f>
        <v>0</v>
      </c>
      <c r="L143" s="5">
        <f>SUMIFS($I$3:$I$518,$A$3:$A$518,A143,$E$3:$E$518,E143)/SUMIFS(Question_Bank!$M$3:$M$14,Question_Bank!$B$3:$B$14,E143)</f>
        <v>0</v>
      </c>
      <c r="M143" t="s">
        <v>286</v>
      </c>
    </row>
    <row r="144" spans="1:13">
      <c r="A144" t="s">
        <v>285</v>
      </c>
      <c r="B144" t="s">
        <v>263</v>
      </c>
      <c r="C144" t="s">
        <v>133</v>
      </c>
      <c r="D144" t="s">
        <v>95</v>
      </c>
      <c r="E144" t="s">
        <v>96</v>
      </c>
      <c r="F144" t="s">
        <v>31</v>
      </c>
      <c r="G144">
        <f>INDEX(Question_Bank!$G$3:$G$14,MATCH(D144,Question_Bank!$A$3:$A$14,0))</f>
        <v>0</v>
      </c>
      <c r="H144">
        <f>IF(F144=G144,1,0)</f>
        <v>0</v>
      </c>
      <c r="I144">
        <f>H144*INDEX(Question_Bank!$M$3:$M$14,MATCH(D144,Question_Bank!$A$3:$A$14,0))</f>
        <v>0</v>
      </c>
      <c r="J144">
        <f>SUMIFS($I$3:$I$518,$A$3:$A$518,A144)</f>
        <v>0</v>
      </c>
      <c r="K144" s="5">
        <f>J144/SUM(Question_Bank!$M$3:$M$14)</f>
        <v>0</v>
      </c>
      <c r="L144" s="5">
        <f>SUMIFS($I$3:$I$518,$A$3:$A$518,A144,$E$3:$E$518,E144)/SUMIFS(Question_Bank!$M$3:$M$14,Question_Bank!$B$3:$B$14,E144)</f>
        <v>0</v>
      </c>
      <c r="M144" t="s">
        <v>286</v>
      </c>
    </row>
    <row r="145" spans="1:13">
      <c r="A145" t="s">
        <v>285</v>
      </c>
      <c r="B145" t="s">
        <v>263</v>
      </c>
      <c r="C145" t="s">
        <v>133</v>
      </c>
      <c r="D145" t="s">
        <v>104</v>
      </c>
      <c r="E145" t="s">
        <v>96</v>
      </c>
      <c r="F145" t="s">
        <v>31</v>
      </c>
      <c r="G145">
        <f>INDEX(Question_Bank!$G$3:$G$14,MATCH(D145,Question_Bank!$A$3:$A$14,0))</f>
        <v>0</v>
      </c>
      <c r="H145">
        <f>IF(F145=G145,1,0)</f>
        <v>0</v>
      </c>
      <c r="I145">
        <f>H145*INDEX(Question_Bank!$M$3:$M$14,MATCH(D145,Question_Bank!$A$3:$A$14,0))</f>
        <v>0</v>
      </c>
      <c r="J145">
        <f>SUMIFS($I$3:$I$518,$A$3:$A$518,A145)</f>
        <v>0</v>
      </c>
      <c r="K145" s="5">
        <f>J145/SUM(Question_Bank!$M$3:$M$14)</f>
        <v>0</v>
      </c>
      <c r="L145" s="5">
        <f>SUMIFS($I$3:$I$518,$A$3:$A$518,A145,$E$3:$E$518,E145)/SUMIFS(Question_Bank!$M$3:$M$14,Question_Bank!$B$3:$B$14,E145)</f>
        <v>0</v>
      </c>
      <c r="M145" t="s">
        <v>286</v>
      </c>
    </row>
    <row r="146" spans="1:13">
      <c r="A146" t="s">
        <v>285</v>
      </c>
      <c r="B146" t="s">
        <v>263</v>
      </c>
      <c r="C146" t="s">
        <v>133</v>
      </c>
      <c r="D146" t="s">
        <v>112</v>
      </c>
      <c r="E146" t="s">
        <v>96</v>
      </c>
      <c r="F146" t="s">
        <v>34</v>
      </c>
      <c r="G146">
        <f>INDEX(Question_Bank!$G$3:$G$14,MATCH(D146,Question_Bank!$A$3:$A$14,0))</f>
        <v>0</v>
      </c>
      <c r="H146">
        <f>IF(F146=G146,1,0)</f>
        <v>0</v>
      </c>
      <c r="I146">
        <f>H146*INDEX(Question_Bank!$M$3:$M$14,MATCH(D146,Question_Bank!$A$3:$A$14,0))</f>
        <v>0</v>
      </c>
      <c r="J146">
        <f>SUMIFS($I$3:$I$518,$A$3:$A$518,A146)</f>
        <v>0</v>
      </c>
      <c r="K146" s="5">
        <f>J146/SUM(Question_Bank!$M$3:$M$14)</f>
        <v>0</v>
      </c>
      <c r="L146" s="5">
        <f>SUMIFS($I$3:$I$518,$A$3:$A$518,A146,$E$3:$E$518,E146)/SUMIFS(Question_Bank!$M$3:$M$14,Question_Bank!$B$3:$B$14,E146)</f>
        <v>0</v>
      </c>
      <c r="M146" t="s">
        <v>286</v>
      </c>
    </row>
    <row r="147" spans="1:13">
      <c r="A147" t="s">
        <v>287</v>
      </c>
      <c r="B147" t="s">
        <v>263</v>
      </c>
      <c r="C147" t="s">
        <v>133</v>
      </c>
      <c r="D147" t="s">
        <v>14</v>
      </c>
      <c r="E147" t="s">
        <v>15</v>
      </c>
      <c r="F147" t="s">
        <v>31</v>
      </c>
      <c r="G147">
        <f>INDEX(Question_Bank!$G$3:$G$14,MATCH(D147,Question_Bank!$A$3:$A$14,0))</f>
        <v>0</v>
      </c>
      <c r="H147">
        <f>IF(F147=G147,1,0)</f>
        <v>0</v>
      </c>
      <c r="I147">
        <f>H147*INDEX(Question_Bank!$M$3:$M$14,MATCH(D147,Question_Bank!$A$3:$A$14,0))</f>
        <v>0</v>
      </c>
      <c r="J147">
        <f>SUMIFS($I$3:$I$518,$A$3:$A$518,A147)</f>
        <v>0</v>
      </c>
      <c r="K147" s="5">
        <f>J147/SUM(Question_Bank!$M$3:$M$14)</f>
        <v>0</v>
      </c>
      <c r="L147" s="5">
        <f>SUMIFS($I$3:$I$518,$A$3:$A$518,A147,$E$3:$E$518,E147)/SUMIFS(Question_Bank!$M$3:$M$14,Question_Bank!$B$3:$B$14,E147)</f>
        <v>0</v>
      </c>
      <c r="M147" t="s">
        <v>288</v>
      </c>
    </row>
    <row r="148" spans="1:13">
      <c r="A148" t="s">
        <v>287</v>
      </c>
      <c r="B148" t="s">
        <v>263</v>
      </c>
      <c r="C148" t="s">
        <v>133</v>
      </c>
      <c r="D148" t="s">
        <v>26</v>
      </c>
      <c r="E148" t="s">
        <v>15</v>
      </c>
      <c r="F148" t="s">
        <v>23</v>
      </c>
      <c r="G148">
        <f>INDEX(Question_Bank!$G$3:$G$14,MATCH(D148,Question_Bank!$A$3:$A$14,0))</f>
        <v>0</v>
      </c>
      <c r="H148">
        <f>IF(F148=G148,1,0)</f>
        <v>0</v>
      </c>
      <c r="I148">
        <f>H148*INDEX(Question_Bank!$M$3:$M$14,MATCH(D148,Question_Bank!$A$3:$A$14,0))</f>
        <v>0</v>
      </c>
      <c r="J148">
        <f>SUMIFS($I$3:$I$518,$A$3:$A$518,A148)</f>
        <v>0</v>
      </c>
      <c r="K148" s="5">
        <f>J148/SUM(Question_Bank!$M$3:$M$14)</f>
        <v>0</v>
      </c>
      <c r="L148" s="5">
        <f>SUMIFS($I$3:$I$518,$A$3:$A$518,A148,$E$3:$E$518,E148)/SUMIFS(Question_Bank!$M$3:$M$14,Question_Bank!$B$3:$B$14,E148)</f>
        <v>0</v>
      </c>
      <c r="M148" t="s">
        <v>288</v>
      </c>
    </row>
    <row r="149" spans="1:13">
      <c r="A149" t="s">
        <v>287</v>
      </c>
      <c r="B149" t="s">
        <v>263</v>
      </c>
      <c r="C149" t="s">
        <v>133</v>
      </c>
      <c r="D149" t="s">
        <v>37</v>
      </c>
      <c r="E149" t="s">
        <v>15</v>
      </c>
      <c r="F149" t="s">
        <v>23</v>
      </c>
      <c r="G149">
        <f>INDEX(Question_Bank!$G$3:$G$14,MATCH(D149,Question_Bank!$A$3:$A$14,0))</f>
        <v>0</v>
      </c>
      <c r="H149">
        <f>IF(F149=G149,1,0)</f>
        <v>0</v>
      </c>
      <c r="I149">
        <f>H149*INDEX(Question_Bank!$M$3:$M$14,MATCH(D149,Question_Bank!$A$3:$A$14,0))</f>
        <v>0</v>
      </c>
      <c r="J149">
        <f>SUMIFS($I$3:$I$518,$A$3:$A$518,A149)</f>
        <v>0</v>
      </c>
      <c r="K149" s="5">
        <f>J149/SUM(Question_Bank!$M$3:$M$14)</f>
        <v>0</v>
      </c>
      <c r="L149" s="5">
        <f>SUMIFS($I$3:$I$518,$A$3:$A$518,A149,$E$3:$E$518,E149)/SUMIFS(Question_Bank!$M$3:$M$14,Question_Bank!$B$3:$B$14,E149)</f>
        <v>0</v>
      </c>
      <c r="M149" t="s">
        <v>288</v>
      </c>
    </row>
    <row r="150" spans="1:13">
      <c r="A150" t="s">
        <v>287</v>
      </c>
      <c r="B150" t="s">
        <v>263</v>
      </c>
      <c r="C150" t="s">
        <v>133</v>
      </c>
      <c r="D150" t="s">
        <v>45</v>
      </c>
      <c r="E150" t="s">
        <v>46</v>
      </c>
      <c r="F150" t="s">
        <v>20</v>
      </c>
      <c r="G150">
        <f>INDEX(Question_Bank!$G$3:$G$14,MATCH(D150,Question_Bank!$A$3:$A$14,0))</f>
        <v>0</v>
      </c>
      <c r="H150">
        <f>IF(F150=G150,1,0)</f>
        <v>0</v>
      </c>
      <c r="I150">
        <f>H150*INDEX(Question_Bank!$M$3:$M$14,MATCH(D150,Question_Bank!$A$3:$A$14,0))</f>
        <v>0</v>
      </c>
      <c r="J150">
        <f>SUMIFS($I$3:$I$518,$A$3:$A$518,A150)</f>
        <v>0</v>
      </c>
      <c r="K150" s="5">
        <f>J150/SUM(Question_Bank!$M$3:$M$14)</f>
        <v>0</v>
      </c>
      <c r="L150" s="5">
        <f>SUMIFS($I$3:$I$518,$A$3:$A$518,A150,$E$3:$E$518,E150)/SUMIFS(Question_Bank!$M$3:$M$14,Question_Bank!$B$3:$B$14,E150)</f>
        <v>0</v>
      </c>
      <c r="M150" t="s">
        <v>288</v>
      </c>
    </row>
    <row r="151" spans="1:13">
      <c r="A151" t="s">
        <v>287</v>
      </c>
      <c r="B151" t="s">
        <v>263</v>
      </c>
      <c r="C151" t="s">
        <v>133</v>
      </c>
      <c r="D151" t="s">
        <v>54</v>
      </c>
      <c r="E151" t="s">
        <v>46</v>
      </c>
      <c r="F151" t="s">
        <v>31</v>
      </c>
      <c r="G151">
        <f>INDEX(Question_Bank!$G$3:$G$14,MATCH(D151,Question_Bank!$A$3:$A$14,0))</f>
        <v>0</v>
      </c>
      <c r="H151">
        <f>IF(F151=G151,1,0)</f>
        <v>0</v>
      </c>
      <c r="I151">
        <f>H151*INDEX(Question_Bank!$M$3:$M$14,MATCH(D151,Question_Bank!$A$3:$A$14,0))</f>
        <v>0</v>
      </c>
      <c r="J151">
        <f>SUMIFS($I$3:$I$518,$A$3:$A$518,A151)</f>
        <v>0</v>
      </c>
      <c r="K151" s="5">
        <f>J151/SUM(Question_Bank!$M$3:$M$14)</f>
        <v>0</v>
      </c>
      <c r="L151" s="5">
        <f>SUMIFS($I$3:$I$518,$A$3:$A$518,A151,$E$3:$E$518,E151)/SUMIFS(Question_Bank!$M$3:$M$14,Question_Bank!$B$3:$B$14,E151)</f>
        <v>0</v>
      </c>
      <c r="M151" t="s">
        <v>288</v>
      </c>
    </row>
    <row r="152" spans="1:13">
      <c r="A152" t="s">
        <v>287</v>
      </c>
      <c r="B152" t="s">
        <v>263</v>
      </c>
      <c r="C152" t="s">
        <v>133</v>
      </c>
      <c r="D152" t="s">
        <v>62</v>
      </c>
      <c r="E152" t="s">
        <v>46</v>
      </c>
      <c r="F152" t="s">
        <v>31</v>
      </c>
      <c r="G152">
        <f>INDEX(Question_Bank!$G$3:$G$14,MATCH(D152,Question_Bank!$A$3:$A$14,0))</f>
        <v>0</v>
      </c>
      <c r="H152">
        <f>IF(F152=G152,1,0)</f>
        <v>0</v>
      </c>
      <c r="I152">
        <f>H152*INDEX(Question_Bank!$M$3:$M$14,MATCH(D152,Question_Bank!$A$3:$A$14,0))</f>
        <v>0</v>
      </c>
      <c r="J152">
        <f>SUMIFS($I$3:$I$518,$A$3:$A$518,A152)</f>
        <v>0</v>
      </c>
      <c r="K152" s="5">
        <f>J152/SUM(Question_Bank!$M$3:$M$14)</f>
        <v>0</v>
      </c>
      <c r="L152" s="5">
        <f>SUMIFS($I$3:$I$518,$A$3:$A$518,A152,$E$3:$E$518,E152)/SUMIFS(Question_Bank!$M$3:$M$14,Question_Bank!$B$3:$B$14,E152)</f>
        <v>0</v>
      </c>
      <c r="M152" t="s">
        <v>288</v>
      </c>
    </row>
    <row r="153" spans="1:13">
      <c r="A153" t="s">
        <v>287</v>
      </c>
      <c r="B153" t="s">
        <v>263</v>
      </c>
      <c r="C153" t="s">
        <v>133</v>
      </c>
      <c r="D153" t="s">
        <v>70</v>
      </c>
      <c r="E153" t="s">
        <v>71</v>
      </c>
      <c r="F153" t="s">
        <v>20</v>
      </c>
      <c r="G153">
        <f>INDEX(Question_Bank!$G$3:$G$14,MATCH(D153,Question_Bank!$A$3:$A$14,0))</f>
        <v>0</v>
      </c>
      <c r="H153">
        <f>IF(F153=G153,1,0)</f>
        <v>0</v>
      </c>
      <c r="I153">
        <f>H153*INDEX(Question_Bank!$M$3:$M$14,MATCH(D153,Question_Bank!$A$3:$A$14,0))</f>
        <v>0</v>
      </c>
      <c r="J153">
        <f>SUMIFS($I$3:$I$518,$A$3:$A$518,A153)</f>
        <v>0</v>
      </c>
      <c r="K153" s="5">
        <f>J153/SUM(Question_Bank!$M$3:$M$14)</f>
        <v>0</v>
      </c>
      <c r="L153" s="5">
        <f>SUMIFS($I$3:$I$518,$A$3:$A$518,A153,$E$3:$E$518,E153)/SUMIFS(Question_Bank!$M$3:$M$14,Question_Bank!$B$3:$B$14,E153)</f>
        <v>0</v>
      </c>
      <c r="M153" t="s">
        <v>288</v>
      </c>
    </row>
    <row r="154" spans="1:13">
      <c r="A154" t="s">
        <v>287</v>
      </c>
      <c r="B154" t="s">
        <v>263</v>
      </c>
      <c r="C154" t="s">
        <v>133</v>
      </c>
      <c r="D154" t="s">
        <v>79</v>
      </c>
      <c r="E154" t="s">
        <v>71</v>
      </c>
      <c r="F154" t="s">
        <v>34</v>
      </c>
      <c r="G154">
        <f>INDEX(Question_Bank!$G$3:$G$14,MATCH(D154,Question_Bank!$A$3:$A$14,0))</f>
        <v>0</v>
      </c>
      <c r="H154">
        <f>IF(F154=G154,1,0)</f>
        <v>0</v>
      </c>
      <c r="I154">
        <f>H154*INDEX(Question_Bank!$M$3:$M$14,MATCH(D154,Question_Bank!$A$3:$A$14,0))</f>
        <v>0</v>
      </c>
      <c r="J154">
        <f>SUMIFS($I$3:$I$518,$A$3:$A$518,A154)</f>
        <v>0</v>
      </c>
      <c r="K154" s="5">
        <f>J154/SUM(Question_Bank!$M$3:$M$14)</f>
        <v>0</v>
      </c>
      <c r="L154" s="5">
        <f>SUMIFS($I$3:$I$518,$A$3:$A$518,A154,$E$3:$E$518,E154)/SUMIFS(Question_Bank!$M$3:$M$14,Question_Bank!$B$3:$B$14,E154)</f>
        <v>0</v>
      </c>
      <c r="M154" t="s">
        <v>288</v>
      </c>
    </row>
    <row r="155" spans="1:13">
      <c r="A155" t="s">
        <v>287</v>
      </c>
      <c r="B155" t="s">
        <v>263</v>
      </c>
      <c r="C155" t="s">
        <v>133</v>
      </c>
      <c r="D155" t="s">
        <v>87</v>
      </c>
      <c r="E155" t="s">
        <v>71</v>
      </c>
      <c r="F155" t="s">
        <v>23</v>
      </c>
      <c r="G155">
        <f>INDEX(Question_Bank!$G$3:$G$14,MATCH(D155,Question_Bank!$A$3:$A$14,0))</f>
        <v>0</v>
      </c>
      <c r="H155">
        <f>IF(F155=G155,1,0)</f>
        <v>0</v>
      </c>
      <c r="I155">
        <f>H155*INDEX(Question_Bank!$M$3:$M$14,MATCH(D155,Question_Bank!$A$3:$A$14,0))</f>
        <v>0</v>
      </c>
      <c r="J155">
        <f>SUMIFS($I$3:$I$518,$A$3:$A$518,A155)</f>
        <v>0</v>
      </c>
      <c r="K155" s="5">
        <f>J155/SUM(Question_Bank!$M$3:$M$14)</f>
        <v>0</v>
      </c>
      <c r="L155" s="5">
        <f>SUMIFS($I$3:$I$518,$A$3:$A$518,A155,$E$3:$E$518,E155)/SUMIFS(Question_Bank!$M$3:$M$14,Question_Bank!$B$3:$B$14,E155)</f>
        <v>0</v>
      </c>
      <c r="M155" t="s">
        <v>288</v>
      </c>
    </row>
    <row r="156" spans="1:13">
      <c r="A156" t="s">
        <v>287</v>
      </c>
      <c r="B156" t="s">
        <v>263</v>
      </c>
      <c r="C156" t="s">
        <v>133</v>
      </c>
      <c r="D156" t="s">
        <v>95</v>
      </c>
      <c r="E156" t="s">
        <v>96</v>
      </c>
      <c r="F156" t="s">
        <v>31</v>
      </c>
      <c r="G156">
        <f>INDEX(Question_Bank!$G$3:$G$14,MATCH(D156,Question_Bank!$A$3:$A$14,0))</f>
        <v>0</v>
      </c>
      <c r="H156">
        <f>IF(F156=G156,1,0)</f>
        <v>0</v>
      </c>
      <c r="I156">
        <f>H156*INDEX(Question_Bank!$M$3:$M$14,MATCH(D156,Question_Bank!$A$3:$A$14,0))</f>
        <v>0</v>
      </c>
      <c r="J156">
        <f>SUMIFS($I$3:$I$518,$A$3:$A$518,A156)</f>
        <v>0</v>
      </c>
      <c r="K156" s="5">
        <f>J156/SUM(Question_Bank!$M$3:$M$14)</f>
        <v>0</v>
      </c>
      <c r="L156" s="5">
        <f>SUMIFS($I$3:$I$518,$A$3:$A$518,A156,$E$3:$E$518,E156)/SUMIFS(Question_Bank!$M$3:$M$14,Question_Bank!$B$3:$B$14,E156)</f>
        <v>0</v>
      </c>
      <c r="M156" t="s">
        <v>288</v>
      </c>
    </row>
    <row r="157" spans="1:13">
      <c r="A157" t="s">
        <v>287</v>
      </c>
      <c r="B157" t="s">
        <v>263</v>
      </c>
      <c r="C157" t="s">
        <v>133</v>
      </c>
      <c r="D157" t="s">
        <v>104</v>
      </c>
      <c r="E157" t="s">
        <v>96</v>
      </c>
      <c r="F157" t="s">
        <v>23</v>
      </c>
      <c r="G157">
        <f>INDEX(Question_Bank!$G$3:$G$14,MATCH(D157,Question_Bank!$A$3:$A$14,0))</f>
        <v>0</v>
      </c>
      <c r="H157">
        <f>IF(F157=G157,1,0)</f>
        <v>0</v>
      </c>
      <c r="I157">
        <f>H157*INDEX(Question_Bank!$M$3:$M$14,MATCH(D157,Question_Bank!$A$3:$A$14,0))</f>
        <v>0</v>
      </c>
      <c r="J157">
        <f>SUMIFS($I$3:$I$518,$A$3:$A$518,A157)</f>
        <v>0</v>
      </c>
      <c r="K157" s="5">
        <f>J157/SUM(Question_Bank!$M$3:$M$14)</f>
        <v>0</v>
      </c>
      <c r="L157" s="5">
        <f>SUMIFS($I$3:$I$518,$A$3:$A$518,A157,$E$3:$E$518,E157)/SUMIFS(Question_Bank!$M$3:$M$14,Question_Bank!$B$3:$B$14,E157)</f>
        <v>0</v>
      </c>
      <c r="M157" t="s">
        <v>288</v>
      </c>
    </row>
    <row r="158" spans="1:13">
      <c r="A158" t="s">
        <v>287</v>
      </c>
      <c r="B158" t="s">
        <v>263</v>
      </c>
      <c r="C158" t="s">
        <v>133</v>
      </c>
      <c r="D158" t="s">
        <v>112</v>
      </c>
      <c r="E158" t="s">
        <v>96</v>
      </c>
      <c r="F158" t="s">
        <v>31</v>
      </c>
      <c r="G158">
        <f>INDEX(Question_Bank!$G$3:$G$14,MATCH(D158,Question_Bank!$A$3:$A$14,0))</f>
        <v>0</v>
      </c>
      <c r="H158">
        <f>IF(F158=G158,1,0)</f>
        <v>0</v>
      </c>
      <c r="I158">
        <f>H158*INDEX(Question_Bank!$M$3:$M$14,MATCH(D158,Question_Bank!$A$3:$A$14,0))</f>
        <v>0</v>
      </c>
      <c r="J158">
        <f>SUMIFS($I$3:$I$518,$A$3:$A$518,A158)</f>
        <v>0</v>
      </c>
      <c r="K158" s="5">
        <f>J158/SUM(Question_Bank!$M$3:$M$14)</f>
        <v>0</v>
      </c>
      <c r="L158" s="5">
        <f>SUMIFS($I$3:$I$518,$A$3:$A$518,A158,$E$3:$E$518,E158)/SUMIFS(Question_Bank!$M$3:$M$14,Question_Bank!$B$3:$B$14,E158)</f>
        <v>0</v>
      </c>
      <c r="M158" t="s">
        <v>288</v>
      </c>
    </row>
    <row r="159" spans="1:13">
      <c r="A159" t="s">
        <v>289</v>
      </c>
      <c r="B159" t="s">
        <v>263</v>
      </c>
      <c r="C159" t="s">
        <v>133</v>
      </c>
      <c r="D159" t="s">
        <v>14</v>
      </c>
      <c r="E159" t="s">
        <v>15</v>
      </c>
      <c r="F159" t="s">
        <v>23</v>
      </c>
      <c r="G159">
        <f>INDEX(Question_Bank!$G$3:$G$14,MATCH(D159,Question_Bank!$A$3:$A$14,0))</f>
        <v>0</v>
      </c>
      <c r="H159">
        <f>IF(F159=G159,1,0)</f>
        <v>0</v>
      </c>
      <c r="I159">
        <f>H159*INDEX(Question_Bank!$M$3:$M$14,MATCH(D159,Question_Bank!$A$3:$A$14,0))</f>
        <v>0</v>
      </c>
      <c r="J159">
        <f>SUMIFS($I$3:$I$518,$A$3:$A$518,A159)</f>
        <v>0</v>
      </c>
      <c r="K159" s="5">
        <f>J159/SUM(Question_Bank!$M$3:$M$14)</f>
        <v>0</v>
      </c>
      <c r="L159" s="5">
        <f>SUMIFS($I$3:$I$518,$A$3:$A$518,A159,$E$3:$E$518,E159)/SUMIFS(Question_Bank!$M$3:$M$14,Question_Bank!$B$3:$B$14,E159)</f>
        <v>0</v>
      </c>
      <c r="M159" t="s">
        <v>290</v>
      </c>
    </row>
    <row r="160" spans="1:13">
      <c r="A160" t="s">
        <v>289</v>
      </c>
      <c r="B160" t="s">
        <v>263</v>
      </c>
      <c r="C160" t="s">
        <v>133</v>
      </c>
      <c r="D160" t="s">
        <v>26</v>
      </c>
      <c r="E160" t="s">
        <v>15</v>
      </c>
      <c r="F160" t="s">
        <v>34</v>
      </c>
      <c r="G160">
        <f>INDEX(Question_Bank!$G$3:$G$14,MATCH(D160,Question_Bank!$A$3:$A$14,0))</f>
        <v>0</v>
      </c>
      <c r="H160">
        <f>IF(F160=G160,1,0)</f>
        <v>0</v>
      </c>
      <c r="I160">
        <f>H160*INDEX(Question_Bank!$M$3:$M$14,MATCH(D160,Question_Bank!$A$3:$A$14,0))</f>
        <v>0</v>
      </c>
      <c r="J160">
        <f>SUMIFS($I$3:$I$518,$A$3:$A$518,A160)</f>
        <v>0</v>
      </c>
      <c r="K160" s="5">
        <f>J160/SUM(Question_Bank!$M$3:$M$14)</f>
        <v>0</v>
      </c>
      <c r="L160" s="5">
        <f>SUMIFS($I$3:$I$518,$A$3:$A$518,A160,$E$3:$E$518,E160)/SUMIFS(Question_Bank!$M$3:$M$14,Question_Bank!$B$3:$B$14,E160)</f>
        <v>0</v>
      </c>
      <c r="M160" t="s">
        <v>290</v>
      </c>
    </row>
    <row r="161" spans="1:13">
      <c r="A161" t="s">
        <v>289</v>
      </c>
      <c r="B161" t="s">
        <v>263</v>
      </c>
      <c r="C161" t="s">
        <v>133</v>
      </c>
      <c r="D161" t="s">
        <v>37</v>
      </c>
      <c r="E161" t="s">
        <v>15</v>
      </c>
      <c r="F161" t="s">
        <v>20</v>
      </c>
      <c r="G161">
        <f>INDEX(Question_Bank!$G$3:$G$14,MATCH(D161,Question_Bank!$A$3:$A$14,0))</f>
        <v>0</v>
      </c>
      <c r="H161">
        <f>IF(F161=G161,1,0)</f>
        <v>0</v>
      </c>
      <c r="I161">
        <f>H161*INDEX(Question_Bank!$M$3:$M$14,MATCH(D161,Question_Bank!$A$3:$A$14,0))</f>
        <v>0</v>
      </c>
      <c r="J161">
        <f>SUMIFS($I$3:$I$518,$A$3:$A$518,A161)</f>
        <v>0</v>
      </c>
      <c r="K161" s="5">
        <f>J161/SUM(Question_Bank!$M$3:$M$14)</f>
        <v>0</v>
      </c>
      <c r="L161" s="5">
        <f>SUMIFS($I$3:$I$518,$A$3:$A$518,A161,$E$3:$E$518,E161)/SUMIFS(Question_Bank!$M$3:$M$14,Question_Bank!$B$3:$B$14,E161)</f>
        <v>0</v>
      </c>
      <c r="M161" t="s">
        <v>290</v>
      </c>
    </row>
    <row r="162" spans="1:13">
      <c r="A162" t="s">
        <v>289</v>
      </c>
      <c r="B162" t="s">
        <v>263</v>
      </c>
      <c r="C162" t="s">
        <v>133</v>
      </c>
      <c r="D162" t="s">
        <v>45</v>
      </c>
      <c r="E162" t="s">
        <v>46</v>
      </c>
      <c r="F162" t="s">
        <v>23</v>
      </c>
      <c r="G162">
        <f>INDEX(Question_Bank!$G$3:$G$14,MATCH(D162,Question_Bank!$A$3:$A$14,0))</f>
        <v>0</v>
      </c>
      <c r="H162">
        <f>IF(F162=G162,1,0)</f>
        <v>0</v>
      </c>
      <c r="I162">
        <f>H162*INDEX(Question_Bank!$M$3:$M$14,MATCH(D162,Question_Bank!$A$3:$A$14,0))</f>
        <v>0</v>
      </c>
      <c r="J162">
        <f>SUMIFS($I$3:$I$518,$A$3:$A$518,A162)</f>
        <v>0</v>
      </c>
      <c r="K162" s="5">
        <f>J162/SUM(Question_Bank!$M$3:$M$14)</f>
        <v>0</v>
      </c>
      <c r="L162" s="5">
        <f>SUMIFS($I$3:$I$518,$A$3:$A$518,A162,$E$3:$E$518,E162)/SUMIFS(Question_Bank!$M$3:$M$14,Question_Bank!$B$3:$B$14,E162)</f>
        <v>0</v>
      </c>
      <c r="M162" t="s">
        <v>290</v>
      </c>
    </row>
    <row r="163" spans="1:13">
      <c r="A163" t="s">
        <v>289</v>
      </c>
      <c r="B163" t="s">
        <v>263</v>
      </c>
      <c r="C163" t="s">
        <v>133</v>
      </c>
      <c r="D163" t="s">
        <v>54</v>
      </c>
      <c r="E163" t="s">
        <v>46</v>
      </c>
      <c r="F163" t="s">
        <v>20</v>
      </c>
      <c r="G163">
        <f>INDEX(Question_Bank!$G$3:$G$14,MATCH(D163,Question_Bank!$A$3:$A$14,0))</f>
        <v>0</v>
      </c>
      <c r="H163">
        <f>IF(F163=G163,1,0)</f>
        <v>0</v>
      </c>
      <c r="I163">
        <f>H163*INDEX(Question_Bank!$M$3:$M$14,MATCH(D163,Question_Bank!$A$3:$A$14,0))</f>
        <v>0</v>
      </c>
      <c r="J163">
        <f>SUMIFS($I$3:$I$518,$A$3:$A$518,A163)</f>
        <v>0</v>
      </c>
      <c r="K163" s="5">
        <f>J163/SUM(Question_Bank!$M$3:$M$14)</f>
        <v>0</v>
      </c>
      <c r="L163" s="5">
        <f>SUMIFS($I$3:$I$518,$A$3:$A$518,A163,$E$3:$E$518,E163)/SUMIFS(Question_Bank!$M$3:$M$14,Question_Bank!$B$3:$B$14,E163)</f>
        <v>0</v>
      </c>
      <c r="M163" t="s">
        <v>290</v>
      </c>
    </row>
    <row r="164" spans="1:13">
      <c r="A164" t="s">
        <v>289</v>
      </c>
      <c r="B164" t="s">
        <v>263</v>
      </c>
      <c r="C164" t="s">
        <v>133</v>
      </c>
      <c r="D164" t="s">
        <v>62</v>
      </c>
      <c r="E164" t="s">
        <v>46</v>
      </c>
      <c r="F164" t="s">
        <v>31</v>
      </c>
      <c r="G164">
        <f>INDEX(Question_Bank!$G$3:$G$14,MATCH(D164,Question_Bank!$A$3:$A$14,0))</f>
        <v>0</v>
      </c>
      <c r="H164">
        <f>IF(F164=G164,1,0)</f>
        <v>0</v>
      </c>
      <c r="I164">
        <f>H164*INDEX(Question_Bank!$M$3:$M$14,MATCH(D164,Question_Bank!$A$3:$A$14,0))</f>
        <v>0</v>
      </c>
      <c r="J164">
        <f>SUMIFS($I$3:$I$518,$A$3:$A$518,A164)</f>
        <v>0</v>
      </c>
      <c r="K164" s="5">
        <f>J164/SUM(Question_Bank!$M$3:$M$14)</f>
        <v>0</v>
      </c>
      <c r="L164" s="5">
        <f>SUMIFS($I$3:$I$518,$A$3:$A$518,A164,$E$3:$E$518,E164)/SUMIFS(Question_Bank!$M$3:$M$14,Question_Bank!$B$3:$B$14,E164)</f>
        <v>0</v>
      </c>
      <c r="M164" t="s">
        <v>290</v>
      </c>
    </row>
    <row r="165" spans="1:13">
      <c r="A165" t="s">
        <v>289</v>
      </c>
      <c r="B165" t="s">
        <v>263</v>
      </c>
      <c r="C165" t="s">
        <v>133</v>
      </c>
      <c r="D165" t="s">
        <v>70</v>
      </c>
      <c r="E165" t="s">
        <v>71</v>
      </c>
      <c r="F165" t="s">
        <v>31</v>
      </c>
      <c r="G165">
        <f>INDEX(Question_Bank!$G$3:$G$14,MATCH(D165,Question_Bank!$A$3:$A$14,0))</f>
        <v>0</v>
      </c>
      <c r="H165">
        <f>IF(F165=G165,1,0)</f>
        <v>0</v>
      </c>
      <c r="I165">
        <f>H165*INDEX(Question_Bank!$M$3:$M$14,MATCH(D165,Question_Bank!$A$3:$A$14,0))</f>
        <v>0</v>
      </c>
      <c r="J165">
        <f>SUMIFS($I$3:$I$518,$A$3:$A$518,A165)</f>
        <v>0</v>
      </c>
      <c r="K165" s="5">
        <f>J165/SUM(Question_Bank!$M$3:$M$14)</f>
        <v>0</v>
      </c>
      <c r="L165" s="5">
        <f>SUMIFS($I$3:$I$518,$A$3:$A$518,A165,$E$3:$E$518,E165)/SUMIFS(Question_Bank!$M$3:$M$14,Question_Bank!$B$3:$B$14,E165)</f>
        <v>0</v>
      </c>
      <c r="M165" t="s">
        <v>290</v>
      </c>
    </row>
    <row r="166" spans="1:13">
      <c r="A166" t="s">
        <v>289</v>
      </c>
      <c r="B166" t="s">
        <v>263</v>
      </c>
      <c r="C166" t="s">
        <v>133</v>
      </c>
      <c r="D166" t="s">
        <v>79</v>
      </c>
      <c r="E166" t="s">
        <v>71</v>
      </c>
      <c r="F166" t="s">
        <v>34</v>
      </c>
      <c r="G166">
        <f>INDEX(Question_Bank!$G$3:$G$14,MATCH(D166,Question_Bank!$A$3:$A$14,0))</f>
        <v>0</v>
      </c>
      <c r="H166">
        <f>IF(F166=G166,1,0)</f>
        <v>0</v>
      </c>
      <c r="I166">
        <f>H166*INDEX(Question_Bank!$M$3:$M$14,MATCH(D166,Question_Bank!$A$3:$A$14,0))</f>
        <v>0</v>
      </c>
      <c r="J166">
        <f>SUMIFS($I$3:$I$518,$A$3:$A$518,A166)</f>
        <v>0</v>
      </c>
      <c r="K166" s="5">
        <f>J166/SUM(Question_Bank!$M$3:$M$14)</f>
        <v>0</v>
      </c>
      <c r="L166" s="5">
        <f>SUMIFS($I$3:$I$518,$A$3:$A$518,A166,$E$3:$E$518,E166)/SUMIFS(Question_Bank!$M$3:$M$14,Question_Bank!$B$3:$B$14,E166)</f>
        <v>0</v>
      </c>
      <c r="M166" t="s">
        <v>290</v>
      </c>
    </row>
    <row r="167" spans="1:13">
      <c r="A167" t="s">
        <v>289</v>
      </c>
      <c r="B167" t="s">
        <v>263</v>
      </c>
      <c r="C167" t="s">
        <v>133</v>
      </c>
      <c r="D167" t="s">
        <v>87</v>
      </c>
      <c r="E167" t="s">
        <v>71</v>
      </c>
      <c r="F167" t="s">
        <v>31</v>
      </c>
      <c r="G167">
        <f>INDEX(Question_Bank!$G$3:$G$14,MATCH(D167,Question_Bank!$A$3:$A$14,0))</f>
        <v>0</v>
      </c>
      <c r="H167">
        <f>IF(F167=G167,1,0)</f>
        <v>0</v>
      </c>
      <c r="I167">
        <f>H167*INDEX(Question_Bank!$M$3:$M$14,MATCH(D167,Question_Bank!$A$3:$A$14,0))</f>
        <v>0</v>
      </c>
      <c r="J167">
        <f>SUMIFS($I$3:$I$518,$A$3:$A$518,A167)</f>
        <v>0</v>
      </c>
      <c r="K167" s="5">
        <f>J167/SUM(Question_Bank!$M$3:$M$14)</f>
        <v>0</v>
      </c>
      <c r="L167" s="5">
        <f>SUMIFS($I$3:$I$518,$A$3:$A$518,A167,$E$3:$E$518,E167)/SUMIFS(Question_Bank!$M$3:$M$14,Question_Bank!$B$3:$B$14,E167)</f>
        <v>0</v>
      </c>
      <c r="M167" t="s">
        <v>290</v>
      </c>
    </row>
    <row r="168" spans="1:13">
      <c r="A168" t="s">
        <v>289</v>
      </c>
      <c r="B168" t="s">
        <v>263</v>
      </c>
      <c r="C168" t="s">
        <v>133</v>
      </c>
      <c r="D168" t="s">
        <v>95</v>
      </c>
      <c r="E168" t="s">
        <v>96</v>
      </c>
      <c r="F168" t="s">
        <v>20</v>
      </c>
      <c r="G168">
        <f>INDEX(Question_Bank!$G$3:$G$14,MATCH(D168,Question_Bank!$A$3:$A$14,0))</f>
        <v>0</v>
      </c>
      <c r="H168">
        <f>IF(F168=G168,1,0)</f>
        <v>0</v>
      </c>
      <c r="I168">
        <f>H168*INDEX(Question_Bank!$M$3:$M$14,MATCH(D168,Question_Bank!$A$3:$A$14,0))</f>
        <v>0</v>
      </c>
      <c r="J168">
        <f>SUMIFS($I$3:$I$518,$A$3:$A$518,A168)</f>
        <v>0</v>
      </c>
      <c r="K168" s="5">
        <f>J168/SUM(Question_Bank!$M$3:$M$14)</f>
        <v>0</v>
      </c>
      <c r="L168" s="5">
        <f>SUMIFS($I$3:$I$518,$A$3:$A$518,A168,$E$3:$E$518,E168)/SUMIFS(Question_Bank!$M$3:$M$14,Question_Bank!$B$3:$B$14,E168)</f>
        <v>0</v>
      </c>
      <c r="M168" t="s">
        <v>290</v>
      </c>
    </row>
    <row r="169" spans="1:13">
      <c r="A169" t="s">
        <v>289</v>
      </c>
      <c r="B169" t="s">
        <v>263</v>
      </c>
      <c r="C169" t="s">
        <v>133</v>
      </c>
      <c r="D169" t="s">
        <v>104</v>
      </c>
      <c r="E169" t="s">
        <v>96</v>
      </c>
      <c r="F169" t="s">
        <v>34</v>
      </c>
      <c r="G169">
        <f>INDEX(Question_Bank!$G$3:$G$14,MATCH(D169,Question_Bank!$A$3:$A$14,0))</f>
        <v>0</v>
      </c>
      <c r="H169">
        <f>IF(F169=G169,1,0)</f>
        <v>0</v>
      </c>
      <c r="I169">
        <f>H169*INDEX(Question_Bank!$M$3:$M$14,MATCH(D169,Question_Bank!$A$3:$A$14,0))</f>
        <v>0</v>
      </c>
      <c r="J169">
        <f>SUMIFS($I$3:$I$518,$A$3:$A$518,A169)</f>
        <v>0</v>
      </c>
      <c r="K169" s="5">
        <f>J169/SUM(Question_Bank!$M$3:$M$14)</f>
        <v>0</v>
      </c>
      <c r="L169" s="5">
        <f>SUMIFS($I$3:$I$518,$A$3:$A$518,A169,$E$3:$E$518,E169)/SUMIFS(Question_Bank!$M$3:$M$14,Question_Bank!$B$3:$B$14,E169)</f>
        <v>0</v>
      </c>
      <c r="M169" t="s">
        <v>290</v>
      </c>
    </row>
    <row r="170" spans="1:13">
      <c r="A170" t="s">
        <v>289</v>
      </c>
      <c r="B170" t="s">
        <v>263</v>
      </c>
      <c r="C170" t="s">
        <v>133</v>
      </c>
      <c r="D170" t="s">
        <v>112</v>
      </c>
      <c r="E170" t="s">
        <v>96</v>
      </c>
      <c r="F170" t="s">
        <v>23</v>
      </c>
      <c r="G170">
        <f>INDEX(Question_Bank!$G$3:$G$14,MATCH(D170,Question_Bank!$A$3:$A$14,0))</f>
        <v>0</v>
      </c>
      <c r="H170">
        <f>IF(F170=G170,1,0)</f>
        <v>0</v>
      </c>
      <c r="I170">
        <f>H170*INDEX(Question_Bank!$M$3:$M$14,MATCH(D170,Question_Bank!$A$3:$A$14,0))</f>
        <v>0</v>
      </c>
      <c r="J170">
        <f>SUMIFS($I$3:$I$518,$A$3:$A$518,A170)</f>
        <v>0</v>
      </c>
      <c r="K170" s="5">
        <f>J170/SUM(Question_Bank!$M$3:$M$14)</f>
        <v>0</v>
      </c>
      <c r="L170" s="5">
        <f>SUMIFS($I$3:$I$518,$A$3:$A$518,A170,$E$3:$E$518,E170)/SUMIFS(Question_Bank!$M$3:$M$14,Question_Bank!$B$3:$B$14,E170)</f>
        <v>0</v>
      </c>
      <c r="M170" t="s">
        <v>290</v>
      </c>
    </row>
    <row r="171" spans="1:13">
      <c r="A171" t="s">
        <v>291</v>
      </c>
      <c r="B171" t="s">
        <v>263</v>
      </c>
      <c r="C171" t="s">
        <v>133</v>
      </c>
      <c r="D171" t="s">
        <v>14</v>
      </c>
      <c r="E171" t="s">
        <v>15</v>
      </c>
      <c r="F171" t="s">
        <v>20</v>
      </c>
      <c r="G171">
        <f>INDEX(Question_Bank!$G$3:$G$14,MATCH(D171,Question_Bank!$A$3:$A$14,0))</f>
        <v>0</v>
      </c>
      <c r="H171">
        <f>IF(F171=G171,1,0)</f>
        <v>0</v>
      </c>
      <c r="I171">
        <f>H171*INDEX(Question_Bank!$M$3:$M$14,MATCH(D171,Question_Bank!$A$3:$A$14,0))</f>
        <v>0</v>
      </c>
      <c r="J171">
        <f>SUMIFS($I$3:$I$518,$A$3:$A$518,A171)</f>
        <v>0</v>
      </c>
      <c r="K171" s="5">
        <f>J171/SUM(Question_Bank!$M$3:$M$14)</f>
        <v>0</v>
      </c>
      <c r="L171" s="5">
        <f>SUMIFS($I$3:$I$518,$A$3:$A$518,A171,$E$3:$E$518,E171)/SUMIFS(Question_Bank!$M$3:$M$14,Question_Bank!$B$3:$B$14,E171)</f>
        <v>0</v>
      </c>
      <c r="M171" t="s">
        <v>292</v>
      </c>
    </row>
    <row r="172" spans="1:13">
      <c r="A172" t="s">
        <v>291</v>
      </c>
      <c r="B172" t="s">
        <v>263</v>
      </c>
      <c r="C172" t="s">
        <v>133</v>
      </c>
      <c r="D172" t="s">
        <v>26</v>
      </c>
      <c r="E172" t="s">
        <v>15</v>
      </c>
      <c r="F172" t="s">
        <v>20</v>
      </c>
      <c r="G172">
        <f>INDEX(Question_Bank!$G$3:$G$14,MATCH(D172,Question_Bank!$A$3:$A$14,0))</f>
        <v>0</v>
      </c>
      <c r="H172">
        <f>IF(F172=G172,1,0)</f>
        <v>0</v>
      </c>
      <c r="I172">
        <f>H172*INDEX(Question_Bank!$M$3:$M$14,MATCH(D172,Question_Bank!$A$3:$A$14,0))</f>
        <v>0</v>
      </c>
      <c r="J172">
        <f>SUMIFS($I$3:$I$518,$A$3:$A$518,A172)</f>
        <v>0</v>
      </c>
      <c r="K172" s="5">
        <f>J172/SUM(Question_Bank!$M$3:$M$14)</f>
        <v>0</v>
      </c>
      <c r="L172" s="5">
        <f>SUMIFS($I$3:$I$518,$A$3:$A$518,A172,$E$3:$E$518,E172)/SUMIFS(Question_Bank!$M$3:$M$14,Question_Bank!$B$3:$B$14,E172)</f>
        <v>0</v>
      </c>
      <c r="M172" t="s">
        <v>292</v>
      </c>
    </row>
    <row r="173" spans="1:13">
      <c r="A173" t="s">
        <v>291</v>
      </c>
      <c r="B173" t="s">
        <v>263</v>
      </c>
      <c r="C173" t="s">
        <v>133</v>
      </c>
      <c r="D173" t="s">
        <v>37</v>
      </c>
      <c r="E173" t="s">
        <v>15</v>
      </c>
      <c r="F173" t="s">
        <v>20</v>
      </c>
      <c r="G173">
        <f>INDEX(Question_Bank!$G$3:$G$14,MATCH(D173,Question_Bank!$A$3:$A$14,0))</f>
        <v>0</v>
      </c>
      <c r="H173">
        <f>IF(F173=G173,1,0)</f>
        <v>0</v>
      </c>
      <c r="I173">
        <f>H173*INDEX(Question_Bank!$M$3:$M$14,MATCH(D173,Question_Bank!$A$3:$A$14,0))</f>
        <v>0</v>
      </c>
      <c r="J173">
        <f>SUMIFS($I$3:$I$518,$A$3:$A$518,A173)</f>
        <v>0</v>
      </c>
      <c r="K173" s="5">
        <f>J173/SUM(Question_Bank!$M$3:$M$14)</f>
        <v>0</v>
      </c>
      <c r="L173" s="5">
        <f>SUMIFS($I$3:$I$518,$A$3:$A$518,A173,$E$3:$E$518,E173)/SUMIFS(Question_Bank!$M$3:$M$14,Question_Bank!$B$3:$B$14,E173)</f>
        <v>0</v>
      </c>
      <c r="M173" t="s">
        <v>292</v>
      </c>
    </row>
    <row r="174" spans="1:13">
      <c r="A174" t="s">
        <v>291</v>
      </c>
      <c r="B174" t="s">
        <v>263</v>
      </c>
      <c r="C174" t="s">
        <v>133</v>
      </c>
      <c r="D174" t="s">
        <v>45</v>
      </c>
      <c r="E174" t="s">
        <v>46</v>
      </c>
      <c r="F174" t="s">
        <v>20</v>
      </c>
      <c r="G174">
        <f>INDEX(Question_Bank!$G$3:$G$14,MATCH(D174,Question_Bank!$A$3:$A$14,0))</f>
        <v>0</v>
      </c>
      <c r="H174">
        <f>IF(F174=G174,1,0)</f>
        <v>0</v>
      </c>
      <c r="I174">
        <f>H174*INDEX(Question_Bank!$M$3:$M$14,MATCH(D174,Question_Bank!$A$3:$A$14,0))</f>
        <v>0</v>
      </c>
      <c r="J174">
        <f>SUMIFS($I$3:$I$518,$A$3:$A$518,A174)</f>
        <v>0</v>
      </c>
      <c r="K174" s="5">
        <f>J174/SUM(Question_Bank!$M$3:$M$14)</f>
        <v>0</v>
      </c>
      <c r="L174" s="5">
        <f>SUMIFS($I$3:$I$518,$A$3:$A$518,A174,$E$3:$E$518,E174)/SUMIFS(Question_Bank!$M$3:$M$14,Question_Bank!$B$3:$B$14,E174)</f>
        <v>0</v>
      </c>
      <c r="M174" t="s">
        <v>292</v>
      </c>
    </row>
    <row r="175" spans="1:13">
      <c r="A175" t="s">
        <v>291</v>
      </c>
      <c r="B175" t="s">
        <v>263</v>
      </c>
      <c r="C175" t="s">
        <v>133</v>
      </c>
      <c r="D175" t="s">
        <v>54</v>
      </c>
      <c r="E175" t="s">
        <v>46</v>
      </c>
      <c r="F175" t="s">
        <v>20</v>
      </c>
      <c r="G175">
        <f>INDEX(Question_Bank!$G$3:$G$14,MATCH(D175,Question_Bank!$A$3:$A$14,0))</f>
        <v>0</v>
      </c>
      <c r="H175">
        <f>IF(F175=G175,1,0)</f>
        <v>0</v>
      </c>
      <c r="I175">
        <f>H175*INDEX(Question_Bank!$M$3:$M$14,MATCH(D175,Question_Bank!$A$3:$A$14,0))</f>
        <v>0</v>
      </c>
      <c r="J175">
        <f>SUMIFS($I$3:$I$518,$A$3:$A$518,A175)</f>
        <v>0</v>
      </c>
      <c r="K175" s="5">
        <f>J175/SUM(Question_Bank!$M$3:$M$14)</f>
        <v>0</v>
      </c>
      <c r="L175" s="5">
        <f>SUMIFS($I$3:$I$518,$A$3:$A$518,A175,$E$3:$E$518,E175)/SUMIFS(Question_Bank!$M$3:$M$14,Question_Bank!$B$3:$B$14,E175)</f>
        <v>0</v>
      </c>
      <c r="M175" t="s">
        <v>292</v>
      </c>
    </row>
    <row r="176" spans="1:13">
      <c r="A176" t="s">
        <v>291</v>
      </c>
      <c r="B176" t="s">
        <v>263</v>
      </c>
      <c r="C176" t="s">
        <v>133</v>
      </c>
      <c r="D176" t="s">
        <v>62</v>
      </c>
      <c r="E176" t="s">
        <v>46</v>
      </c>
      <c r="F176" t="s">
        <v>31</v>
      </c>
      <c r="G176">
        <f>INDEX(Question_Bank!$G$3:$G$14,MATCH(D176,Question_Bank!$A$3:$A$14,0))</f>
        <v>0</v>
      </c>
      <c r="H176">
        <f>IF(F176=G176,1,0)</f>
        <v>0</v>
      </c>
      <c r="I176">
        <f>H176*INDEX(Question_Bank!$M$3:$M$14,MATCH(D176,Question_Bank!$A$3:$A$14,0))</f>
        <v>0</v>
      </c>
      <c r="J176">
        <f>SUMIFS($I$3:$I$518,$A$3:$A$518,A176)</f>
        <v>0</v>
      </c>
      <c r="K176" s="5">
        <f>J176/SUM(Question_Bank!$M$3:$M$14)</f>
        <v>0</v>
      </c>
      <c r="L176" s="5">
        <f>SUMIFS($I$3:$I$518,$A$3:$A$518,A176,$E$3:$E$518,E176)/SUMIFS(Question_Bank!$M$3:$M$14,Question_Bank!$B$3:$B$14,E176)</f>
        <v>0</v>
      </c>
      <c r="M176" t="s">
        <v>292</v>
      </c>
    </row>
    <row r="177" spans="1:13">
      <c r="A177" t="s">
        <v>291</v>
      </c>
      <c r="B177" t="s">
        <v>263</v>
      </c>
      <c r="C177" t="s">
        <v>133</v>
      </c>
      <c r="D177" t="s">
        <v>70</v>
      </c>
      <c r="E177" t="s">
        <v>71</v>
      </c>
      <c r="F177" t="s">
        <v>20</v>
      </c>
      <c r="G177">
        <f>INDEX(Question_Bank!$G$3:$G$14,MATCH(D177,Question_Bank!$A$3:$A$14,0))</f>
        <v>0</v>
      </c>
      <c r="H177">
        <f>IF(F177=G177,1,0)</f>
        <v>0</v>
      </c>
      <c r="I177">
        <f>H177*INDEX(Question_Bank!$M$3:$M$14,MATCH(D177,Question_Bank!$A$3:$A$14,0))</f>
        <v>0</v>
      </c>
      <c r="J177">
        <f>SUMIFS($I$3:$I$518,$A$3:$A$518,A177)</f>
        <v>0</v>
      </c>
      <c r="K177" s="5">
        <f>J177/SUM(Question_Bank!$M$3:$M$14)</f>
        <v>0</v>
      </c>
      <c r="L177" s="5">
        <f>SUMIFS($I$3:$I$518,$A$3:$A$518,A177,$E$3:$E$518,E177)/SUMIFS(Question_Bank!$M$3:$M$14,Question_Bank!$B$3:$B$14,E177)</f>
        <v>0</v>
      </c>
      <c r="M177" t="s">
        <v>292</v>
      </c>
    </row>
    <row r="178" spans="1:13">
      <c r="A178" t="s">
        <v>291</v>
      </c>
      <c r="B178" t="s">
        <v>263</v>
      </c>
      <c r="C178" t="s">
        <v>133</v>
      </c>
      <c r="D178" t="s">
        <v>79</v>
      </c>
      <c r="E178" t="s">
        <v>71</v>
      </c>
      <c r="F178" t="s">
        <v>34</v>
      </c>
      <c r="G178">
        <f>INDEX(Question_Bank!$G$3:$G$14,MATCH(D178,Question_Bank!$A$3:$A$14,0))</f>
        <v>0</v>
      </c>
      <c r="H178">
        <f>IF(F178=G178,1,0)</f>
        <v>0</v>
      </c>
      <c r="I178">
        <f>H178*INDEX(Question_Bank!$M$3:$M$14,MATCH(D178,Question_Bank!$A$3:$A$14,0))</f>
        <v>0</v>
      </c>
      <c r="J178">
        <f>SUMIFS($I$3:$I$518,$A$3:$A$518,A178)</f>
        <v>0</v>
      </c>
      <c r="K178" s="5">
        <f>J178/SUM(Question_Bank!$M$3:$M$14)</f>
        <v>0</v>
      </c>
      <c r="L178" s="5">
        <f>SUMIFS($I$3:$I$518,$A$3:$A$518,A178,$E$3:$E$518,E178)/SUMIFS(Question_Bank!$M$3:$M$14,Question_Bank!$B$3:$B$14,E178)</f>
        <v>0</v>
      </c>
      <c r="M178" t="s">
        <v>292</v>
      </c>
    </row>
    <row r="179" spans="1:13">
      <c r="A179" t="s">
        <v>291</v>
      </c>
      <c r="B179" t="s">
        <v>263</v>
      </c>
      <c r="C179" t="s">
        <v>133</v>
      </c>
      <c r="D179" t="s">
        <v>87</v>
      </c>
      <c r="E179" t="s">
        <v>71</v>
      </c>
      <c r="F179" t="s">
        <v>20</v>
      </c>
      <c r="G179">
        <f>INDEX(Question_Bank!$G$3:$G$14,MATCH(D179,Question_Bank!$A$3:$A$14,0))</f>
        <v>0</v>
      </c>
      <c r="H179">
        <f>IF(F179=G179,1,0)</f>
        <v>0</v>
      </c>
      <c r="I179">
        <f>H179*INDEX(Question_Bank!$M$3:$M$14,MATCH(D179,Question_Bank!$A$3:$A$14,0))</f>
        <v>0</v>
      </c>
      <c r="J179">
        <f>SUMIFS($I$3:$I$518,$A$3:$A$518,A179)</f>
        <v>0</v>
      </c>
      <c r="K179" s="5">
        <f>J179/SUM(Question_Bank!$M$3:$M$14)</f>
        <v>0</v>
      </c>
      <c r="L179" s="5">
        <f>SUMIFS($I$3:$I$518,$A$3:$A$518,A179,$E$3:$E$518,E179)/SUMIFS(Question_Bank!$M$3:$M$14,Question_Bank!$B$3:$B$14,E179)</f>
        <v>0</v>
      </c>
      <c r="M179" t="s">
        <v>292</v>
      </c>
    </row>
    <row r="180" spans="1:13">
      <c r="A180" t="s">
        <v>291</v>
      </c>
      <c r="B180" t="s">
        <v>263</v>
      </c>
      <c r="C180" t="s">
        <v>133</v>
      </c>
      <c r="D180" t="s">
        <v>95</v>
      </c>
      <c r="E180" t="s">
        <v>96</v>
      </c>
      <c r="F180" t="s">
        <v>31</v>
      </c>
      <c r="G180">
        <f>INDEX(Question_Bank!$G$3:$G$14,MATCH(D180,Question_Bank!$A$3:$A$14,0))</f>
        <v>0</v>
      </c>
      <c r="H180">
        <f>IF(F180=G180,1,0)</f>
        <v>0</v>
      </c>
      <c r="I180">
        <f>H180*INDEX(Question_Bank!$M$3:$M$14,MATCH(D180,Question_Bank!$A$3:$A$14,0))</f>
        <v>0</v>
      </c>
      <c r="J180">
        <f>SUMIFS($I$3:$I$518,$A$3:$A$518,A180)</f>
        <v>0</v>
      </c>
      <c r="K180" s="5">
        <f>J180/SUM(Question_Bank!$M$3:$M$14)</f>
        <v>0</v>
      </c>
      <c r="L180" s="5">
        <f>SUMIFS($I$3:$I$518,$A$3:$A$518,A180,$E$3:$E$518,E180)/SUMIFS(Question_Bank!$M$3:$M$14,Question_Bank!$B$3:$B$14,E180)</f>
        <v>0</v>
      </c>
      <c r="M180" t="s">
        <v>292</v>
      </c>
    </row>
    <row r="181" spans="1:13">
      <c r="A181" t="s">
        <v>291</v>
      </c>
      <c r="B181" t="s">
        <v>263</v>
      </c>
      <c r="C181" t="s">
        <v>133</v>
      </c>
      <c r="D181" t="s">
        <v>104</v>
      </c>
      <c r="E181" t="s">
        <v>96</v>
      </c>
      <c r="F181" t="s">
        <v>34</v>
      </c>
      <c r="G181">
        <f>INDEX(Question_Bank!$G$3:$G$14,MATCH(D181,Question_Bank!$A$3:$A$14,0))</f>
        <v>0</v>
      </c>
      <c r="H181">
        <f>IF(F181=G181,1,0)</f>
        <v>0</v>
      </c>
      <c r="I181">
        <f>H181*INDEX(Question_Bank!$M$3:$M$14,MATCH(D181,Question_Bank!$A$3:$A$14,0))</f>
        <v>0</v>
      </c>
      <c r="J181">
        <f>SUMIFS($I$3:$I$518,$A$3:$A$518,A181)</f>
        <v>0</v>
      </c>
      <c r="K181" s="5">
        <f>J181/SUM(Question_Bank!$M$3:$M$14)</f>
        <v>0</v>
      </c>
      <c r="L181" s="5">
        <f>SUMIFS($I$3:$I$518,$A$3:$A$518,A181,$E$3:$E$518,E181)/SUMIFS(Question_Bank!$M$3:$M$14,Question_Bank!$B$3:$B$14,E181)</f>
        <v>0</v>
      </c>
      <c r="M181" t="s">
        <v>292</v>
      </c>
    </row>
    <row r="182" spans="1:13">
      <c r="A182" t="s">
        <v>291</v>
      </c>
      <c r="B182" t="s">
        <v>263</v>
      </c>
      <c r="C182" t="s">
        <v>133</v>
      </c>
      <c r="D182" t="s">
        <v>112</v>
      </c>
      <c r="E182" t="s">
        <v>96</v>
      </c>
      <c r="F182" t="s">
        <v>23</v>
      </c>
      <c r="G182">
        <f>INDEX(Question_Bank!$G$3:$G$14,MATCH(D182,Question_Bank!$A$3:$A$14,0))</f>
        <v>0</v>
      </c>
      <c r="H182">
        <f>IF(F182=G182,1,0)</f>
        <v>0</v>
      </c>
      <c r="I182">
        <f>H182*INDEX(Question_Bank!$M$3:$M$14,MATCH(D182,Question_Bank!$A$3:$A$14,0))</f>
        <v>0</v>
      </c>
      <c r="J182">
        <f>SUMIFS($I$3:$I$518,$A$3:$A$518,A182)</f>
        <v>0</v>
      </c>
      <c r="K182" s="5">
        <f>J182/SUM(Question_Bank!$M$3:$M$14)</f>
        <v>0</v>
      </c>
      <c r="L182" s="5">
        <f>SUMIFS($I$3:$I$518,$A$3:$A$518,A182,$E$3:$E$518,E182)/SUMIFS(Question_Bank!$M$3:$M$14,Question_Bank!$B$3:$B$14,E182)</f>
        <v>0</v>
      </c>
      <c r="M182" t="s">
        <v>292</v>
      </c>
    </row>
    <row r="183" spans="1:13">
      <c r="A183" t="s">
        <v>293</v>
      </c>
      <c r="B183" t="s">
        <v>263</v>
      </c>
      <c r="C183" t="s">
        <v>133</v>
      </c>
      <c r="D183" t="s">
        <v>14</v>
      </c>
      <c r="E183" t="s">
        <v>15</v>
      </c>
      <c r="F183" t="s">
        <v>31</v>
      </c>
      <c r="G183">
        <f>INDEX(Question_Bank!$G$3:$G$14,MATCH(D183,Question_Bank!$A$3:$A$14,0))</f>
        <v>0</v>
      </c>
      <c r="H183">
        <f>IF(F183=G183,1,0)</f>
        <v>0</v>
      </c>
      <c r="I183">
        <f>H183*INDEX(Question_Bank!$M$3:$M$14,MATCH(D183,Question_Bank!$A$3:$A$14,0))</f>
        <v>0</v>
      </c>
      <c r="J183">
        <f>SUMIFS($I$3:$I$518,$A$3:$A$518,A183)</f>
        <v>0</v>
      </c>
      <c r="K183" s="5">
        <f>J183/SUM(Question_Bank!$M$3:$M$14)</f>
        <v>0</v>
      </c>
      <c r="L183" s="5">
        <f>SUMIFS($I$3:$I$518,$A$3:$A$518,A183,$E$3:$E$518,E183)/SUMIFS(Question_Bank!$M$3:$M$14,Question_Bank!$B$3:$B$14,E183)</f>
        <v>0</v>
      </c>
      <c r="M183" t="s">
        <v>294</v>
      </c>
    </row>
    <row r="184" spans="1:13">
      <c r="A184" t="s">
        <v>293</v>
      </c>
      <c r="B184" t="s">
        <v>263</v>
      </c>
      <c r="C184" t="s">
        <v>133</v>
      </c>
      <c r="D184" t="s">
        <v>26</v>
      </c>
      <c r="E184" t="s">
        <v>15</v>
      </c>
      <c r="F184" t="s">
        <v>34</v>
      </c>
      <c r="G184">
        <f>INDEX(Question_Bank!$G$3:$G$14,MATCH(D184,Question_Bank!$A$3:$A$14,0))</f>
        <v>0</v>
      </c>
      <c r="H184">
        <f>IF(F184=G184,1,0)</f>
        <v>0</v>
      </c>
      <c r="I184">
        <f>H184*INDEX(Question_Bank!$M$3:$M$14,MATCH(D184,Question_Bank!$A$3:$A$14,0))</f>
        <v>0</v>
      </c>
      <c r="J184">
        <f>SUMIFS($I$3:$I$518,$A$3:$A$518,A184)</f>
        <v>0</v>
      </c>
      <c r="K184" s="5">
        <f>J184/SUM(Question_Bank!$M$3:$M$14)</f>
        <v>0</v>
      </c>
      <c r="L184" s="5">
        <f>SUMIFS($I$3:$I$518,$A$3:$A$518,A184,$E$3:$E$518,E184)/SUMIFS(Question_Bank!$M$3:$M$14,Question_Bank!$B$3:$B$14,E184)</f>
        <v>0</v>
      </c>
      <c r="M184" t="s">
        <v>294</v>
      </c>
    </row>
    <row r="185" spans="1:13">
      <c r="A185" t="s">
        <v>293</v>
      </c>
      <c r="B185" t="s">
        <v>263</v>
      </c>
      <c r="C185" t="s">
        <v>133</v>
      </c>
      <c r="D185" t="s">
        <v>37</v>
      </c>
      <c r="E185" t="s">
        <v>15</v>
      </c>
      <c r="F185" t="s">
        <v>23</v>
      </c>
      <c r="G185">
        <f>INDEX(Question_Bank!$G$3:$G$14,MATCH(D185,Question_Bank!$A$3:$A$14,0))</f>
        <v>0</v>
      </c>
      <c r="H185">
        <f>IF(F185=G185,1,0)</f>
        <v>0</v>
      </c>
      <c r="I185">
        <f>H185*INDEX(Question_Bank!$M$3:$M$14,MATCH(D185,Question_Bank!$A$3:$A$14,0))</f>
        <v>0</v>
      </c>
      <c r="J185">
        <f>SUMIFS($I$3:$I$518,$A$3:$A$518,A185)</f>
        <v>0</v>
      </c>
      <c r="K185" s="5">
        <f>J185/SUM(Question_Bank!$M$3:$M$14)</f>
        <v>0</v>
      </c>
      <c r="L185" s="5">
        <f>SUMIFS($I$3:$I$518,$A$3:$A$518,A185,$E$3:$E$518,E185)/SUMIFS(Question_Bank!$M$3:$M$14,Question_Bank!$B$3:$B$14,E185)</f>
        <v>0</v>
      </c>
      <c r="M185" t="s">
        <v>294</v>
      </c>
    </row>
    <row r="186" spans="1:13">
      <c r="A186" t="s">
        <v>293</v>
      </c>
      <c r="B186" t="s">
        <v>263</v>
      </c>
      <c r="C186" t="s">
        <v>133</v>
      </c>
      <c r="D186" t="s">
        <v>45</v>
      </c>
      <c r="E186" t="s">
        <v>46</v>
      </c>
      <c r="F186" t="s">
        <v>20</v>
      </c>
      <c r="G186">
        <f>INDEX(Question_Bank!$G$3:$G$14,MATCH(D186,Question_Bank!$A$3:$A$14,0))</f>
        <v>0</v>
      </c>
      <c r="H186">
        <f>IF(F186=G186,1,0)</f>
        <v>0</v>
      </c>
      <c r="I186">
        <f>H186*INDEX(Question_Bank!$M$3:$M$14,MATCH(D186,Question_Bank!$A$3:$A$14,0))</f>
        <v>0</v>
      </c>
      <c r="J186">
        <f>SUMIFS($I$3:$I$518,$A$3:$A$518,A186)</f>
        <v>0</v>
      </c>
      <c r="K186" s="5">
        <f>J186/SUM(Question_Bank!$M$3:$M$14)</f>
        <v>0</v>
      </c>
      <c r="L186" s="5">
        <f>SUMIFS($I$3:$I$518,$A$3:$A$518,A186,$E$3:$E$518,E186)/SUMIFS(Question_Bank!$M$3:$M$14,Question_Bank!$B$3:$B$14,E186)</f>
        <v>0</v>
      </c>
      <c r="M186" t="s">
        <v>294</v>
      </c>
    </row>
    <row r="187" spans="1:13">
      <c r="A187" t="s">
        <v>293</v>
      </c>
      <c r="B187" t="s">
        <v>263</v>
      </c>
      <c r="C187" t="s">
        <v>133</v>
      </c>
      <c r="D187" t="s">
        <v>54</v>
      </c>
      <c r="E187" t="s">
        <v>46</v>
      </c>
      <c r="F187" t="s">
        <v>23</v>
      </c>
      <c r="G187">
        <f>INDEX(Question_Bank!$G$3:$G$14,MATCH(D187,Question_Bank!$A$3:$A$14,0))</f>
        <v>0</v>
      </c>
      <c r="H187">
        <f>IF(F187=G187,1,0)</f>
        <v>0</v>
      </c>
      <c r="I187">
        <f>H187*INDEX(Question_Bank!$M$3:$M$14,MATCH(D187,Question_Bank!$A$3:$A$14,0))</f>
        <v>0</v>
      </c>
      <c r="J187">
        <f>SUMIFS($I$3:$I$518,$A$3:$A$518,A187)</f>
        <v>0</v>
      </c>
      <c r="K187" s="5">
        <f>J187/SUM(Question_Bank!$M$3:$M$14)</f>
        <v>0</v>
      </c>
      <c r="L187" s="5">
        <f>SUMIFS($I$3:$I$518,$A$3:$A$518,A187,$E$3:$E$518,E187)/SUMIFS(Question_Bank!$M$3:$M$14,Question_Bank!$B$3:$B$14,E187)</f>
        <v>0</v>
      </c>
      <c r="M187" t="s">
        <v>294</v>
      </c>
    </row>
    <row r="188" spans="1:13">
      <c r="A188" t="s">
        <v>293</v>
      </c>
      <c r="B188" t="s">
        <v>263</v>
      </c>
      <c r="C188" t="s">
        <v>133</v>
      </c>
      <c r="D188" t="s">
        <v>62</v>
      </c>
      <c r="E188" t="s">
        <v>46</v>
      </c>
      <c r="F188" t="s">
        <v>31</v>
      </c>
      <c r="G188">
        <f>INDEX(Question_Bank!$G$3:$G$14,MATCH(D188,Question_Bank!$A$3:$A$14,0))</f>
        <v>0</v>
      </c>
      <c r="H188">
        <f>IF(F188=G188,1,0)</f>
        <v>0</v>
      </c>
      <c r="I188">
        <f>H188*INDEX(Question_Bank!$M$3:$M$14,MATCH(D188,Question_Bank!$A$3:$A$14,0))</f>
        <v>0</v>
      </c>
      <c r="J188">
        <f>SUMIFS($I$3:$I$518,$A$3:$A$518,A188)</f>
        <v>0</v>
      </c>
      <c r="K188" s="5">
        <f>J188/SUM(Question_Bank!$M$3:$M$14)</f>
        <v>0</v>
      </c>
      <c r="L188" s="5">
        <f>SUMIFS($I$3:$I$518,$A$3:$A$518,A188,$E$3:$E$518,E188)/SUMIFS(Question_Bank!$M$3:$M$14,Question_Bank!$B$3:$B$14,E188)</f>
        <v>0</v>
      </c>
      <c r="M188" t="s">
        <v>294</v>
      </c>
    </row>
    <row r="189" spans="1:13">
      <c r="A189" t="s">
        <v>293</v>
      </c>
      <c r="B189" t="s">
        <v>263</v>
      </c>
      <c r="C189" t="s">
        <v>133</v>
      </c>
      <c r="D189" t="s">
        <v>70</v>
      </c>
      <c r="E189" t="s">
        <v>71</v>
      </c>
      <c r="F189" t="s">
        <v>23</v>
      </c>
      <c r="G189">
        <f>INDEX(Question_Bank!$G$3:$G$14,MATCH(D189,Question_Bank!$A$3:$A$14,0))</f>
        <v>0</v>
      </c>
      <c r="H189">
        <f>IF(F189=G189,1,0)</f>
        <v>0</v>
      </c>
      <c r="I189">
        <f>H189*INDEX(Question_Bank!$M$3:$M$14,MATCH(D189,Question_Bank!$A$3:$A$14,0))</f>
        <v>0</v>
      </c>
      <c r="J189">
        <f>SUMIFS($I$3:$I$518,$A$3:$A$518,A189)</f>
        <v>0</v>
      </c>
      <c r="K189" s="5">
        <f>J189/SUM(Question_Bank!$M$3:$M$14)</f>
        <v>0</v>
      </c>
      <c r="L189" s="5">
        <f>SUMIFS($I$3:$I$518,$A$3:$A$518,A189,$E$3:$E$518,E189)/SUMIFS(Question_Bank!$M$3:$M$14,Question_Bank!$B$3:$B$14,E189)</f>
        <v>0</v>
      </c>
      <c r="M189" t="s">
        <v>294</v>
      </c>
    </row>
    <row r="190" spans="1:13">
      <c r="A190" t="s">
        <v>293</v>
      </c>
      <c r="B190" t="s">
        <v>263</v>
      </c>
      <c r="C190" t="s">
        <v>133</v>
      </c>
      <c r="D190" t="s">
        <v>79</v>
      </c>
      <c r="E190" t="s">
        <v>71</v>
      </c>
      <c r="F190" t="s">
        <v>31</v>
      </c>
      <c r="G190">
        <f>INDEX(Question_Bank!$G$3:$G$14,MATCH(D190,Question_Bank!$A$3:$A$14,0))</f>
        <v>0</v>
      </c>
      <c r="H190">
        <f>IF(F190=G190,1,0)</f>
        <v>0</v>
      </c>
      <c r="I190">
        <f>H190*INDEX(Question_Bank!$M$3:$M$14,MATCH(D190,Question_Bank!$A$3:$A$14,0))</f>
        <v>0</v>
      </c>
      <c r="J190">
        <f>SUMIFS($I$3:$I$518,$A$3:$A$518,A190)</f>
        <v>0</v>
      </c>
      <c r="K190" s="5">
        <f>J190/SUM(Question_Bank!$M$3:$M$14)</f>
        <v>0</v>
      </c>
      <c r="L190" s="5">
        <f>SUMIFS($I$3:$I$518,$A$3:$A$518,A190,$E$3:$E$518,E190)/SUMIFS(Question_Bank!$M$3:$M$14,Question_Bank!$B$3:$B$14,E190)</f>
        <v>0</v>
      </c>
      <c r="M190" t="s">
        <v>294</v>
      </c>
    </row>
    <row r="191" spans="1:13">
      <c r="A191" t="s">
        <v>293</v>
      </c>
      <c r="B191" t="s">
        <v>263</v>
      </c>
      <c r="C191" t="s">
        <v>133</v>
      </c>
      <c r="D191" t="s">
        <v>87</v>
      </c>
      <c r="E191" t="s">
        <v>71</v>
      </c>
      <c r="F191" t="s">
        <v>23</v>
      </c>
      <c r="G191">
        <f>INDEX(Question_Bank!$G$3:$G$14,MATCH(D191,Question_Bank!$A$3:$A$14,0))</f>
        <v>0</v>
      </c>
      <c r="H191">
        <f>IF(F191=G191,1,0)</f>
        <v>0</v>
      </c>
      <c r="I191">
        <f>H191*INDEX(Question_Bank!$M$3:$M$14,MATCH(D191,Question_Bank!$A$3:$A$14,0))</f>
        <v>0</v>
      </c>
      <c r="J191">
        <f>SUMIFS($I$3:$I$518,$A$3:$A$518,A191)</f>
        <v>0</v>
      </c>
      <c r="K191" s="5">
        <f>J191/SUM(Question_Bank!$M$3:$M$14)</f>
        <v>0</v>
      </c>
      <c r="L191" s="5">
        <f>SUMIFS($I$3:$I$518,$A$3:$A$518,A191,$E$3:$E$518,E191)/SUMIFS(Question_Bank!$M$3:$M$14,Question_Bank!$B$3:$B$14,E191)</f>
        <v>0</v>
      </c>
      <c r="M191" t="s">
        <v>294</v>
      </c>
    </row>
    <row r="192" spans="1:13">
      <c r="A192" t="s">
        <v>293</v>
      </c>
      <c r="B192" t="s">
        <v>263</v>
      </c>
      <c r="C192" t="s">
        <v>133</v>
      </c>
      <c r="D192" t="s">
        <v>95</v>
      </c>
      <c r="E192" t="s">
        <v>96</v>
      </c>
      <c r="F192" t="s">
        <v>20</v>
      </c>
      <c r="G192">
        <f>INDEX(Question_Bank!$G$3:$G$14,MATCH(D192,Question_Bank!$A$3:$A$14,0))</f>
        <v>0</v>
      </c>
      <c r="H192">
        <f>IF(F192=G192,1,0)</f>
        <v>0</v>
      </c>
      <c r="I192">
        <f>H192*INDEX(Question_Bank!$M$3:$M$14,MATCH(D192,Question_Bank!$A$3:$A$14,0))</f>
        <v>0</v>
      </c>
      <c r="J192">
        <f>SUMIFS($I$3:$I$518,$A$3:$A$518,A192)</f>
        <v>0</v>
      </c>
      <c r="K192" s="5">
        <f>J192/SUM(Question_Bank!$M$3:$M$14)</f>
        <v>0</v>
      </c>
      <c r="L192" s="5">
        <f>SUMIFS($I$3:$I$518,$A$3:$A$518,A192,$E$3:$E$518,E192)/SUMIFS(Question_Bank!$M$3:$M$14,Question_Bank!$B$3:$B$14,E192)</f>
        <v>0</v>
      </c>
      <c r="M192" t="s">
        <v>294</v>
      </c>
    </row>
    <row r="193" spans="1:13">
      <c r="A193" t="s">
        <v>293</v>
      </c>
      <c r="B193" t="s">
        <v>263</v>
      </c>
      <c r="C193" t="s">
        <v>133</v>
      </c>
      <c r="D193" t="s">
        <v>104</v>
      </c>
      <c r="E193" t="s">
        <v>96</v>
      </c>
      <c r="F193" t="s">
        <v>31</v>
      </c>
      <c r="G193">
        <f>INDEX(Question_Bank!$G$3:$G$14,MATCH(D193,Question_Bank!$A$3:$A$14,0))</f>
        <v>0</v>
      </c>
      <c r="H193">
        <f>IF(F193=G193,1,0)</f>
        <v>0</v>
      </c>
      <c r="I193">
        <f>H193*INDEX(Question_Bank!$M$3:$M$14,MATCH(D193,Question_Bank!$A$3:$A$14,0))</f>
        <v>0</v>
      </c>
      <c r="J193">
        <f>SUMIFS($I$3:$I$518,$A$3:$A$518,A193)</f>
        <v>0</v>
      </c>
      <c r="K193" s="5">
        <f>J193/SUM(Question_Bank!$M$3:$M$14)</f>
        <v>0</v>
      </c>
      <c r="L193" s="5">
        <f>SUMIFS($I$3:$I$518,$A$3:$A$518,A193,$E$3:$E$518,E193)/SUMIFS(Question_Bank!$M$3:$M$14,Question_Bank!$B$3:$B$14,E193)</f>
        <v>0</v>
      </c>
      <c r="M193" t="s">
        <v>294</v>
      </c>
    </row>
    <row r="194" spans="1:13">
      <c r="A194" t="s">
        <v>293</v>
      </c>
      <c r="B194" t="s">
        <v>263</v>
      </c>
      <c r="C194" t="s">
        <v>133</v>
      </c>
      <c r="D194" t="s">
        <v>112</v>
      </c>
      <c r="E194" t="s">
        <v>96</v>
      </c>
      <c r="F194" t="s">
        <v>34</v>
      </c>
      <c r="G194">
        <f>INDEX(Question_Bank!$G$3:$G$14,MATCH(D194,Question_Bank!$A$3:$A$14,0))</f>
        <v>0</v>
      </c>
      <c r="H194">
        <f>IF(F194=G194,1,0)</f>
        <v>0</v>
      </c>
      <c r="I194">
        <f>H194*INDEX(Question_Bank!$M$3:$M$14,MATCH(D194,Question_Bank!$A$3:$A$14,0))</f>
        <v>0</v>
      </c>
      <c r="J194">
        <f>SUMIFS($I$3:$I$518,$A$3:$A$518,A194)</f>
        <v>0</v>
      </c>
      <c r="K194" s="5">
        <f>J194/SUM(Question_Bank!$M$3:$M$14)</f>
        <v>0</v>
      </c>
      <c r="L194" s="5">
        <f>SUMIFS($I$3:$I$518,$A$3:$A$518,A194,$E$3:$E$518,E194)/SUMIFS(Question_Bank!$M$3:$M$14,Question_Bank!$B$3:$B$14,E194)</f>
        <v>0</v>
      </c>
      <c r="M194" t="s">
        <v>294</v>
      </c>
    </row>
    <row r="195" spans="1:13">
      <c r="A195" t="s">
        <v>295</v>
      </c>
      <c r="B195" t="s">
        <v>263</v>
      </c>
      <c r="C195" t="s">
        <v>133</v>
      </c>
      <c r="D195" t="s">
        <v>14</v>
      </c>
      <c r="E195" t="s">
        <v>15</v>
      </c>
      <c r="F195" t="s">
        <v>20</v>
      </c>
      <c r="G195">
        <f>INDEX(Question_Bank!$G$3:$G$14,MATCH(D195,Question_Bank!$A$3:$A$14,0))</f>
        <v>0</v>
      </c>
      <c r="H195">
        <f>IF(F195=G195,1,0)</f>
        <v>0</v>
      </c>
      <c r="I195">
        <f>H195*INDEX(Question_Bank!$M$3:$M$14,MATCH(D195,Question_Bank!$A$3:$A$14,0))</f>
        <v>0</v>
      </c>
      <c r="J195">
        <f>SUMIFS($I$3:$I$518,$A$3:$A$518,A195)</f>
        <v>0</v>
      </c>
      <c r="K195" s="5">
        <f>J195/SUM(Question_Bank!$M$3:$M$14)</f>
        <v>0</v>
      </c>
      <c r="L195" s="5">
        <f>SUMIFS($I$3:$I$518,$A$3:$A$518,A195,$E$3:$E$518,E195)/SUMIFS(Question_Bank!$M$3:$M$14,Question_Bank!$B$3:$B$14,E195)</f>
        <v>0</v>
      </c>
      <c r="M195" t="s">
        <v>296</v>
      </c>
    </row>
    <row r="196" spans="1:13">
      <c r="A196" t="s">
        <v>295</v>
      </c>
      <c r="B196" t="s">
        <v>263</v>
      </c>
      <c r="C196" t="s">
        <v>133</v>
      </c>
      <c r="D196" t="s">
        <v>26</v>
      </c>
      <c r="E196" t="s">
        <v>15</v>
      </c>
      <c r="F196" t="s">
        <v>34</v>
      </c>
      <c r="G196">
        <f>INDEX(Question_Bank!$G$3:$G$14,MATCH(D196,Question_Bank!$A$3:$A$14,0))</f>
        <v>0</v>
      </c>
      <c r="H196">
        <f>IF(F196=G196,1,0)</f>
        <v>0</v>
      </c>
      <c r="I196">
        <f>H196*INDEX(Question_Bank!$M$3:$M$14,MATCH(D196,Question_Bank!$A$3:$A$14,0))</f>
        <v>0</v>
      </c>
      <c r="J196">
        <f>SUMIFS($I$3:$I$518,$A$3:$A$518,A196)</f>
        <v>0</v>
      </c>
      <c r="K196" s="5">
        <f>J196/SUM(Question_Bank!$M$3:$M$14)</f>
        <v>0</v>
      </c>
      <c r="L196" s="5">
        <f>SUMIFS($I$3:$I$518,$A$3:$A$518,A196,$E$3:$E$518,E196)/SUMIFS(Question_Bank!$M$3:$M$14,Question_Bank!$B$3:$B$14,E196)</f>
        <v>0</v>
      </c>
      <c r="M196" t="s">
        <v>296</v>
      </c>
    </row>
    <row r="197" spans="1:13">
      <c r="A197" t="s">
        <v>295</v>
      </c>
      <c r="B197" t="s">
        <v>263</v>
      </c>
      <c r="C197" t="s">
        <v>133</v>
      </c>
      <c r="D197" t="s">
        <v>37</v>
      </c>
      <c r="E197" t="s">
        <v>15</v>
      </c>
      <c r="F197" t="s">
        <v>23</v>
      </c>
      <c r="G197">
        <f>INDEX(Question_Bank!$G$3:$G$14,MATCH(D197,Question_Bank!$A$3:$A$14,0))</f>
        <v>0</v>
      </c>
      <c r="H197">
        <f>IF(F197=G197,1,0)</f>
        <v>0</v>
      </c>
      <c r="I197">
        <f>H197*INDEX(Question_Bank!$M$3:$M$14,MATCH(D197,Question_Bank!$A$3:$A$14,0))</f>
        <v>0</v>
      </c>
      <c r="J197">
        <f>SUMIFS($I$3:$I$518,$A$3:$A$518,A197)</f>
        <v>0</v>
      </c>
      <c r="K197" s="5">
        <f>J197/SUM(Question_Bank!$M$3:$M$14)</f>
        <v>0</v>
      </c>
      <c r="L197" s="5">
        <f>SUMIFS($I$3:$I$518,$A$3:$A$518,A197,$E$3:$E$518,E197)/SUMIFS(Question_Bank!$M$3:$M$14,Question_Bank!$B$3:$B$14,E197)</f>
        <v>0</v>
      </c>
      <c r="M197" t="s">
        <v>296</v>
      </c>
    </row>
    <row r="198" spans="1:13">
      <c r="A198" t="s">
        <v>295</v>
      </c>
      <c r="B198" t="s">
        <v>263</v>
      </c>
      <c r="C198" t="s">
        <v>133</v>
      </c>
      <c r="D198" t="s">
        <v>45</v>
      </c>
      <c r="E198" t="s">
        <v>46</v>
      </c>
      <c r="F198" t="s">
        <v>34</v>
      </c>
      <c r="G198">
        <f>INDEX(Question_Bank!$G$3:$G$14,MATCH(D198,Question_Bank!$A$3:$A$14,0))</f>
        <v>0</v>
      </c>
      <c r="H198">
        <f>IF(F198=G198,1,0)</f>
        <v>0</v>
      </c>
      <c r="I198">
        <f>H198*INDEX(Question_Bank!$M$3:$M$14,MATCH(D198,Question_Bank!$A$3:$A$14,0))</f>
        <v>0</v>
      </c>
      <c r="J198">
        <f>SUMIFS($I$3:$I$518,$A$3:$A$518,A198)</f>
        <v>0</v>
      </c>
      <c r="K198" s="5">
        <f>J198/SUM(Question_Bank!$M$3:$M$14)</f>
        <v>0</v>
      </c>
      <c r="L198" s="5">
        <f>SUMIFS($I$3:$I$518,$A$3:$A$518,A198,$E$3:$E$518,E198)/SUMIFS(Question_Bank!$M$3:$M$14,Question_Bank!$B$3:$B$14,E198)</f>
        <v>0</v>
      </c>
      <c r="M198" t="s">
        <v>296</v>
      </c>
    </row>
    <row r="199" spans="1:13">
      <c r="A199" t="s">
        <v>295</v>
      </c>
      <c r="B199" t="s">
        <v>263</v>
      </c>
      <c r="C199" t="s">
        <v>133</v>
      </c>
      <c r="D199" t="s">
        <v>54</v>
      </c>
      <c r="E199" t="s">
        <v>46</v>
      </c>
      <c r="F199" t="s">
        <v>23</v>
      </c>
      <c r="G199">
        <f>INDEX(Question_Bank!$G$3:$G$14,MATCH(D199,Question_Bank!$A$3:$A$14,0))</f>
        <v>0</v>
      </c>
      <c r="H199">
        <f>IF(F199=G199,1,0)</f>
        <v>0</v>
      </c>
      <c r="I199">
        <f>H199*INDEX(Question_Bank!$M$3:$M$14,MATCH(D199,Question_Bank!$A$3:$A$14,0))</f>
        <v>0</v>
      </c>
      <c r="J199">
        <f>SUMIFS($I$3:$I$518,$A$3:$A$518,A199)</f>
        <v>0</v>
      </c>
      <c r="K199" s="5">
        <f>J199/SUM(Question_Bank!$M$3:$M$14)</f>
        <v>0</v>
      </c>
      <c r="L199" s="5">
        <f>SUMIFS($I$3:$I$518,$A$3:$A$518,A199,$E$3:$E$518,E199)/SUMIFS(Question_Bank!$M$3:$M$14,Question_Bank!$B$3:$B$14,E199)</f>
        <v>0</v>
      </c>
      <c r="M199" t="s">
        <v>296</v>
      </c>
    </row>
    <row r="200" spans="1:13">
      <c r="A200" t="s">
        <v>295</v>
      </c>
      <c r="B200" t="s">
        <v>263</v>
      </c>
      <c r="C200" t="s">
        <v>133</v>
      </c>
      <c r="D200" t="s">
        <v>62</v>
      </c>
      <c r="E200" t="s">
        <v>46</v>
      </c>
      <c r="F200" t="s">
        <v>31</v>
      </c>
      <c r="G200">
        <f>INDEX(Question_Bank!$G$3:$G$14,MATCH(D200,Question_Bank!$A$3:$A$14,0))</f>
        <v>0</v>
      </c>
      <c r="H200">
        <f>IF(F200=G200,1,0)</f>
        <v>0</v>
      </c>
      <c r="I200">
        <f>H200*INDEX(Question_Bank!$M$3:$M$14,MATCH(D200,Question_Bank!$A$3:$A$14,0))</f>
        <v>0</v>
      </c>
      <c r="J200">
        <f>SUMIFS($I$3:$I$518,$A$3:$A$518,A200)</f>
        <v>0</v>
      </c>
      <c r="K200" s="5">
        <f>J200/SUM(Question_Bank!$M$3:$M$14)</f>
        <v>0</v>
      </c>
      <c r="L200" s="5">
        <f>SUMIFS($I$3:$I$518,$A$3:$A$518,A200,$E$3:$E$518,E200)/SUMIFS(Question_Bank!$M$3:$M$14,Question_Bank!$B$3:$B$14,E200)</f>
        <v>0</v>
      </c>
      <c r="M200" t="s">
        <v>296</v>
      </c>
    </row>
    <row r="201" spans="1:13">
      <c r="A201" t="s">
        <v>295</v>
      </c>
      <c r="B201" t="s">
        <v>263</v>
      </c>
      <c r="C201" t="s">
        <v>133</v>
      </c>
      <c r="D201" t="s">
        <v>70</v>
      </c>
      <c r="E201" t="s">
        <v>71</v>
      </c>
      <c r="F201" t="s">
        <v>31</v>
      </c>
      <c r="G201">
        <f>INDEX(Question_Bank!$G$3:$G$14,MATCH(D201,Question_Bank!$A$3:$A$14,0))</f>
        <v>0</v>
      </c>
      <c r="H201">
        <f>IF(F201=G201,1,0)</f>
        <v>0</v>
      </c>
      <c r="I201">
        <f>H201*INDEX(Question_Bank!$M$3:$M$14,MATCH(D201,Question_Bank!$A$3:$A$14,0))</f>
        <v>0</v>
      </c>
      <c r="J201">
        <f>SUMIFS($I$3:$I$518,$A$3:$A$518,A201)</f>
        <v>0</v>
      </c>
      <c r="K201" s="5">
        <f>J201/SUM(Question_Bank!$M$3:$M$14)</f>
        <v>0</v>
      </c>
      <c r="L201" s="5">
        <f>SUMIFS($I$3:$I$518,$A$3:$A$518,A201,$E$3:$E$518,E201)/SUMIFS(Question_Bank!$M$3:$M$14,Question_Bank!$B$3:$B$14,E201)</f>
        <v>0</v>
      </c>
      <c r="M201" t="s">
        <v>296</v>
      </c>
    </row>
    <row r="202" spans="1:13">
      <c r="A202" t="s">
        <v>295</v>
      </c>
      <c r="B202" t="s">
        <v>263</v>
      </c>
      <c r="C202" t="s">
        <v>133</v>
      </c>
      <c r="D202" t="s">
        <v>79</v>
      </c>
      <c r="E202" t="s">
        <v>71</v>
      </c>
      <c r="F202" t="s">
        <v>23</v>
      </c>
      <c r="G202">
        <f>INDEX(Question_Bank!$G$3:$G$14,MATCH(D202,Question_Bank!$A$3:$A$14,0))</f>
        <v>0</v>
      </c>
      <c r="H202">
        <f>IF(F202=G202,1,0)</f>
        <v>0</v>
      </c>
      <c r="I202">
        <f>H202*INDEX(Question_Bank!$M$3:$M$14,MATCH(D202,Question_Bank!$A$3:$A$14,0))</f>
        <v>0</v>
      </c>
      <c r="J202">
        <f>SUMIFS($I$3:$I$518,$A$3:$A$518,A202)</f>
        <v>0</v>
      </c>
      <c r="K202" s="5">
        <f>J202/SUM(Question_Bank!$M$3:$M$14)</f>
        <v>0</v>
      </c>
      <c r="L202" s="5">
        <f>SUMIFS($I$3:$I$518,$A$3:$A$518,A202,$E$3:$E$518,E202)/SUMIFS(Question_Bank!$M$3:$M$14,Question_Bank!$B$3:$B$14,E202)</f>
        <v>0</v>
      </c>
      <c r="M202" t="s">
        <v>296</v>
      </c>
    </row>
    <row r="203" spans="1:13">
      <c r="A203" t="s">
        <v>295</v>
      </c>
      <c r="B203" t="s">
        <v>263</v>
      </c>
      <c r="C203" t="s">
        <v>133</v>
      </c>
      <c r="D203" t="s">
        <v>87</v>
      </c>
      <c r="E203" t="s">
        <v>71</v>
      </c>
      <c r="F203" t="s">
        <v>34</v>
      </c>
      <c r="G203">
        <f>INDEX(Question_Bank!$G$3:$G$14,MATCH(D203,Question_Bank!$A$3:$A$14,0))</f>
        <v>0</v>
      </c>
      <c r="H203">
        <f>IF(F203=G203,1,0)</f>
        <v>0</v>
      </c>
      <c r="I203">
        <f>H203*INDEX(Question_Bank!$M$3:$M$14,MATCH(D203,Question_Bank!$A$3:$A$14,0))</f>
        <v>0</v>
      </c>
      <c r="J203">
        <f>SUMIFS($I$3:$I$518,$A$3:$A$518,A203)</f>
        <v>0</v>
      </c>
      <c r="K203" s="5">
        <f>J203/SUM(Question_Bank!$M$3:$M$14)</f>
        <v>0</v>
      </c>
      <c r="L203" s="5">
        <f>SUMIFS($I$3:$I$518,$A$3:$A$518,A203,$E$3:$E$518,E203)/SUMIFS(Question_Bank!$M$3:$M$14,Question_Bank!$B$3:$B$14,E203)</f>
        <v>0</v>
      </c>
      <c r="M203" t="s">
        <v>296</v>
      </c>
    </row>
    <row r="204" spans="1:13">
      <c r="A204" t="s">
        <v>295</v>
      </c>
      <c r="B204" t="s">
        <v>263</v>
      </c>
      <c r="C204" t="s">
        <v>133</v>
      </c>
      <c r="D204" t="s">
        <v>95</v>
      </c>
      <c r="E204" t="s">
        <v>96</v>
      </c>
      <c r="F204" t="s">
        <v>31</v>
      </c>
      <c r="G204">
        <f>INDEX(Question_Bank!$G$3:$G$14,MATCH(D204,Question_Bank!$A$3:$A$14,0))</f>
        <v>0</v>
      </c>
      <c r="H204">
        <f>IF(F204=G204,1,0)</f>
        <v>0</v>
      </c>
      <c r="I204">
        <f>H204*INDEX(Question_Bank!$M$3:$M$14,MATCH(D204,Question_Bank!$A$3:$A$14,0))</f>
        <v>0</v>
      </c>
      <c r="J204">
        <f>SUMIFS($I$3:$I$518,$A$3:$A$518,A204)</f>
        <v>0</v>
      </c>
      <c r="K204" s="5">
        <f>J204/SUM(Question_Bank!$M$3:$M$14)</f>
        <v>0</v>
      </c>
      <c r="L204" s="5">
        <f>SUMIFS($I$3:$I$518,$A$3:$A$518,A204,$E$3:$E$518,E204)/SUMIFS(Question_Bank!$M$3:$M$14,Question_Bank!$B$3:$B$14,E204)</f>
        <v>0</v>
      </c>
      <c r="M204" t="s">
        <v>296</v>
      </c>
    </row>
    <row r="205" spans="1:13">
      <c r="A205" t="s">
        <v>295</v>
      </c>
      <c r="B205" t="s">
        <v>263</v>
      </c>
      <c r="C205" t="s">
        <v>133</v>
      </c>
      <c r="D205" t="s">
        <v>104</v>
      </c>
      <c r="E205" t="s">
        <v>96</v>
      </c>
      <c r="F205" t="s">
        <v>34</v>
      </c>
      <c r="G205">
        <f>INDEX(Question_Bank!$G$3:$G$14,MATCH(D205,Question_Bank!$A$3:$A$14,0))</f>
        <v>0</v>
      </c>
      <c r="H205">
        <f>IF(F205=G205,1,0)</f>
        <v>0</v>
      </c>
      <c r="I205">
        <f>H205*INDEX(Question_Bank!$M$3:$M$14,MATCH(D205,Question_Bank!$A$3:$A$14,0))</f>
        <v>0</v>
      </c>
      <c r="J205">
        <f>SUMIFS($I$3:$I$518,$A$3:$A$518,A205)</f>
        <v>0</v>
      </c>
      <c r="K205" s="5">
        <f>J205/SUM(Question_Bank!$M$3:$M$14)</f>
        <v>0</v>
      </c>
      <c r="L205" s="5">
        <f>SUMIFS($I$3:$I$518,$A$3:$A$518,A205,$E$3:$E$518,E205)/SUMIFS(Question_Bank!$M$3:$M$14,Question_Bank!$B$3:$B$14,E205)</f>
        <v>0</v>
      </c>
      <c r="M205" t="s">
        <v>296</v>
      </c>
    </row>
    <row r="206" spans="1:13">
      <c r="A206" t="s">
        <v>295</v>
      </c>
      <c r="B206" t="s">
        <v>263</v>
      </c>
      <c r="C206" t="s">
        <v>133</v>
      </c>
      <c r="D206" t="s">
        <v>112</v>
      </c>
      <c r="E206" t="s">
        <v>96</v>
      </c>
      <c r="F206" t="s">
        <v>31</v>
      </c>
      <c r="G206">
        <f>INDEX(Question_Bank!$G$3:$G$14,MATCH(D206,Question_Bank!$A$3:$A$14,0))</f>
        <v>0</v>
      </c>
      <c r="H206">
        <f>IF(F206=G206,1,0)</f>
        <v>0</v>
      </c>
      <c r="I206">
        <f>H206*INDEX(Question_Bank!$M$3:$M$14,MATCH(D206,Question_Bank!$A$3:$A$14,0))</f>
        <v>0</v>
      </c>
      <c r="J206">
        <f>SUMIFS($I$3:$I$518,$A$3:$A$518,A206)</f>
        <v>0</v>
      </c>
      <c r="K206" s="5">
        <f>J206/SUM(Question_Bank!$M$3:$M$14)</f>
        <v>0</v>
      </c>
      <c r="L206" s="5">
        <f>SUMIFS($I$3:$I$518,$A$3:$A$518,A206,$E$3:$E$518,E206)/SUMIFS(Question_Bank!$M$3:$M$14,Question_Bank!$B$3:$B$14,E206)</f>
        <v>0</v>
      </c>
      <c r="M206" t="s">
        <v>296</v>
      </c>
    </row>
    <row r="207" spans="1:13">
      <c r="A207" t="s">
        <v>297</v>
      </c>
      <c r="B207" t="s">
        <v>263</v>
      </c>
      <c r="C207" t="s">
        <v>133</v>
      </c>
      <c r="D207" t="s">
        <v>14</v>
      </c>
      <c r="E207" t="s">
        <v>15</v>
      </c>
      <c r="F207" t="s">
        <v>20</v>
      </c>
      <c r="G207">
        <f>INDEX(Question_Bank!$G$3:$G$14,MATCH(D207,Question_Bank!$A$3:$A$14,0))</f>
        <v>0</v>
      </c>
      <c r="H207">
        <f>IF(F207=G207,1,0)</f>
        <v>0</v>
      </c>
      <c r="I207">
        <f>H207*INDEX(Question_Bank!$M$3:$M$14,MATCH(D207,Question_Bank!$A$3:$A$14,0))</f>
        <v>0</v>
      </c>
      <c r="J207">
        <f>SUMIFS($I$3:$I$518,$A$3:$A$518,A207)</f>
        <v>0</v>
      </c>
      <c r="K207" s="5">
        <f>J207/SUM(Question_Bank!$M$3:$M$14)</f>
        <v>0</v>
      </c>
      <c r="L207" s="5">
        <f>SUMIFS($I$3:$I$518,$A$3:$A$518,A207,$E$3:$E$518,E207)/SUMIFS(Question_Bank!$M$3:$M$14,Question_Bank!$B$3:$B$14,E207)</f>
        <v>0</v>
      </c>
      <c r="M207" t="s">
        <v>298</v>
      </c>
    </row>
    <row r="208" spans="1:13">
      <c r="A208" t="s">
        <v>297</v>
      </c>
      <c r="B208" t="s">
        <v>263</v>
      </c>
      <c r="C208" t="s">
        <v>133</v>
      </c>
      <c r="D208" t="s">
        <v>26</v>
      </c>
      <c r="E208" t="s">
        <v>15</v>
      </c>
      <c r="F208" t="s">
        <v>20</v>
      </c>
      <c r="G208">
        <f>INDEX(Question_Bank!$G$3:$G$14,MATCH(D208,Question_Bank!$A$3:$A$14,0))</f>
        <v>0</v>
      </c>
      <c r="H208">
        <f>IF(F208=G208,1,0)</f>
        <v>0</v>
      </c>
      <c r="I208">
        <f>H208*INDEX(Question_Bank!$M$3:$M$14,MATCH(D208,Question_Bank!$A$3:$A$14,0))</f>
        <v>0</v>
      </c>
      <c r="J208">
        <f>SUMIFS($I$3:$I$518,$A$3:$A$518,A208)</f>
        <v>0</v>
      </c>
      <c r="K208" s="5">
        <f>J208/SUM(Question_Bank!$M$3:$M$14)</f>
        <v>0</v>
      </c>
      <c r="L208" s="5">
        <f>SUMIFS($I$3:$I$518,$A$3:$A$518,A208,$E$3:$E$518,E208)/SUMIFS(Question_Bank!$M$3:$M$14,Question_Bank!$B$3:$B$14,E208)</f>
        <v>0</v>
      </c>
      <c r="M208" t="s">
        <v>298</v>
      </c>
    </row>
    <row r="209" spans="1:13">
      <c r="A209" t="s">
        <v>297</v>
      </c>
      <c r="B209" t="s">
        <v>263</v>
      </c>
      <c r="C209" t="s">
        <v>133</v>
      </c>
      <c r="D209" t="s">
        <v>37</v>
      </c>
      <c r="E209" t="s">
        <v>15</v>
      </c>
      <c r="F209" t="s">
        <v>20</v>
      </c>
      <c r="G209">
        <f>INDEX(Question_Bank!$G$3:$G$14,MATCH(D209,Question_Bank!$A$3:$A$14,0))</f>
        <v>0</v>
      </c>
      <c r="H209">
        <f>IF(F209=G209,1,0)</f>
        <v>0</v>
      </c>
      <c r="I209">
        <f>H209*INDEX(Question_Bank!$M$3:$M$14,MATCH(D209,Question_Bank!$A$3:$A$14,0))</f>
        <v>0</v>
      </c>
      <c r="J209">
        <f>SUMIFS($I$3:$I$518,$A$3:$A$518,A209)</f>
        <v>0</v>
      </c>
      <c r="K209" s="5">
        <f>J209/SUM(Question_Bank!$M$3:$M$14)</f>
        <v>0</v>
      </c>
      <c r="L209" s="5">
        <f>SUMIFS($I$3:$I$518,$A$3:$A$518,A209,$E$3:$E$518,E209)/SUMIFS(Question_Bank!$M$3:$M$14,Question_Bank!$B$3:$B$14,E209)</f>
        <v>0</v>
      </c>
      <c r="M209" t="s">
        <v>298</v>
      </c>
    </row>
    <row r="210" spans="1:13">
      <c r="A210" t="s">
        <v>297</v>
      </c>
      <c r="B210" t="s">
        <v>263</v>
      </c>
      <c r="C210" t="s">
        <v>133</v>
      </c>
      <c r="D210" t="s">
        <v>45</v>
      </c>
      <c r="E210" t="s">
        <v>46</v>
      </c>
      <c r="F210" t="s">
        <v>20</v>
      </c>
      <c r="G210">
        <f>INDEX(Question_Bank!$G$3:$G$14,MATCH(D210,Question_Bank!$A$3:$A$14,0))</f>
        <v>0</v>
      </c>
      <c r="H210">
        <f>IF(F210=G210,1,0)</f>
        <v>0</v>
      </c>
      <c r="I210">
        <f>H210*INDEX(Question_Bank!$M$3:$M$14,MATCH(D210,Question_Bank!$A$3:$A$14,0))</f>
        <v>0</v>
      </c>
      <c r="J210">
        <f>SUMIFS($I$3:$I$518,$A$3:$A$518,A210)</f>
        <v>0</v>
      </c>
      <c r="K210" s="5">
        <f>J210/SUM(Question_Bank!$M$3:$M$14)</f>
        <v>0</v>
      </c>
      <c r="L210" s="5">
        <f>SUMIFS($I$3:$I$518,$A$3:$A$518,A210,$E$3:$E$518,E210)/SUMIFS(Question_Bank!$M$3:$M$14,Question_Bank!$B$3:$B$14,E210)</f>
        <v>0</v>
      </c>
      <c r="M210" t="s">
        <v>298</v>
      </c>
    </row>
    <row r="211" spans="1:13">
      <c r="A211" t="s">
        <v>297</v>
      </c>
      <c r="B211" t="s">
        <v>263</v>
      </c>
      <c r="C211" t="s">
        <v>133</v>
      </c>
      <c r="D211" t="s">
        <v>54</v>
      </c>
      <c r="E211" t="s">
        <v>46</v>
      </c>
      <c r="F211" t="s">
        <v>23</v>
      </c>
      <c r="G211">
        <f>INDEX(Question_Bank!$G$3:$G$14,MATCH(D211,Question_Bank!$A$3:$A$14,0))</f>
        <v>0</v>
      </c>
      <c r="H211">
        <f>IF(F211=G211,1,0)</f>
        <v>0</v>
      </c>
      <c r="I211">
        <f>H211*INDEX(Question_Bank!$M$3:$M$14,MATCH(D211,Question_Bank!$A$3:$A$14,0))</f>
        <v>0</v>
      </c>
      <c r="J211">
        <f>SUMIFS($I$3:$I$518,$A$3:$A$518,A211)</f>
        <v>0</v>
      </c>
      <c r="K211" s="5">
        <f>J211/SUM(Question_Bank!$M$3:$M$14)</f>
        <v>0</v>
      </c>
      <c r="L211" s="5">
        <f>SUMIFS($I$3:$I$518,$A$3:$A$518,A211,$E$3:$E$518,E211)/SUMIFS(Question_Bank!$M$3:$M$14,Question_Bank!$B$3:$B$14,E211)</f>
        <v>0</v>
      </c>
      <c r="M211" t="s">
        <v>298</v>
      </c>
    </row>
    <row r="212" spans="1:13">
      <c r="A212" t="s">
        <v>297</v>
      </c>
      <c r="B212" t="s">
        <v>263</v>
      </c>
      <c r="C212" t="s">
        <v>133</v>
      </c>
      <c r="D212" t="s">
        <v>62</v>
      </c>
      <c r="E212" t="s">
        <v>46</v>
      </c>
      <c r="F212" t="s">
        <v>31</v>
      </c>
      <c r="G212">
        <f>INDEX(Question_Bank!$G$3:$G$14,MATCH(D212,Question_Bank!$A$3:$A$14,0))</f>
        <v>0</v>
      </c>
      <c r="H212">
        <f>IF(F212=G212,1,0)</f>
        <v>0</v>
      </c>
      <c r="I212">
        <f>H212*INDEX(Question_Bank!$M$3:$M$14,MATCH(D212,Question_Bank!$A$3:$A$14,0))</f>
        <v>0</v>
      </c>
      <c r="J212">
        <f>SUMIFS($I$3:$I$518,$A$3:$A$518,A212)</f>
        <v>0</v>
      </c>
      <c r="K212" s="5">
        <f>J212/SUM(Question_Bank!$M$3:$M$14)</f>
        <v>0</v>
      </c>
      <c r="L212" s="5">
        <f>SUMIFS($I$3:$I$518,$A$3:$A$518,A212,$E$3:$E$518,E212)/SUMIFS(Question_Bank!$M$3:$M$14,Question_Bank!$B$3:$B$14,E212)</f>
        <v>0</v>
      </c>
      <c r="M212" t="s">
        <v>298</v>
      </c>
    </row>
    <row r="213" spans="1:13">
      <c r="A213" t="s">
        <v>297</v>
      </c>
      <c r="B213" t="s">
        <v>263</v>
      </c>
      <c r="C213" t="s">
        <v>133</v>
      </c>
      <c r="D213" t="s">
        <v>70</v>
      </c>
      <c r="E213" t="s">
        <v>71</v>
      </c>
      <c r="F213" t="s">
        <v>34</v>
      </c>
      <c r="G213">
        <f>INDEX(Question_Bank!$G$3:$G$14,MATCH(D213,Question_Bank!$A$3:$A$14,0))</f>
        <v>0</v>
      </c>
      <c r="H213">
        <f>IF(F213=G213,1,0)</f>
        <v>0</v>
      </c>
      <c r="I213">
        <f>H213*INDEX(Question_Bank!$M$3:$M$14,MATCH(D213,Question_Bank!$A$3:$A$14,0))</f>
        <v>0</v>
      </c>
      <c r="J213">
        <f>SUMIFS($I$3:$I$518,$A$3:$A$518,A213)</f>
        <v>0</v>
      </c>
      <c r="K213" s="5">
        <f>J213/SUM(Question_Bank!$M$3:$M$14)</f>
        <v>0</v>
      </c>
      <c r="L213" s="5">
        <f>SUMIFS($I$3:$I$518,$A$3:$A$518,A213,$E$3:$E$518,E213)/SUMIFS(Question_Bank!$M$3:$M$14,Question_Bank!$B$3:$B$14,E213)</f>
        <v>0</v>
      </c>
      <c r="M213" t="s">
        <v>298</v>
      </c>
    </row>
    <row r="214" spans="1:13">
      <c r="A214" t="s">
        <v>297</v>
      </c>
      <c r="B214" t="s">
        <v>263</v>
      </c>
      <c r="C214" t="s">
        <v>133</v>
      </c>
      <c r="D214" t="s">
        <v>79</v>
      </c>
      <c r="E214" t="s">
        <v>71</v>
      </c>
      <c r="F214" t="s">
        <v>31</v>
      </c>
      <c r="G214">
        <f>INDEX(Question_Bank!$G$3:$G$14,MATCH(D214,Question_Bank!$A$3:$A$14,0))</f>
        <v>0</v>
      </c>
      <c r="H214">
        <f>IF(F214=G214,1,0)</f>
        <v>0</v>
      </c>
      <c r="I214">
        <f>H214*INDEX(Question_Bank!$M$3:$M$14,MATCH(D214,Question_Bank!$A$3:$A$14,0))</f>
        <v>0</v>
      </c>
      <c r="J214">
        <f>SUMIFS($I$3:$I$518,$A$3:$A$518,A214)</f>
        <v>0</v>
      </c>
      <c r="K214" s="5">
        <f>J214/SUM(Question_Bank!$M$3:$M$14)</f>
        <v>0</v>
      </c>
      <c r="L214" s="5">
        <f>SUMIFS($I$3:$I$518,$A$3:$A$518,A214,$E$3:$E$518,E214)/SUMIFS(Question_Bank!$M$3:$M$14,Question_Bank!$B$3:$B$14,E214)</f>
        <v>0</v>
      </c>
      <c r="M214" t="s">
        <v>298</v>
      </c>
    </row>
    <row r="215" spans="1:13">
      <c r="A215" t="s">
        <v>297</v>
      </c>
      <c r="B215" t="s">
        <v>263</v>
      </c>
      <c r="C215" t="s">
        <v>133</v>
      </c>
      <c r="D215" t="s">
        <v>87</v>
      </c>
      <c r="E215" t="s">
        <v>71</v>
      </c>
      <c r="F215" t="s">
        <v>34</v>
      </c>
      <c r="G215">
        <f>INDEX(Question_Bank!$G$3:$G$14,MATCH(D215,Question_Bank!$A$3:$A$14,0))</f>
        <v>0</v>
      </c>
      <c r="H215">
        <f>IF(F215=G215,1,0)</f>
        <v>0</v>
      </c>
      <c r="I215">
        <f>H215*INDEX(Question_Bank!$M$3:$M$14,MATCH(D215,Question_Bank!$A$3:$A$14,0))</f>
        <v>0</v>
      </c>
      <c r="J215">
        <f>SUMIFS($I$3:$I$518,$A$3:$A$518,A215)</f>
        <v>0</v>
      </c>
      <c r="K215" s="5">
        <f>J215/SUM(Question_Bank!$M$3:$M$14)</f>
        <v>0</v>
      </c>
      <c r="L215" s="5">
        <f>SUMIFS($I$3:$I$518,$A$3:$A$518,A215,$E$3:$E$518,E215)/SUMIFS(Question_Bank!$M$3:$M$14,Question_Bank!$B$3:$B$14,E215)</f>
        <v>0</v>
      </c>
      <c r="M215" t="s">
        <v>298</v>
      </c>
    </row>
    <row r="216" spans="1:13">
      <c r="A216" t="s">
        <v>297</v>
      </c>
      <c r="B216" t="s">
        <v>263</v>
      </c>
      <c r="C216" t="s">
        <v>133</v>
      </c>
      <c r="D216" t="s">
        <v>95</v>
      </c>
      <c r="E216" t="s">
        <v>96</v>
      </c>
      <c r="F216" t="s">
        <v>23</v>
      </c>
      <c r="G216">
        <f>INDEX(Question_Bank!$G$3:$G$14,MATCH(D216,Question_Bank!$A$3:$A$14,0))</f>
        <v>0</v>
      </c>
      <c r="H216">
        <f>IF(F216=G216,1,0)</f>
        <v>0</v>
      </c>
      <c r="I216">
        <f>H216*INDEX(Question_Bank!$M$3:$M$14,MATCH(D216,Question_Bank!$A$3:$A$14,0))</f>
        <v>0</v>
      </c>
      <c r="J216">
        <f>SUMIFS($I$3:$I$518,$A$3:$A$518,A216)</f>
        <v>0</v>
      </c>
      <c r="K216" s="5">
        <f>J216/SUM(Question_Bank!$M$3:$M$14)</f>
        <v>0</v>
      </c>
      <c r="L216" s="5">
        <f>SUMIFS($I$3:$I$518,$A$3:$A$518,A216,$E$3:$E$518,E216)/SUMIFS(Question_Bank!$M$3:$M$14,Question_Bank!$B$3:$B$14,E216)</f>
        <v>0</v>
      </c>
      <c r="M216" t="s">
        <v>298</v>
      </c>
    </row>
    <row r="217" spans="1:13">
      <c r="A217" t="s">
        <v>297</v>
      </c>
      <c r="B217" t="s">
        <v>263</v>
      </c>
      <c r="C217" t="s">
        <v>133</v>
      </c>
      <c r="D217" t="s">
        <v>104</v>
      </c>
      <c r="E217" t="s">
        <v>96</v>
      </c>
      <c r="F217" t="s">
        <v>34</v>
      </c>
      <c r="G217">
        <f>INDEX(Question_Bank!$G$3:$G$14,MATCH(D217,Question_Bank!$A$3:$A$14,0))</f>
        <v>0</v>
      </c>
      <c r="H217">
        <f>IF(F217=G217,1,0)</f>
        <v>0</v>
      </c>
      <c r="I217">
        <f>H217*INDEX(Question_Bank!$M$3:$M$14,MATCH(D217,Question_Bank!$A$3:$A$14,0))</f>
        <v>0</v>
      </c>
      <c r="J217">
        <f>SUMIFS($I$3:$I$518,$A$3:$A$518,A217)</f>
        <v>0</v>
      </c>
      <c r="K217" s="5">
        <f>J217/SUM(Question_Bank!$M$3:$M$14)</f>
        <v>0</v>
      </c>
      <c r="L217" s="5">
        <f>SUMIFS($I$3:$I$518,$A$3:$A$518,A217,$E$3:$E$518,E217)/SUMIFS(Question_Bank!$M$3:$M$14,Question_Bank!$B$3:$B$14,E217)</f>
        <v>0</v>
      </c>
      <c r="M217" t="s">
        <v>298</v>
      </c>
    </row>
    <row r="218" spans="1:13">
      <c r="A218" t="s">
        <v>297</v>
      </c>
      <c r="B218" t="s">
        <v>263</v>
      </c>
      <c r="C218" t="s">
        <v>133</v>
      </c>
      <c r="D218" t="s">
        <v>112</v>
      </c>
      <c r="E218" t="s">
        <v>96</v>
      </c>
      <c r="F218" t="s">
        <v>31</v>
      </c>
      <c r="G218">
        <f>INDEX(Question_Bank!$G$3:$G$14,MATCH(D218,Question_Bank!$A$3:$A$14,0))</f>
        <v>0</v>
      </c>
      <c r="H218">
        <f>IF(F218=G218,1,0)</f>
        <v>0</v>
      </c>
      <c r="I218">
        <f>H218*INDEX(Question_Bank!$M$3:$M$14,MATCH(D218,Question_Bank!$A$3:$A$14,0))</f>
        <v>0</v>
      </c>
      <c r="J218">
        <f>SUMIFS($I$3:$I$518,$A$3:$A$518,A218)</f>
        <v>0</v>
      </c>
      <c r="K218" s="5">
        <f>J218/SUM(Question_Bank!$M$3:$M$14)</f>
        <v>0</v>
      </c>
      <c r="L218" s="5">
        <f>SUMIFS($I$3:$I$518,$A$3:$A$518,A218,$E$3:$E$518,E218)/SUMIFS(Question_Bank!$M$3:$M$14,Question_Bank!$B$3:$B$14,E218)</f>
        <v>0</v>
      </c>
      <c r="M218" t="s">
        <v>298</v>
      </c>
    </row>
    <row r="219" spans="1:13">
      <c r="A219" t="s">
        <v>299</v>
      </c>
      <c r="B219" t="s">
        <v>263</v>
      </c>
      <c r="C219" t="s">
        <v>133</v>
      </c>
      <c r="D219" t="s">
        <v>14</v>
      </c>
      <c r="E219" t="s">
        <v>15</v>
      </c>
      <c r="F219" t="s">
        <v>20</v>
      </c>
      <c r="G219">
        <f>INDEX(Question_Bank!$G$3:$G$14,MATCH(D219,Question_Bank!$A$3:$A$14,0))</f>
        <v>0</v>
      </c>
      <c r="H219">
        <f>IF(F219=G219,1,0)</f>
        <v>0</v>
      </c>
      <c r="I219">
        <f>H219*INDEX(Question_Bank!$M$3:$M$14,MATCH(D219,Question_Bank!$A$3:$A$14,0))</f>
        <v>0</v>
      </c>
      <c r="J219">
        <f>SUMIFS($I$3:$I$518,$A$3:$A$518,A219)</f>
        <v>0</v>
      </c>
      <c r="K219" s="5">
        <f>J219/SUM(Question_Bank!$M$3:$M$14)</f>
        <v>0</v>
      </c>
      <c r="L219" s="5">
        <f>SUMIFS($I$3:$I$518,$A$3:$A$518,A219,$E$3:$E$518,E219)/SUMIFS(Question_Bank!$M$3:$M$14,Question_Bank!$B$3:$B$14,E219)</f>
        <v>0</v>
      </c>
      <c r="M219" t="s">
        <v>300</v>
      </c>
    </row>
    <row r="220" spans="1:13">
      <c r="A220" t="s">
        <v>299</v>
      </c>
      <c r="B220" t="s">
        <v>263</v>
      </c>
      <c r="C220" t="s">
        <v>133</v>
      </c>
      <c r="D220" t="s">
        <v>26</v>
      </c>
      <c r="E220" t="s">
        <v>15</v>
      </c>
      <c r="F220" t="s">
        <v>34</v>
      </c>
      <c r="G220">
        <f>INDEX(Question_Bank!$G$3:$G$14,MATCH(D220,Question_Bank!$A$3:$A$14,0))</f>
        <v>0</v>
      </c>
      <c r="H220">
        <f>IF(F220=G220,1,0)</f>
        <v>0</v>
      </c>
      <c r="I220">
        <f>H220*INDEX(Question_Bank!$M$3:$M$14,MATCH(D220,Question_Bank!$A$3:$A$14,0))</f>
        <v>0</v>
      </c>
      <c r="J220">
        <f>SUMIFS($I$3:$I$518,$A$3:$A$518,A220)</f>
        <v>0</v>
      </c>
      <c r="K220" s="5">
        <f>J220/SUM(Question_Bank!$M$3:$M$14)</f>
        <v>0</v>
      </c>
      <c r="L220" s="5">
        <f>SUMIFS($I$3:$I$518,$A$3:$A$518,A220,$E$3:$E$518,E220)/SUMIFS(Question_Bank!$M$3:$M$14,Question_Bank!$B$3:$B$14,E220)</f>
        <v>0</v>
      </c>
      <c r="M220" t="s">
        <v>300</v>
      </c>
    </row>
    <row r="221" spans="1:13">
      <c r="A221" t="s">
        <v>299</v>
      </c>
      <c r="B221" t="s">
        <v>263</v>
      </c>
      <c r="C221" t="s">
        <v>133</v>
      </c>
      <c r="D221" t="s">
        <v>37</v>
      </c>
      <c r="E221" t="s">
        <v>15</v>
      </c>
      <c r="F221" t="s">
        <v>23</v>
      </c>
      <c r="G221">
        <f>INDEX(Question_Bank!$G$3:$G$14,MATCH(D221,Question_Bank!$A$3:$A$14,0))</f>
        <v>0</v>
      </c>
      <c r="H221">
        <f>IF(F221=G221,1,0)</f>
        <v>0</v>
      </c>
      <c r="I221">
        <f>H221*INDEX(Question_Bank!$M$3:$M$14,MATCH(D221,Question_Bank!$A$3:$A$14,0))</f>
        <v>0</v>
      </c>
      <c r="J221">
        <f>SUMIFS($I$3:$I$518,$A$3:$A$518,A221)</f>
        <v>0</v>
      </c>
      <c r="K221" s="5">
        <f>J221/SUM(Question_Bank!$M$3:$M$14)</f>
        <v>0</v>
      </c>
      <c r="L221" s="5">
        <f>SUMIFS($I$3:$I$518,$A$3:$A$518,A221,$E$3:$E$518,E221)/SUMIFS(Question_Bank!$M$3:$M$14,Question_Bank!$B$3:$B$14,E221)</f>
        <v>0</v>
      </c>
      <c r="M221" t="s">
        <v>300</v>
      </c>
    </row>
    <row r="222" spans="1:13">
      <c r="A222" t="s">
        <v>299</v>
      </c>
      <c r="B222" t="s">
        <v>263</v>
      </c>
      <c r="C222" t="s">
        <v>133</v>
      </c>
      <c r="D222" t="s">
        <v>45</v>
      </c>
      <c r="E222" t="s">
        <v>46</v>
      </c>
      <c r="F222" t="s">
        <v>34</v>
      </c>
      <c r="G222">
        <f>INDEX(Question_Bank!$G$3:$G$14,MATCH(D222,Question_Bank!$A$3:$A$14,0))</f>
        <v>0</v>
      </c>
      <c r="H222">
        <f>IF(F222=G222,1,0)</f>
        <v>0</v>
      </c>
      <c r="I222">
        <f>H222*INDEX(Question_Bank!$M$3:$M$14,MATCH(D222,Question_Bank!$A$3:$A$14,0))</f>
        <v>0</v>
      </c>
      <c r="J222">
        <f>SUMIFS($I$3:$I$518,$A$3:$A$518,A222)</f>
        <v>0</v>
      </c>
      <c r="K222" s="5">
        <f>J222/SUM(Question_Bank!$M$3:$M$14)</f>
        <v>0</v>
      </c>
      <c r="L222" s="5">
        <f>SUMIFS($I$3:$I$518,$A$3:$A$518,A222,$E$3:$E$518,E222)/SUMIFS(Question_Bank!$M$3:$M$14,Question_Bank!$B$3:$B$14,E222)</f>
        <v>0</v>
      </c>
      <c r="M222" t="s">
        <v>300</v>
      </c>
    </row>
    <row r="223" spans="1:13">
      <c r="A223" t="s">
        <v>299</v>
      </c>
      <c r="B223" t="s">
        <v>263</v>
      </c>
      <c r="C223" t="s">
        <v>133</v>
      </c>
      <c r="D223" t="s">
        <v>54</v>
      </c>
      <c r="E223" t="s">
        <v>46</v>
      </c>
      <c r="F223" t="s">
        <v>20</v>
      </c>
      <c r="G223">
        <f>INDEX(Question_Bank!$G$3:$G$14,MATCH(D223,Question_Bank!$A$3:$A$14,0))</f>
        <v>0</v>
      </c>
      <c r="H223">
        <f>IF(F223=G223,1,0)</f>
        <v>0</v>
      </c>
      <c r="I223">
        <f>H223*INDEX(Question_Bank!$M$3:$M$14,MATCH(D223,Question_Bank!$A$3:$A$14,0))</f>
        <v>0</v>
      </c>
      <c r="J223">
        <f>SUMIFS($I$3:$I$518,$A$3:$A$518,A223)</f>
        <v>0</v>
      </c>
      <c r="K223" s="5">
        <f>J223/SUM(Question_Bank!$M$3:$M$14)</f>
        <v>0</v>
      </c>
      <c r="L223" s="5">
        <f>SUMIFS($I$3:$I$518,$A$3:$A$518,A223,$E$3:$E$518,E223)/SUMIFS(Question_Bank!$M$3:$M$14,Question_Bank!$B$3:$B$14,E223)</f>
        <v>0</v>
      </c>
      <c r="M223" t="s">
        <v>300</v>
      </c>
    </row>
    <row r="224" spans="1:13">
      <c r="A224" t="s">
        <v>299</v>
      </c>
      <c r="B224" t="s">
        <v>263</v>
      </c>
      <c r="C224" t="s">
        <v>133</v>
      </c>
      <c r="D224" t="s">
        <v>62</v>
      </c>
      <c r="E224" t="s">
        <v>46</v>
      </c>
      <c r="F224" t="s">
        <v>31</v>
      </c>
      <c r="G224">
        <f>INDEX(Question_Bank!$G$3:$G$14,MATCH(D224,Question_Bank!$A$3:$A$14,0))</f>
        <v>0</v>
      </c>
      <c r="H224">
        <f>IF(F224=G224,1,0)</f>
        <v>0</v>
      </c>
      <c r="I224">
        <f>H224*INDEX(Question_Bank!$M$3:$M$14,MATCH(D224,Question_Bank!$A$3:$A$14,0))</f>
        <v>0</v>
      </c>
      <c r="J224">
        <f>SUMIFS($I$3:$I$518,$A$3:$A$518,A224)</f>
        <v>0</v>
      </c>
      <c r="K224" s="5">
        <f>J224/SUM(Question_Bank!$M$3:$M$14)</f>
        <v>0</v>
      </c>
      <c r="L224" s="5">
        <f>SUMIFS($I$3:$I$518,$A$3:$A$518,A224,$E$3:$E$518,E224)/SUMIFS(Question_Bank!$M$3:$M$14,Question_Bank!$B$3:$B$14,E224)</f>
        <v>0</v>
      </c>
      <c r="M224" t="s">
        <v>300</v>
      </c>
    </row>
    <row r="225" spans="1:13">
      <c r="A225" t="s">
        <v>299</v>
      </c>
      <c r="B225" t="s">
        <v>263</v>
      </c>
      <c r="C225" t="s">
        <v>133</v>
      </c>
      <c r="D225" t="s">
        <v>70</v>
      </c>
      <c r="E225" t="s">
        <v>71</v>
      </c>
      <c r="F225" t="s">
        <v>23</v>
      </c>
      <c r="G225">
        <f>INDEX(Question_Bank!$G$3:$G$14,MATCH(D225,Question_Bank!$A$3:$A$14,0))</f>
        <v>0</v>
      </c>
      <c r="H225">
        <f>IF(F225=G225,1,0)</f>
        <v>0</v>
      </c>
      <c r="I225">
        <f>H225*INDEX(Question_Bank!$M$3:$M$14,MATCH(D225,Question_Bank!$A$3:$A$14,0))</f>
        <v>0</v>
      </c>
      <c r="J225">
        <f>SUMIFS($I$3:$I$518,$A$3:$A$518,A225)</f>
        <v>0</v>
      </c>
      <c r="K225" s="5">
        <f>J225/SUM(Question_Bank!$M$3:$M$14)</f>
        <v>0</v>
      </c>
      <c r="L225" s="5">
        <f>SUMIFS($I$3:$I$518,$A$3:$A$518,A225,$E$3:$E$518,E225)/SUMIFS(Question_Bank!$M$3:$M$14,Question_Bank!$B$3:$B$14,E225)</f>
        <v>0</v>
      </c>
      <c r="M225" t="s">
        <v>300</v>
      </c>
    </row>
    <row r="226" spans="1:13">
      <c r="A226" t="s">
        <v>299</v>
      </c>
      <c r="B226" t="s">
        <v>263</v>
      </c>
      <c r="C226" t="s">
        <v>133</v>
      </c>
      <c r="D226" t="s">
        <v>79</v>
      </c>
      <c r="E226" t="s">
        <v>71</v>
      </c>
      <c r="F226" t="s">
        <v>34</v>
      </c>
      <c r="G226">
        <f>INDEX(Question_Bank!$G$3:$G$14,MATCH(D226,Question_Bank!$A$3:$A$14,0))</f>
        <v>0</v>
      </c>
      <c r="H226">
        <f>IF(F226=G226,1,0)</f>
        <v>0</v>
      </c>
      <c r="I226">
        <f>H226*INDEX(Question_Bank!$M$3:$M$14,MATCH(D226,Question_Bank!$A$3:$A$14,0))</f>
        <v>0</v>
      </c>
      <c r="J226">
        <f>SUMIFS($I$3:$I$518,$A$3:$A$518,A226)</f>
        <v>0</v>
      </c>
      <c r="K226" s="5">
        <f>J226/SUM(Question_Bank!$M$3:$M$14)</f>
        <v>0</v>
      </c>
      <c r="L226" s="5">
        <f>SUMIFS($I$3:$I$518,$A$3:$A$518,A226,$E$3:$E$518,E226)/SUMIFS(Question_Bank!$M$3:$M$14,Question_Bank!$B$3:$B$14,E226)</f>
        <v>0</v>
      </c>
      <c r="M226" t="s">
        <v>300</v>
      </c>
    </row>
    <row r="227" spans="1:13">
      <c r="A227" t="s">
        <v>299</v>
      </c>
      <c r="B227" t="s">
        <v>263</v>
      </c>
      <c r="C227" t="s">
        <v>133</v>
      </c>
      <c r="D227" t="s">
        <v>87</v>
      </c>
      <c r="E227" t="s">
        <v>71</v>
      </c>
      <c r="F227" t="s">
        <v>20</v>
      </c>
      <c r="G227">
        <f>INDEX(Question_Bank!$G$3:$G$14,MATCH(D227,Question_Bank!$A$3:$A$14,0))</f>
        <v>0</v>
      </c>
      <c r="H227">
        <f>IF(F227=G227,1,0)</f>
        <v>0</v>
      </c>
      <c r="I227">
        <f>H227*INDEX(Question_Bank!$M$3:$M$14,MATCH(D227,Question_Bank!$A$3:$A$14,0))</f>
        <v>0</v>
      </c>
      <c r="J227">
        <f>SUMIFS($I$3:$I$518,$A$3:$A$518,A227)</f>
        <v>0</v>
      </c>
      <c r="K227" s="5">
        <f>J227/SUM(Question_Bank!$M$3:$M$14)</f>
        <v>0</v>
      </c>
      <c r="L227" s="5">
        <f>SUMIFS($I$3:$I$518,$A$3:$A$518,A227,$E$3:$E$518,E227)/SUMIFS(Question_Bank!$M$3:$M$14,Question_Bank!$B$3:$B$14,E227)</f>
        <v>0</v>
      </c>
      <c r="M227" t="s">
        <v>300</v>
      </c>
    </row>
    <row r="228" spans="1:13">
      <c r="A228" t="s">
        <v>299</v>
      </c>
      <c r="B228" t="s">
        <v>263</v>
      </c>
      <c r="C228" t="s">
        <v>133</v>
      </c>
      <c r="D228" t="s">
        <v>95</v>
      </c>
      <c r="E228" t="s">
        <v>96</v>
      </c>
      <c r="F228" t="s">
        <v>31</v>
      </c>
      <c r="G228">
        <f>INDEX(Question_Bank!$G$3:$G$14,MATCH(D228,Question_Bank!$A$3:$A$14,0))</f>
        <v>0</v>
      </c>
      <c r="H228">
        <f>IF(F228=G228,1,0)</f>
        <v>0</v>
      </c>
      <c r="I228">
        <f>H228*INDEX(Question_Bank!$M$3:$M$14,MATCH(D228,Question_Bank!$A$3:$A$14,0))</f>
        <v>0</v>
      </c>
      <c r="J228">
        <f>SUMIFS($I$3:$I$518,$A$3:$A$518,A228)</f>
        <v>0</v>
      </c>
      <c r="K228" s="5">
        <f>J228/SUM(Question_Bank!$M$3:$M$14)</f>
        <v>0</v>
      </c>
      <c r="L228" s="5">
        <f>SUMIFS($I$3:$I$518,$A$3:$A$518,A228,$E$3:$E$518,E228)/SUMIFS(Question_Bank!$M$3:$M$14,Question_Bank!$B$3:$B$14,E228)</f>
        <v>0</v>
      </c>
      <c r="M228" t="s">
        <v>300</v>
      </c>
    </row>
    <row r="229" spans="1:13">
      <c r="A229" t="s">
        <v>299</v>
      </c>
      <c r="B229" t="s">
        <v>263</v>
      </c>
      <c r="C229" t="s">
        <v>133</v>
      </c>
      <c r="D229" t="s">
        <v>104</v>
      </c>
      <c r="E229" t="s">
        <v>96</v>
      </c>
      <c r="F229" t="s">
        <v>23</v>
      </c>
      <c r="G229">
        <f>INDEX(Question_Bank!$G$3:$G$14,MATCH(D229,Question_Bank!$A$3:$A$14,0))</f>
        <v>0</v>
      </c>
      <c r="H229">
        <f>IF(F229=G229,1,0)</f>
        <v>0</v>
      </c>
      <c r="I229">
        <f>H229*INDEX(Question_Bank!$M$3:$M$14,MATCH(D229,Question_Bank!$A$3:$A$14,0))</f>
        <v>0</v>
      </c>
      <c r="J229">
        <f>SUMIFS($I$3:$I$518,$A$3:$A$518,A229)</f>
        <v>0</v>
      </c>
      <c r="K229" s="5">
        <f>J229/SUM(Question_Bank!$M$3:$M$14)</f>
        <v>0</v>
      </c>
      <c r="L229" s="5">
        <f>SUMIFS($I$3:$I$518,$A$3:$A$518,A229,$E$3:$E$518,E229)/SUMIFS(Question_Bank!$M$3:$M$14,Question_Bank!$B$3:$B$14,E229)</f>
        <v>0</v>
      </c>
      <c r="M229" t="s">
        <v>300</v>
      </c>
    </row>
    <row r="230" spans="1:13">
      <c r="A230" t="s">
        <v>299</v>
      </c>
      <c r="B230" t="s">
        <v>263</v>
      </c>
      <c r="C230" t="s">
        <v>133</v>
      </c>
      <c r="D230" t="s">
        <v>112</v>
      </c>
      <c r="E230" t="s">
        <v>96</v>
      </c>
      <c r="F230" t="s">
        <v>34</v>
      </c>
      <c r="G230">
        <f>INDEX(Question_Bank!$G$3:$G$14,MATCH(D230,Question_Bank!$A$3:$A$14,0))</f>
        <v>0</v>
      </c>
      <c r="H230">
        <f>IF(F230=G230,1,0)</f>
        <v>0</v>
      </c>
      <c r="I230">
        <f>H230*INDEX(Question_Bank!$M$3:$M$14,MATCH(D230,Question_Bank!$A$3:$A$14,0))</f>
        <v>0</v>
      </c>
      <c r="J230">
        <f>SUMIFS($I$3:$I$518,$A$3:$A$518,A230)</f>
        <v>0</v>
      </c>
      <c r="K230" s="5">
        <f>J230/SUM(Question_Bank!$M$3:$M$14)</f>
        <v>0</v>
      </c>
      <c r="L230" s="5">
        <f>SUMIFS($I$3:$I$518,$A$3:$A$518,A230,$E$3:$E$518,E230)/SUMIFS(Question_Bank!$M$3:$M$14,Question_Bank!$B$3:$B$14,E230)</f>
        <v>0</v>
      </c>
      <c r="M230" t="s">
        <v>300</v>
      </c>
    </row>
    <row r="231" spans="1:13">
      <c r="A231" t="s">
        <v>301</v>
      </c>
      <c r="B231" t="s">
        <v>263</v>
      </c>
      <c r="C231" t="s">
        <v>133</v>
      </c>
      <c r="D231" t="s">
        <v>14</v>
      </c>
      <c r="E231" t="s">
        <v>15</v>
      </c>
      <c r="F231" t="s">
        <v>23</v>
      </c>
      <c r="G231">
        <f>INDEX(Question_Bank!$G$3:$G$14,MATCH(D231,Question_Bank!$A$3:$A$14,0))</f>
        <v>0</v>
      </c>
      <c r="H231">
        <f>IF(F231=G231,1,0)</f>
        <v>0</v>
      </c>
      <c r="I231">
        <f>H231*INDEX(Question_Bank!$M$3:$M$14,MATCH(D231,Question_Bank!$A$3:$A$14,0))</f>
        <v>0</v>
      </c>
      <c r="J231">
        <f>SUMIFS($I$3:$I$518,$A$3:$A$518,A231)</f>
        <v>0</v>
      </c>
      <c r="K231" s="5">
        <f>J231/SUM(Question_Bank!$M$3:$M$14)</f>
        <v>0</v>
      </c>
      <c r="L231" s="5">
        <f>SUMIFS($I$3:$I$518,$A$3:$A$518,A231,$E$3:$E$518,E231)/SUMIFS(Question_Bank!$M$3:$M$14,Question_Bank!$B$3:$B$14,E231)</f>
        <v>0</v>
      </c>
      <c r="M231" t="s">
        <v>302</v>
      </c>
    </row>
    <row r="232" spans="1:13">
      <c r="A232" t="s">
        <v>301</v>
      </c>
      <c r="B232" t="s">
        <v>263</v>
      </c>
      <c r="C232" t="s">
        <v>133</v>
      </c>
      <c r="D232" t="s">
        <v>26</v>
      </c>
      <c r="E232" t="s">
        <v>15</v>
      </c>
      <c r="F232" t="s">
        <v>20</v>
      </c>
      <c r="G232">
        <f>INDEX(Question_Bank!$G$3:$G$14,MATCH(D232,Question_Bank!$A$3:$A$14,0))</f>
        <v>0</v>
      </c>
      <c r="H232">
        <f>IF(F232=G232,1,0)</f>
        <v>0</v>
      </c>
      <c r="I232">
        <f>H232*INDEX(Question_Bank!$M$3:$M$14,MATCH(D232,Question_Bank!$A$3:$A$14,0))</f>
        <v>0</v>
      </c>
      <c r="J232">
        <f>SUMIFS($I$3:$I$518,$A$3:$A$518,A232)</f>
        <v>0</v>
      </c>
      <c r="K232" s="5">
        <f>J232/SUM(Question_Bank!$M$3:$M$14)</f>
        <v>0</v>
      </c>
      <c r="L232" s="5">
        <f>SUMIFS($I$3:$I$518,$A$3:$A$518,A232,$E$3:$E$518,E232)/SUMIFS(Question_Bank!$M$3:$M$14,Question_Bank!$B$3:$B$14,E232)</f>
        <v>0</v>
      </c>
      <c r="M232" t="s">
        <v>302</v>
      </c>
    </row>
    <row r="233" spans="1:13">
      <c r="A233" t="s">
        <v>301</v>
      </c>
      <c r="B233" t="s">
        <v>263</v>
      </c>
      <c r="C233" t="s">
        <v>133</v>
      </c>
      <c r="D233" t="s">
        <v>37</v>
      </c>
      <c r="E233" t="s">
        <v>15</v>
      </c>
      <c r="F233" t="s">
        <v>23</v>
      </c>
      <c r="G233">
        <f>INDEX(Question_Bank!$G$3:$G$14,MATCH(D233,Question_Bank!$A$3:$A$14,0))</f>
        <v>0</v>
      </c>
      <c r="H233">
        <f>IF(F233=G233,1,0)</f>
        <v>0</v>
      </c>
      <c r="I233">
        <f>H233*INDEX(Question_Bank!$M$3:$M$14,MATCH(D233,Question_Bank!$A$3:$A$14,0))</f>
        <v>0</v>
      </c>
      <c r="J233">
        <f>SUMIFS($I$3:$I$518,$A$3:$A$518,A233)</f>
        <v>0</v>
      </c>
      <c r="K233" s="5">
        <f>J233/SUM(Question_Bank!$M$3:$M$14)</f>
        <v>0</v>
      </c>
      <c r="L233" s="5">
        <f>SUMIFS($I$3:$I$518,$A$3:$A$518,A233,$E$3:$E$518,E233)/SUMIFS(Question_Bank!$M$3:$M$14,Question_Bank!$B$3:$B$14,E233)</f>
        <v>0</v>
      </c>
      <c r="M233" t="s">
        <v>302</v>
      </c>
    </row>
    <row r="234" spans="1:13">
      <c r="A234" t="s">
        <v>301</v>
      </c>
      <c r="B234" t="s">
        <v>263</v>
      </c>
      <c r="C234" t="s">
        <v>133</v>
      </c>
      <c r="D234" t="s">
        <v>45</v>
      </c>
      <c r="E234" t="s">
        <v>46</v>
      </c>
      <c r="F234" t="s">
        <v>34</v>
      </c>
      <c r="G234">
        <f>INDEX(Question_Bank!$G$3:$G$14,MATCH(D234,Question_Bank!$A$3:$A$14,0))</f>
        <v>0</v>
      </c>
      <c r="H234">
        <f>IF(F234=G234,1,0)</f>
        <v>0</v>
      </c>
      <c r="I234">
        <f>H234*INDEX(Question_Bank!$M$3:$M$14,MATCH(D234,Question_Bank!$A$3:$A$14,0))</f>
        <v>0</v>
      </c>
      <c r="J234">
        <f>SUMIFS($I$3:$I$518,$A$3:$A$518,A234)</f>
        <v>0</v>
      </c>
      <c r="K234" s="5">
        <f>J234/SUM(Question_Bank!$M$3:$M$14)</f>
        <v>0</v>
      </c>
      <c r="L234" s="5">
        <f>SUMIFS($I$3:$I$518,$A$3:$A$518,A234,$E$3:$E$518,E234)/SUMIFS(Question_Bank!$M$3:$M$14,Question_Bank!$B$3:$B$14,E234)</f>
        <v>0</v>
      </c>
      <c r="M234" t="s">
        <v>302</v>
      </c>
    </row>
    <row r="235" spans="1:13">
      <c r="A235" t="s">
        <v>301</v>
      </c>
      <c r="B235" t="s">
        <v>263</v>
      </c>
      <c r="C235" t="s">
        <v>133</v>
      </c>
      <c r="D235" t="s">
        <v>54</v>
      </c>
      <c r="E235" t="s">
        <v>46</v>
      </c>
      <c r="F235" t="s">
        <v>20</v>
      </c>
      <c r="G235">
        <f>INDEX(Question_Bank!$G$3:$G$14,MATCH(D235,Question_Bank!$A$3:$A$14,0))</f>
        <v>0</v>
      </c>
      <c r="H235">
        <f>IF(F235=G235,1,0)</f>
        <v>0</v>
      </c>
      <c r="I235">
        <f>H235*INDEX(Question_Bank!$M$3:$M$14,MATCH(D235,Question_Bank!$A$3:$A$14,0))</f>
        <v>0</v>
      </c>
      <c r="J235">
        <f>SUMIFS($I$3:$I$518,$A$3:$A$518,A235)</f>
        <v>0</v>
      </c>
      <c r="K235" s="5">
        <f>J235/SUM(Question_Bank!$M$3:$M$14)</f>
        <v>0</v>
      </c>
      <c r="L235" s="5">
        <f>SUMIFS($I$3:$I$518,$A$3:$A$518,A235,$E$3:$E$518,E235)/SUMIFS(Question_Bank!$M$3:$M$14,Question_Bank!$B$3:$B$14,E235)</f>
        <v>0</v>
      </c>
      <c r="M235" t="s">
        <v>302</v>
      </c>
    </row>
    <row r="236" spans="1:13">
      <c r="A236" t="s">
        <v>301</v>
      </c>
      <c r="B236" t="s">
        <v>263</v>
      </c>
      <c r="C236" t="s">
        <v>133</v>
      </c>
      <c r="D236" t="s">
        <v>62</v>
      </c>
      <c r="E236" t="s">
        <v>46</v>
      </c>
      <c r="F236" t="s">
        <v>23</v>
      </c>
      <c r="G236">
        <f>INDEX(Question_Bank!$G$3:$G$14,MATCH(D236,Question_Bank!$A$3:$A$14,0))</f>
        <v>0</v>
      </c>
      <c r="H236">
        <f>IF(F236=G236,1,0)</f>
        <v>0</v>
      </c>
      <c r="I236">
        <f>H236*INDEX(Question_Bank!$M$3:$M$14,MATCH(D236,Question_Bank!$A$3:$A$14,0))</f>
        <v>0</v>
      </c>
      <c r="J236">
        <f>SUMIFS($I$3:$I$518,$A$3:$A$518,A236)</f>
        <v>0</v>
      </c>
      <c r="K236" s="5">
        <f>J236/SUM(Question_Bank!$M$3:$M$14)</f>
        <v>0</v>
      </c>
      <c r="L236" s="5">
        <f>SUMIFS($I$3:$I$518,$A$3:$A$518,A236,$E$3:$E$518,E236)/SUMIFS(Question_Bank!$M$3:$M$14,Question_Bank!$B$3:$B$14,E236)</f>
        <v>0</v>
      </c>
      <c r="M236" t="s">
        <v>302</v>
      </c>
    </row>
    <row r="237" spans="1:13">
      <c r="A237" t="s">
        <v>301</v>
      </c>
      <c r="B237" t="s">
        <v>263</v>
      </c>
      <c r="C237" t="s">
        <v>133</v>
      </c>
      <c r="D237" t="s">
        <v>70</v>
      </c>
      <c r="E237" t="s">
        <v>71</v>
      </c>
      <c r="F237" t="s">
        <v>31</v>
      </c>
      <c r="G237">
        <f>INDEX(Question_Bank!$G$3:$G$14,MATCH(D237,Question_Bank!$A$3:$A$14,0))</f>
        <v>0</v>
      </c>
      <c r="H237">
        <f>IF(F237=G237,1,0)</f>
        <v>0</v>
      </c>
      <c r="I237">
        <f>H237*INDEX(Question_Bank!$M$3:$M$14,MATCH(D237,Question_Bank!$A$3:$A$14,0))</f>
        <v>0</v>
      </c>
      <c r="J237">
        <f>SUMIFS($I$3:$I$518,$A$3:$A$518,A237)</f>
        <v>0</v>
      </c>
      <c r="K237" s="5">
        <f>J237/SUM(Question_Bank!$M$3:$M$14)</f>
        <v>0</v>
      </c>
      <c r="L237" s="5">
        <f>SUMIFS($I$3:$I$518,$A$3:$A$518,A237,$E$3:$E$518,E237)/SUMIFS(Question_Bank!$M$3:$M$14,Question_Bank!$B$3:$B$14,E237)</f>
        <v>0</v>
      </c>
      <c r="M237" t="s">
        <v>302</v>
      </c>
    </row>
    <row r="238" spans="1:13">
      <c r="A238" t="s">
        <v>301</v>
      </c>
      <c r="B238" t="s">
        <v>263</v>
      </c>
      <c r="C238" t="s">
        <v>133</v>
      </c>
      <c r="D238" t="s">
        <v>79</v>
      </c>
      <c r="E238" t="s">
        <v>71</v>
      </c>
      <c r="F238" t="s">
        <v>31</v>
      </c>
      <c r="G238">
        <f>INDEX(Question_Bank!$G$3:$G$14,MATCH(D238,Question_Bank!$A$3:$A$14,0))</f>
        <v>0</v>
      </c>
      <c r="H238">
        <f>IF(F238=G238,1,0)</f>
        <v>0</v>
      </c>
      <c r="I238">
        <f>H238*INDEX(Question_Bank!$M$3:$M$14,MATCH(D238,Question_Bank!$A$3:$A$14,0))</f>
        <v>0</v>
      </c>
      <c r="J238">
        <f>SUMIFS($I$3:$I$518,$A$3:$A$518,A238)</f>
        <v>0</v>
      </c>
      <c r="K238" s="5">
        <f>J238/SUM(Question_Bank!$M$3:$M$14)</f>
        <v>0</v>
      </c>
      <c r="L238" s="5">
        <f>SUMIFS($I$3:$I$518,$A$3:$A$518,A238,$E$3:$E$518,E238)/SUMIFS(Question_Bank!$M$3:$M$14,Question_Bank!$B$3:$B$14,E238)</f>
        <v>0</v>
      </c>
      <c r="M238" t="s">
        <v>302</v>
      </c>
    </row>
    <row r="239" spans="1:13">
      <c r="A239" t="s">
        <v>301</v>
      </c>
      <c r="B239" t="s">
        <v>263</v>
      </c>
      <c r="C239" t="s">
        <v>133</v>
      </c>
      <c r="D239" t="s">
        <v>87</v>
      </c>
      <c r="E239" t="s">
        <v>71</v>
      </c>
      <c r="F239" t="s">
        <v>34</v>
      </c>
      <c r="G239">
        <f>INDEX(Question_Bank!$G$3:$G$14,MATCH(D239,Question_Bank!$A$3:$A$14,0))</f>
        <v>0</v>
      </c>
      <c r="H239">
        <f>IF(F239=G239,1,0)</f>
        <v>0</v>
      </c>
      <c r="I239">
        <f>H239*INDEX(Question_Bank!$M$3:$M$14,MATCH(D239,Question_Bank!$A$3:$A$14,0))</f>
        <v>0</v>
      </c>
      <c r="J239">
        <f>SUMIFS($I$3:$I$518,$A$3:$A$518,A239)</f>
        <v>0</v>
      </c>
      <c r="K239" s="5">
        <f>J239/SUM(Question_Bank!$M$3:$M$14)</f>
        <v>0</v>
      </c>
      <c r="L239" s="5">
        <f>SUMIFS($I$3:$I$518,$A$3:$A$518,A239,$E$3:$E$518,E239)/SUMIFS(Question_Bank!$M$3:$M$14,Question_Bank!$B$3:$B$14,E239)</f>
        <v>0</v>
      </c>
      <c r="M239" t="s">
        <v>302</v>
      </c>
    </row>
    <row r="240" spans="1:13">
      <c r="A240" t="s">
        <v>301</v>
      </c>
      <c r="B240" t="s">
        <v>263</v>
      </c>
      <c r="C240" t="s">
        <v>133</v>
      </c>
      <c r="D240" t="s">
        <v>95</v>
      </c>
      <c r="E240" t="s">
        <v>96</v>
      </c>
      <c r="F240" t="s">
        <v>31</v>
      </c>
      <c r="G240">
        <f>INDEX(Question_Bank!$G$3:$G$14,MATCH(D240,Question_Bank!$A$3:$A$14,0))</f>
        <v>0</v>
      </c>
      <c r="H240">
        <f>IF(F240=G240,1,0)</f>
        <v>0</v>
      </c>
      <c r="I240">
        <f>H240*INDEX(Question_Bank!$M$3:$M$14,MATCH(D240,Question_Bank!$A$3:$A$14,0))</f>
        <v>0</v>
      </c>
      <c r="J240">
        <f>SUMIFS($I$3:$I$518,$A$3:$A$518,A240)</f>
        <v>0</v>
      </c>
      <c r="K240" s="5">
        <f>J240/SUM(Question_Bank!$M$3:$M$14)</f>
        <v>0</v>
      </c>
      <c r="L240" s="5">
        <f>SUMIFS($I$3:$I$518,$A$3:$A$518,A240,$E$3:$E$518,E240)/SUMIFS(Question_Bank!$M$3:$M$14,Question_Bank!$B$3:$B$14,E240)</f>
        <v>0</v>
      </c>
      <c r="M240" t="s">
        <v>302</v>
      </c>
    </row>
    <row r="241" spans="1:13">
      <c r="A241" t="s">
        <v>301</v>
      </c>
      <c r="B241" t="s">
        <v>263</v>
      </c>
      <c r="C241" t="s">
        <v>133</v>
      </c>
      <c r="D241" t="s">
        <v>104</v>
      </c>
      <c r="E241" t="s">
        <v>96</v>
      </c>
      <c r="F241" t="s">
        <v>23</v>
      </c>
      <c r="G241">
        <f>INDEX(Question_Bank!$G$3:$G$14,MATCH(D241,Question_Bank!$A$3:$A$14,0))</f>
        <v>0</v>
      </c>
      <c r="H241">
        <f>IF(F241=G241,1,0)</f>
        <v>0</v>
      </c>
      <c r="I241">
        <f>H241*INDEX(Question_Bank!$M$3:$M$14,MATCH(D241,Question_Bank!$A$3:$A$14,0))</f>
        <v>0</v>
      </c>
      <c r="J241">
        <f>SUMIFS($I$3:$I$518,$A$3:$A$518,A241)</f>
        <v>0</v>
      </c>
      <c r="K241" s="5">
        <f>J241/SUM(Question_Bank!$M$3:$M$14)</f>
        <v>0</v>
      </c>
      <c r="L241" s="5">
        <f>SUMIFS($I$3:$I$518,$A$3:$A$518,A241,$E$3:$E$518,E241)/SUMIFS(Question_Bank!$M$3:$M$14,Question_Bank!$B$3:$B$14,E241)</f>
        <v>0</v>
      </c>
      <c r="M241" t="s">
        <v>302</v>
      </c>
    </row>
    <row r="242" spans="1:13">
      <c r="A242" t="s">
        <v>301</v>
      </c>
      <c r="B242" t="s">
        <v>263</v>
      </c>
      <c r="C242" t="s">
        <v>133</v>
      </c>
      <c r="D242" t="s">
        <v>112</v>
      </c>
      <c r="E242" t="s">
        <v>96</v>
      </c>
      <c r="F242" t="s">
        <v>23</v>
      </c>
      <c r="G242">
        <f>INDEX(Question_Bank!$G$3:$G$14,MATCH(D242,Question_Bank!$A$3:$A$14,0))</f>
        <v>0</v>
      </c>
      <c r="H242">
        <f>IF(F242=G242,1,0)</f>
        <v>0</v>
      </c>
      <c r="I242">
        <f>H242*INDEX(Question_Bank!$M$3:$M$14,MATCH(D242,Question_Bank!$A$3:$A$14,0))</f>
        <v>0</v>
      </c>
      <c r="J242">
        <f>SUMIFS($I$3:$I$518,$A$3:$A$518,A242)</f>
        <v>0</v>
      </c>
      <c r="K242" s="5">
        <f>J242/SUM(Question_Bank!$M$3:$M$14)</f>
        <v>0</v>
      </c>
      <c r="L242" s="5">
        <f>SUMIFS($I$3:$I$518,$A$3:$A$518,A242,$E$3:$E$518,E242)/SUMIFS(Question_Bank!$M$3:$M$14,Question_Bank!$B$3:$B$14,E242)</f>
        <v>0</v>
      </c>
      <c r="M242" t="s">
        <v>302</v>
      </c>
    </row>
    <row r="243" spans="1:13">
      <c r="A243" t="s">
        <v>303</v>
      </c>
      <c r="B243" t="s">
        <v>263</v>
      </c>
      <c r="C243" t="s">
        <v>133</v>
      </c>
      <c r="D243" t="s">
        <v>14</v>
      </c>
      <c r="E243" t="s">
        <v>15</v>
      </c>
      <c r="F243" t="s">
        <v>34</v>
      </c>
      <c r="G243">
        <f>INDEX(Question_Bank!$G$3:$G$14,MATCH(D243,Question_Bank!$A$3:$A$14,0))</f>
        <v>0</v>
      </c>
      <c r="H243">
        <f>IF(F243=G243,1,0)</f>
        <v>0</v>
      </c>
      <c r="I243">
        <f>H243*INDEX(Question_Bank!$M$3:$M$14,MATCH(D243,Question_Bank!$A$3:$A$14,0))</f>
        <v>0</v>
      </c>
      <c r="J243">
        <f>SUMIFS($I$3:$I$518,$A$3:$A$518,A243)</f>
        <v>0</v>
      </c>
      <c r="K243" s="5">
        <f>J243/SUM(Question_Bank!$M$3:$M$14)</f>
        <v>0</v>
      </c>
      <c r="L243" s="5">
        <f>SUMIFS($I$3:$I$518,$A$3:$A$518,A243,$E$3:$E$518,E243)/SUMIFS(Question_Bank!$M$3:$M$14,Question_Bank!$B$3:$B$14,E243)</f>
        <v>0</v>
      </c>
      <c r="M243" t="s">
        <v>304</v>
      </c>
    </row>
    <row r="244" spans="1:13">
      <c r="A244" t="s">
        <v>303</v>
      </c>
      <c r="B244" t="s">
        <v>263</v>
      </c>
      <c r="C244" t="s">
        <v>133</v>
      </c>
      <c r="D244" t="s">
        <v>26</v>
      </c>
      <c r="E244" t="s">
        <v>15</v>
      </c>
      <c r="F244" t="s">
        <v>31</v>
      </c>
      <c r="G244">
        <f>INDEX(Question_Bank!$G$3:$G$14,MATCH(D244,Question_Bank!$A$3:$A$14,0))</f>
        <v>0</v>
      </c>
      <c r="H244">
        <f>IF(F244=G244,1,0)</f>
        <v>0</v>
      </c>
      <c r="I244">
        <f>H244*INDEX(Question_Bank!$M$3:$M$14,MATCH(D244,Question_Bank!$A$3:$A$14,0))</f>
        <v>0</v>
      </c>
      <c r="J244">
        <f>SUMIFS($I$3:$I$518,$A$3:$A$518,A244)</f>
        <v>0</v>
      </c>
      <c r="K244" s="5">
        <f>J244/SUM(Question_Bank!$M$3:$M$14)</f>
        <v>0</v>
      </c>
      <c r="L244" s="5">
        <f>SUMIFS($I$3:$I$518,$A$3:$A$518,A244,$E$3:$E$518,E244)/SUMIFS(Question_Bank!$M$3:$M$14,Question_Bank!$B$3:$B$14,E244)</f>
        <v>0</v>
      </c>
      <c r="M244" t="s">
        <v>304</v>
      </c>
    </row>
    <row r="245" spans="1:13">
      <c r="A245" t="s">
        <v>303</v>
      </c>
      <c r="B245" t="s">
        <v>263</v>
      </c>
      <c r="C245" t="s">
        <v>133</v>
      </c>
      <c r="D245" t="s">
        <v>37</v>
      </c>
      <c r="E245" t="s">
        <v>15</v>
      </c>
      <c r="F245" t="s">
        <v>34</v>
      </c>
      <c r="G245">
        <f>INDEX(Question_Bank!$G$3:$G$14,MATCH(D245,Question_Bank!$A$3:$A$14,0))</f>
        <v>0</v>
      </c>
      <c r="H245">
        <f>IF(F245=G245,1,0)</f>
        <v>0</v>
      </c>
      <c r="I245">
        <f>H245*INDEX(Question_Bank!$M$3:$M$14,MATCH(D245,Question_Bank!$A$3:$A$14,0))</f>
        <v>0</v>
      </c>
      <c r="J245">
        <f>SUMIFS($I$3:$I$518,$A$3:$A$518,A245)</f>
        <v>0</v>
      </c>
      <c r="K245" s="5">
        <f>J245/SUM(Question_Bank!$M$3:$M$14)</f>
        <v>0</v>
      </c>
      <c r="L245" s="5">
        <f>SUMIFS($I$3:$I$518,$A$3:$A$518,A245,$E$3:$E$518,E245)/SUMIFS(Question_Bank!$M$3:$M$14,Question_Bank!$B$3:$B$14,E245)</f>
        <v>0</v>
      </c>
      <c r="M245" t="s">
        <v>304</v>
      </c>
    </row>
    <row r="246" spans="1:13">
      <c r="A246" t="s">
        <v>303</v>
      </c>
      <c r="B246" t="s">
        <v>263</v>
      </c>
      <c r="C246" t="s">
        <v>133</v>
      </c>
      <c r="D246" t="s">
        <v>45</v>
      </c>
      <c r="E246" t="s">
        <v>46</v>
      </c>
      <c r="F246" t="s">
        <v>23</v>
      </c>
      <c r="G246">
        <f>INDEX(Question_Bank!$G$3:$G$14,MATCH(D246,Question_Bank!$A$3:$A$14,0))</f>
        <v>0</v>
      </c>
      <c r="H246">
        <f>IF(F246=G246,1,0)</f>
        <v>0</v>
      </c>
      <c r="I246">
        <f>H246*INDEX(Question_Bank!$M$3:$M$14,MATCH(D246,Question_Bank!$A$3:$A$14,0))</f>
        <v>0</v>
      </c>
      <c r="J246">
        <f>SUMIFS($I$3:$I$518,$A$3:$A$518,A246)</f>
        <v>0</v>
      </c>
      <c r="K246" s="5">
        <f>J246/SUM(Question_Bank!$M$3:$M$14)</f>
        <v>0</v>
      </c>
      <c r="L246" s="5">
        <f>SUMIFS($I$3:$I$518,$A$3:$A$518,A246,$E$3:$E$518,E246)/SUMIFS(Question_Bank!$M$3:$M$14,Question_Bank!$B$3:$B$14,E246)</f>
        <v>0</v>
      </c>
      <c r="M246" t="s">
        <v>304</v>
      </c>
    </row>
    <row r="247" spans="1:13">
      <c r="A247" t="s">
        <v>303</v>
      </c>
      <c r="B247" t="s">
        <v>263</v>
      </c>
      <c r="C247" t="s">
        <v>133</v>
      </c>
      <c r="D247" t="s">
        <v>54</v>
      </c>
      <c r="E247" t="s">
        <v>46</v>
      </c>
      <c r="F247" t="s">
        <v>23</v>
      </c>
      <c r="G247">
        <f>INDEX(Question_Bank!$G$3:$G$14,MATCH(D247,Question_Bank!$A$3:$A$14,0))</f>
        <v>0</v>
      </c>
      <c r="H247">
        <f>IF(F247=G247,1,0)</f>
        <v>0</v>
      </c>
      <c r="I247">
        <f>H247*INDEX(Question_Bank!$M$3:$M$14,MATCH(D247,Question_Bank!$A$3:$A$14,0))</f>
        <v>0</v>
      </c>
      <c r="J247">
        <f>SUMIFS($I$3:$I$518,$A$3:$A$518,A247)</f>
        <v>0</v>
      </c>
      <c r="K247" s="5">
        <f>J247/SUM(Question_Bank!$M$3:$M$14)</f>
        <v>0</v>
      </c>
      <c r="L247" s="5">
        <f>SUMIFS($I$3:$I$518,$A$3:$A$518,A247,$E$3:$E$518,E247)/SUMIFS(Question_Bank!$M$3:$M$14,Question_Bank!$B$3:$B$14,E247)</f>
        <v>0</v>
      </c>
      <c r="M247" t="s">
        <v>304</v>
      </c>
    </row>
    <row r="248" spans="1:13">
      <c r="A248" t="s">
        <v>303</v>
      </c>
      <c r="B248" t="s">
        <v>263</v>
      </c>
      <c r="C248" t="s">
        <v>133</v>
      </c>
      <c r="D248" t="s">
        <v>62</v>
      </c>
      <c r="E248" t="s">
        <v>46</v>
      </c>
      <c r="F248" t="s">
        <v>31</v>
      </c>
      <c r="G248">
        <f>INDEX(Question_Bank!$G$3:$G$14,MATCH(D248,Question_Bank!$A$3:$A$14,0))</f>
        <v>0</v>
      </c>
      <c r="H248">
        <f>IF(F248=G248,1,0)</f>
        <v>0</v>
      </c>
      <c r="I248">
        <f>H248*INDEX(Question_Bank!$M$3:$M$14,MATCH(D248,Question_Bank!$A$3:$A$14,0))</f>
        <v>0</v>
      </c>
      <c r="J248">
        <f>SUMIFS($I$3:$I$518,$A$3:$A$518,A248)</f>
        <v>0</v>
      </c>
      <c r="K248" s="5">
        <f>J248/SUM(Question_Bank!$M$3:$M$14)</f>
        <v>0</v>
      </c>
      <c r="L248" s="5">
        <f>SUMIFS($I$3:$I$518,$A$3:$A$518,A248,$E$3:$E$518,E248)/SUMIFS(Question_Bank!$M$3:$M$14,Question_Bank!$B$3:$B$14,E248)</f>
        <v>0</v>
      </c>
      <c r="M248" t="s">
        <v>304</v>
      </c>
    </row>
    <row r="249" spans="1:13">
      <c r="A249" t="s">
        <v>303</v>
      </c>
      <c r="B249" t="s">
        <v>263</v>
      </c>
      <c r="C249" t="s">
        <v>133</v>
      </c>
      <c r="D249" t="s">
        <v>70</v>
      </c>
      <c r="E249" t="s">
        <v>71</v>
      </c>
      <c r="F249" t="s">
        <v>20</v>
      </c>
      <c r="G249">
        <f>INDEX(Question_Bank!$G$3:$G$14,MATCH(D249,Question_Bank!$A$3:$A$14,0))</f>
        <v>0</v>
      </c>
      <c r="H249">
        <f>IF(F249=G249,1,0)</f>
        <v>0</v>
      </c>
      <c r="I249">
        <f>H249*INDEX(Question_Bank!$M$3:$M$14,MATCH(D249,Question_Bank!$A$3:$A$14,0))</f>
        <v>0</v>
      </c>
      <c r="J249">
        <f>SUMIFS($I$3:$I$518,$A$3:$A$518,A249)</f>
        <v>0</v>
      </c>
      <c r="K249" s="5">
        <f>J249/SUM(Question_Bank!$M$3:$M$14)</f>
        <v>0</v>
      </c>
      <c r="L249" s="5">
        <f>SUMIFS($I$3:$I$518,$A$3:$A$518,A249,$E$3:$E$518,E249)/SUMIFS(Question_Bank!$M$3:$M$14,Question_Bank!$B$3:$B$14,E249)</f>
        <v>0</v>
      </c>
      <c r="M249" t="s">
        <v>304</v>
      </c>
    </row>
    <row r="250" spans="1:13">
      <c r="A250" t="s">
        <v>303</v>
      </c>
      <c r="B250" t="s">
        <v>263</v>
      </c>
      <c r="C250" t="s">
        <v>133</v>
      </c>
      <c r="D250" t="s">
        <v>79</v>
      </c>
      <c r="E250" t="s">
        <v>71</v>
      </c>
      <c r="F250" t="s">
        <v>34</v>
      </c>
      <c r="G250">
        <f>INDEX(Question_Bank!$G$3:$G$14,MATCH(D250,Question_Bank!$A$3:$A$14,0))</f>
        <v>0</v>
      </c>
      <c r="H250">
        <f>IF(F250=G250,1,0)</f>
        <v>0</v>
      </c>
      <c r="I250">
        <f>H250*INDEX(Question_Bank!$M$3:$M$14,MATCH(D250,Question_Bank!$A$3:$A$14,0))</f>
        <v>0</v>
      </c>
      <c r="J250">
        <f>SUMIFS($I$3:$I$518,$A$3:$A$518,A250)</f>
        <v>0</v>
      </c>
      <c r="K250" s="5">
        <f>J250/SUM(Question_Bank!$M$3:$M$14)</f>
        <v>0</v>
      </c>
      <c r="L250" s="5">
        <f>SUMIFS($I$3:$I$518,$A$3:$A$518,A250,$E$3:$E$518,E250)/SUMIFS(Question_Bank!$M$3:$M$14,Question_Bank!$B$3:$B$14,E250)</f>
        <v>0</v>
      </c>
      <c r="M250" t="s">
        <v>304</v>
      </c>
    </row>
    <row r="251" spans="1:13">
      <c r="A251" t="s">
        <v>303</v>
      </c>
      <c r="B251" t="s">
        <v>263</v>
      </c>
      <c r="C251" t="s">
        <v>133</v>
      </c>
      <c r="D251" t="s">
        <v>87</v>
      </c>
      <c r="E251" t="s">
        <v>71</v>
      </c>
      <c r="F251" t="s">
        <v>31</v>
      </c>
      <c r="G251">
        <f>INDEX(Question_Bank!$G$3:$G$14,MATCH(D251,Question_Bank!$A$3:$A$14,0))</f>
        <v>0</v>
      </c>
      <c r="H251">
        <f>IF(F251=G251,1,0)</f>
        <v>0</v>
      </c>
      <c r="I251">
        <f>H251*INDEX(Question_Bank!$M$3:$M$14,MATCH(D251,Question_Bank!$A$3:$A$14,0))</f>
        <v>0</v>
      </c>
      <c r="J251">
        <f>SUMIFS($I$3:$I$518,$A$3:$A$518,A251)</f>
        <v>0</v>
      </c>
      <c r="K251" s="5">
        <f>J251/SUM(Question_Bank!$M$3:$M$14)</f>
        <v>0</v>
      </c>
      <c r="L251" s="5">
        <f>SUMIFS($I$3:$I$518,$A$3:$A$518,A251,$E$3:$E$518,E251)/SUMIFS(Question_Bank!$M$3:$M$14,Question_Bank!$B$3:$B$14,E251)</f>
        <v>0</v>
      </c>
      <c r="M251" t="s">
        <v>304</v>
      </c>
    </row>
    <row r="252" spans="1:13">
      <c r="A252" t="s">
        <v>303</v>
      </c>
      <c r="B252" t="s">
        <v>263</v>
      </c>
      <c r="C252" t="s">
        <v>133</v>
      </c>
      <c r="D252" t="s">
        <v>95</v>
      </c>
      <c r="E252" t="s">
        <v>96</v>
      </c>
      <c r="F252" t="s">
        <v>34</v>
      </c>
      <c r="G252">
        <f>INDEX(Question_Bank!$G$3:$G$14,MATCH(D252,Question_Bank!$A$3:$A$14,0))</f>
        <v>0</v>
      </c>
      <c r="H252">
        <f>IF(F252=G252,1,0)</f>
        <v>0</v>
      </c>
      <c r="I252">
        <f>H252*INDEX(Question_Bank!$M$3:$M$14,MATCH(D252,Question_Bank!$A$3:$A$14,0))</f>
        <v>0</v>
      </c>
      <c r="J252">
        <f>SUMIFS($I$3:$I$518,$A$3:$A$518,A252)</f>
        <v>0</v>
      </c>
      <c r="K252" s="5">
        <f>J252/SUM(Question_Bank!$M$3:$M$14)</f>
        <v>0</v>
      </c>
      <c r="L252" s="5">
        <f>SUMIFS($I$3:$I$518,$A$3:$A$518,A252,$E$3:$E$518,E252)/SUMIFS(Question_Bank!$M$3:$M$14,Question_Bank!$B$3:$B$14,E252)</f>
        <v>0</v>
      </c>
      <c r="M252" t="s">
        <v>304</v>
      </c>
    </row>
    <row r="253" spans="1:13">
      <c r="A253" t="s">
        <v>303</v>
      </c>
      <c r="B253" t="s">
        <v>263</v>
      </c>
      <c r="C253" t="s">
        <v>133</v>
      </c>
      <c r="D253" t="s">
        <v>104</v>
      </c>
      <c r="E253" t="s">
        <v>96</v>
      </c>
      <c r="F253" t="s">
        <v>23</v>
      </c>
      <c r="G253">
        <f>INDEX(Question_Bank!$G$3:$G$14,MATCH(D253,Question_Bank!$A$3:$A$14,0))</f>
        <v>0</v>
      </c>
      <c r="H253">
        <f>IF(F253=G253,1,0)</f>
        <v>0</v>
      </c>
      <c r="I253">
        <f>H253*INDEX(Question_Bank!$M$3:$M$14,MATCH(D253,Question_Bank!$A$3:$A$14,0))</f>
        <v>0</v>
      </c>
      <c r="J253">
        <f>SUMIFS($I$3:$I$518,$A$3:$A$518,A253)</f>
        <v>0</v>
      </c>
      <c r="K253" s="5">
        <f>J253/SUM(Question_Bank!$M$3:$M$14)</f>
        <v>0</v>
      </c>
      <c r="L253" s="5">
        <f>SUMIFS($I$3:$I$518,$A$3:$A$518,A253,$E$3:$E$518,E253)/SUMIFS(Question_Bank!$M$3:$M$14,Question_Bank!$B$3:$B$14,E253)</f>
        <v>0</v>
      </c>
      <c r="M253" t="s">
        <v>304</v>
      </c>
    </row>
    <row r="254" spans="1:13">
      <c r="A254" t="s">
        <v>303</v>
      </c>
      <c r="B254" t="s">
        <v>263</v>
      </c>
      <c r="C254" t="s">
        <v>133</v>
      </c>
      <c r="D254" t="s">
        <v>112</v>
      </c>
      <c r="E254" t="s">
        <v>96</v>
      </c>
      <c r="F254" t="s">
        <v>34</v>
      </c>
      <c r="G254">
        <f>INDEX(Question_Bank!$G$3:$G$14,MATCH(D254,Question_Bank!$A$3:$A$14,0))</f>
        <v>0</v>
      </c>
      <c r="H254">
        <f>IF(F254=G254,1,0)</f>
        <v>0</v>
      </c>
      <c r="I254">
        <f>H254*INDEX(Question_Bank!$M$3:$M$14,MATCH(D254,Question_Bank!$A$3:$A$14,0))</f>
        <v>0</v>
      </c>
      <c r="J254">
        <f>SUMIFS($I$3:$I$518,$A$3:$A$518,A254)</f>
        <v>0</v>
      </c>
      <c r="K254" s="5">
        <f>J254/SUM(Question_Bank!$M$3:$M$14)</f>
        <v>0</v>
      </c>
      <c r="L254" s="5">
        <f>SUMIFS($I$3:$I$518,$A$3:$A$518,A254,$E$3:$E$518,E254)/SUMIFS(Question_Bank!$M$3:$M$14,Question_Bank!$B$3:$B$14,E254)</f>
        <v>0</v>
      </c>
      <c r="M254" t="s">
        <v>304</v>
      </c>
    </row>
    <row r="255" spans="1:13">
      <c r="A255" t="s">
        <v>305</v>
      </c>
      <c r="B255" t="s">
        <v>263</v>
      </c>
      <c r="C255" t="s">
        <v>133</v>
      </c>
      <c r="D255" t="s">
        <v>14</v>
      </c>
      <c r="E255" t="s">
        <v>15</v>
      </c>
      <c r="F255" t="s">
        <v>20</v>
      </c>
      <c r="G255">
        <f>INDEX(Question_Bank!$G$3:$G$14,MATCH(D255,Question_Bank!$A$3:$A$14,0))</f>
        <v>0</v>
      </c>
      <c r="H255">
        <f>IF(F255=G255,1,0)</f>
        <v>0</v>
      </c>
      <c r="I255">
        <f>H255*INDEX(Question_Bank!$M$3:$M$14,MATCH(D255,Question_Bank!$A$3:$A$14,0))</f>
        <v>0</v>
      </c>
      <c r="J255">
        <f>SUMIFS($I$3:$I$518,$A$3:$A$518,A255)</f>
        <v>0</v>
      </c>
      <c r="K255" s="5">
        <f>J255/SUM(Question_Bank!$M$3:$M$14)</f>
        <v>0</v>
      </c>
      <c r="L255" s="5">
        <f>SUMIFS($I$3:$I$518,$A$3:$A$518,A255,$E$3:$E$518,E255)/SUMIFS(Question_Bank!$M$3:$M$14,Question_Bank!$B$3:$B$14,E255)</f>
        <v>0</v>
      </c>
      <c r="M255" t="s">
        <v>306</v>
      </c>
    </row>
    <row r="256" spans="1:13">
      <c r="A256" t="s">
        <v>305</v>
      </c>
      <c r="B256" t="s">
        <v>263</v>
      </c>
      <c r="C256" t="s">
        <v>133</v>
      </c>
      <c r="D256" t="s">
        <v>26</v>
      </c>
      <c r="E256" t="s">
        <v>15</v>
      </c>
      <c r="F256" t="s">
        <v>23</v>
      </c>
      <c r="G256">
        <f>INDEX(Question_Bank!$G$3:$G$14,MATCH(D256,Question_Bank!$A$3:$A$14,0))</f>
        <v>0</v>
      </c>
      <c r="H256">
        <f>IF(F256=G256,1,0)</f>
        <v>0</v>
      </c>
      <c r="I256">
        <f>H256*INDEX(Question_Bank!$M$3:$M$14,MATCH(D256,Question_Bank!$A$3:$A$14,0))</f>
        <v>0</v>
      </c>
      <c r="J256">
        <f>SUMIFS($I$3:$I$518,$A$3:$A$518,A256)</f>
        <v>0</v>
      </c>
      <c r="K256" s="5">
        <f>J256/SUM(Question_Bank!$M$3:$M$14)</f>
        <v>0</v>
      </c>
      <c r="L256" s="5">
        <f>SUMIFS($I$3:$I$518,$A$3:$A$518,A256,$E$3:$E$518,E256)/SUMIFS(Question_Bank!$M$3:$M$14,Question_Bank!$B$3:$B$14,E256)</f>
        <v>0</v>
      </c>
      <c r="M256" t="s">
        <v>306</v>
      </c>
    </row>
    <row r="257" spans="1:13">
      <c r="A257" t="s">
        <v>305</v>
      </c>
      <c r="B257" t="s">
        <v>263</v>
      </c>
      <c r="C257" t="s">
        <v>133</v>
      </c>
      <c r="D257" t="s">
        <v>37</v>
      </c>
      <c r="E257" t="s">
        <v>15</v>
      </c>
      <c r="F257" t="s">
        <v>31</v>
      </c>
      <c r="G257">
        <f>INDEX(Question_Bank!$G$3:$G$14,MATCH(D257,Question_Bank!$A$3:$A$14,0))</f>
        <v>0</v>
      </c>
      <c r="H257">
        <f>IF(F257=G257,1,0)</f>
        <v>0</v>
      </c>
      <c r="I257">
        <f>H257*INDEX(Question_Bank!$M$3:$M$14,MATCH(D257,Question_Bank!$A$3:$A$14,0))</f>
        <v>0</v>
      </c>
      <c r="J257">
        <f>SUMIFS($I$3:$I$518,$A$3:$A$518,A257)</f>
        <v>0</v>
      </c>
      <c r="K257" s="5">
        <f>J257/SUM(Question_Bank!$M$3:$M$14)</f>
        <v>0</v>
      </c>
      <c r="L257" s="5">
        <f>SUMIFS($I$3:$I$518,$A$3:$A$518,A257,$E$3:$E$518,E257)/SUMIFS(Question_Bank!$M$3:$M$14,Question_Bank!$B$3:$B$14,E257)</f>
        <v>0</v>
      </c>
      <c r="M257" t="s">
        <v>306</v>
      </c>
    </row>
    <row r="258" spans="1:13">
      <c r="A258" t="s">
        <v>305</v>
      </c>
      <c r="B258" t="s">
        <v>263</v>
      </c>
      <c r="C258" t="s">
        <v>133</v>
      </c>
      <c r="D258" t="s">
        <v>45</v>
      </c>
      <c r="E258" t="s">
        <v>46</v>
      </c>
      <c r="F258" t="s">
        <v>34</v>
      </c>
      <c r="G258">
        <f>INDEX(Question_Bank!$G$3:$G$14,MATCH(D258,Question_Bank!$A$3:$A$14,0))</f>
        <v>0</v>
      </c>
      <c r="H258">
        <f>IF(F258=G258,1,0)</f>
        <v>0</v>
      </c>
      <c r="I258">
        <f>H258*INDEX(Question_Bank!$M$3:$M$14,MATCH(D258,Question_Bank!$A$3:$A$14,0))</f>
        <v>0</v>
      </c>
      <c r="J258">
        <f>SUMIFS($I$3:$I$518,$A$3:$A$518,A258)</f>
        <v>0</v>
      </c>
      <c r="K258" s="5">
        <f>J258/SUM(Question_Bank!$M$3:$M$14)</f>
        <v>0</v>
      </c>
      <c r="L258" s="5">
        <f>SUMIFS($I$3:$I$518,$A$3:$A$518,A258,$E$3:$E$518,E258)/SUMIFS(Question_Bank!$M$3:$M$14,Question_Bank!$B$3:$B$14,E258)</f>
        <v>0</v>
      </c>
      <c r="M258" t="s">
        <v>306</v>
      </c>
    </row>
    <row r="259" spans="1:13">
      <c r="A259" t="s">
        <v>305</v>
      </c>
      <c r="B259" t="s">
        <v>263</v>
      </c>
      <c r="C259" t="s">
        <v>133</v>
      </c>
      <c r="D259" t="s">
        <v>54</v>
      </c>
      <c r="E259" t="s">
        <v>46</v>
      </c>
      <c r="F259" t="s">
        <v>31</v>
      </c>
      <c r="G259">
        <f>INDEX(Question_Bank!$G$3:$G$14,MATCH(D259,Question_Bank!$A$3:$A$14,0))</f>
        <v>0</v>
      </c>
      <c r="H259">
        <f>IF(F259=G259,1,0)</f>
        <v>0</v>
      </c>
      <c r="I259">
        <f>H259*INDEX(Question_Bank!$M$3:$M$14,MATCH(D259,Question_Bank!$A$3:$A$14,0))</f>
        <v>0</v>
      </c>
      <c r="J259">
        <f>SUMIFS($I$3:$I$518,$A$3:$A$518,A259)</f>
        <v>0</v>
      </c>
      <c r="K259" s="5">
        <f>J259/SUM(Question_Bank!$M$3:$M$14)</f>
        <v>0</v>
      </c>
      <c r="L259" s="5">
        <f>SUMIFS($I$3:$I$518,$A$3:$A$518,A259,$E$3:$E$518,E259)/SUMIFS(Question_Bank!$M$3:$M$14,Question_Bank!$B$3:$B$14,E259)</f>
        <v>0</v>
      </c>
      <c r="M259" t="s">
        <v>306</v>
      </c>
    </row>
    <row r="260" spans="1:13">
      <c r="A260" t="s">
        <v>305</v>
      </c>
      <c r="B260" t="s">
        <v>263</v>
      </c>
      <c r="C260" t="s">
        <v>133</v>
      </c>
      <c r="D260" t="s">
        <v>62</v>
      </c>
      <c r="E260" t="s">
        <v>46</v>
      </c>
      <c r="F260" t="s">
        <v>31</v>
      </c>
      <c r="G260">
        <f>INDEX(Question_Bank!$G$3:$G$14,MATCH(D260,Question_Bank!$A$3:$A$14,0))</f>
        <v>0</v>
      </c>
      <c r="H260">
        <f>IF(F260=G260,1,0)</f>
        <v>0</v>
      </c>
      <c r="I260">
        <f>H260*INDEX(Question_Bank!$M$3:$M$14,MATCH(D260,Question_Bank!$A$3:$A$14,0))</f>
        <v>0</v>
      </c>
      <c r="J260">
        <f>SUMIFS($I$3:$I$518,$A$3:$A$518,A260)</f>
        <v>0</v>
      </c>
      <c r="K260" s="5">
        <f>J260/SUM(Question_Bank!$M$3:$M$14)</f>
        <v>0</v>
      </c>
      <c r="L260" s="5">
        <f>SUMIFS($I$3:$I$518,$A$3:$A$518,A260,$E$3:$E$518,E260)/SUMIFS(Question_Bank!$M$3:$M$14,Question_Bank!$B$3:$B$14,E260)</f>
        <v>0</v>
      </c>
      <c r="M260" t="s">
        <v>306</v>
      </c>
    </row>
    <row r="261" spans="1:13">
      <c r="A261" t="s">
        <v>305</v>
      </c>
      <c r="B261" t="s">
        <v>263</v>
      </c>
      <c r="C261" t="s">
        <v>133</v>
      </c>
      <c r="D261" t="s">
        <v>70</v>
      </c>
      <c r="E261" t="s">
        <v>71</v>
      </c>
      <c r="F261" t="s">
        <v>34</v>
      </c>
      <c r="G261">
        <f>INDEX(Question_Bank!$G$3:$G$14,MATCH(D261,Question_Bank!$A$3:$A$14,0))</f>
        <v>0</v>
      </c>
      <c r="H261">
        <f>IF(F261=G261,1,0)</f>
        <v>0</v>
      </c>
      <c r="I261">
        <f>H261*INDEX(Question_Bank!$M$3:$M$14,MATCH(D261,Question_Bank!$A$3:$A$14,0))</f>
        <v>0</v>
      </c>
      <c r="J261">
        <f>SUMIFS($I$3:$I$518,$A$3:$A$518,A261)</f>
        <v>0</v>
      </c>
      <c r="K261" s="5">
        <f>J261/SUM(Question_Bank!$M$3:$M$14)</f>
        <v>0</v>
      </c>
      <c r="L261" s="5">
        <f>SUMIFS($I$3:$I$518,$A$3:$A$518,A261,$E$3:$E$518,E261)/SUMIFS(Question_Bank!$M$3:$M$14,Question_Bank!$B$3:$B$14,E261)</f>
        <v>0</v>
      </c>
      <c r="M261" t="s">
        <v>306</v>
      </c>
    </row>
    <row r="262" spans="1:13">
      <c r="A262" t="s">
        <v>305</v>
      </c>
      <c r="B262" t="s">
        <v>263</v>
      </c>
      <c r="C262" t="s">
        <v>133</v>
      </c>
      <c r="D262" t="s">
        <v>79</v>
      </c>
      <c r="E262" t="s">
        <v>71</v>
      </c>
      <c r="F262" t="s">
        <v>20</v>
      </c>
      <c r="G262">
        <f>INDEX(Question_Bank!$G$3:$G$14,MATCH(D262,Question_Bank!$A$3:$A$14,0))</f>
        <v>0</v>
      </c>
      <c r="H262">
        <f>IF(F262=G262,1,0)</f>
        <v>0</v>
      </c>
      <c r="I262">
        <f>H262*INDEX(Question_Bank!$M$3:$M$14,MATCH(D262,Question_Bank!$A$3:$A$14,0))</f>
        <v>0</v>
      </c>
      <c r="J262">
        <f>SUMIFS($I$3:$I$518,$A$3:$A$518,A262)</f>
        <v>0</v>
      </c>
      <c r="K262" s="5">
        <f>J262/SUM(Question_Bank!$M$3:$M$14)</f>
        <v>0</v>
      </c>
      <c r="L262" s="5">
        <f>SUMIFS($I$3:$I$518,$A$3:$A$518,A262,$E$3:$E$518,E262)/SUMIFS(Question_Bank!$M$3:$M$14,Question_Bank!$B$3:$B$14,E262)</f>
        <v>0</v>
      </c>
      <c r="M262" t="s">
        <v>306</v>
      </c>
    </row>
    <row r="263" spans="1:13">
      <c r="A263" t="s">
        <v>305</v>
      </c>
      <c r="B263" t="s">
        <v>263</v>
      </c>
      <c r="C263" t="s">
        <v>133</v>
      </c>
      <c r="D263" t="s">
        <v>87</v>
      </c>
      <c r="E263" t="s">
        <v>71</v>
      </c>
      <c r="F263" t="s">
        <v>20</v>
      </c>
      <c r="G263">
        <f>INDEX(Question_Bank!$G$3:$G$14,MATCH(D263,Question_Bank!$A$3:$A$14,0))</f>
        <v>0</v>
      </c>
      <c r="H263">
        <f>IF(F263=G263,1,0)</f>
        <v>0</v>
      </c>
      <c r="I263">
        <f>H263*INDEX(Question_Bank!$M$3:$M$14,MATCH(D263,Question_Bank!$A$3:$A$14,0))</f>
        <v>0</v>
      </c>
      <c r="J263">
        <f>SUMIFS($I$3:$I$518,$A$3:$A$518,A263)</f>
        <v>0</v>
      </c>
      <c r="K263" s="5">
        <f>J263/SUM(Question_Bank!$M$3:$M$14)</f>
        <v>0</v>
      </c>
      <c r="L263" s="5">
        <f>SUMIFS($I$3:$I$518,$A$3:$A$518,A263,$E$3:$E$518,E263)/SUMIFS(Question_Bank!$M$3:$M$14,Question_Bank!$B$3:$B$14,E263)</f>
        <v>0</v>
      </c>
      <c r="M263" t="s">
        <v>306</v>
      </c>
    </row>
    <row r="264" spans="1:13">
      <c r="A264" t="s">
        <v>305</v>
      </c>
      <c r="B264" t="s">
        <v>263</v>
      </c>
      <c r="C264" t="s">
        <v>133</v>
      </c>
      <c r="D264" t="s">
        <v>95</v>
      </c>
      <c r="E264" t="s">
        <v>96</v>
      </c>
      <c r="F264" t="s">
        <v>34</v>
      </c>
      <c r="G264">
        <f>INDEX(Question_Bank!$G$3:$G$14,MATCH(D264,Question_Bank!$A$3:$A$14,0))</f>
        <v>0</v>
      </c>
      <c r="H264">
        <f>IF(F264=G264,1,0)</f>
        <v>0</v>
      </c>
      <c r="I264">
        <f>H264*INDEX(Question_Bank!$M$3:$M$14,MATCH(D264,Question_Bank!$A$3:$A$14,0))</f>
        <v>0</v>
      </c>
      <c r="J264">
        <f>SUMIFS($I$3:$I$518,$A$3:$A$518,A264)</f>
        <v>0</v>
      </c>
      <c r="K264" s="5">
        <f>J264/SUM(Question_Bank!$M$3:$M$14)</f>
        <v>0</v>
      </c>
      <c r="L264" s="5">
        <f>SUMIFS($I$3:$I$518,$A$3:$A$518,A264,$E$3:$E$518,E264)/SUMIFS(Question_Bank!$M$3:$M$14,Question_Bank!$B$3:$B$14,E264)</f>
        <v>0</v>
      </c>
      <c r="M264" t="s">
        <v>306</v>
      </c>
    </row>
    <row r="265" spans="1:13">
      <c r="A265" t="s">
        <v>305</v>
      </c>
      <c r="B265" t="s">
        <v>263</v>
      </c>
      <c r="C265" t="s">
        <v>133</v>
      </c>
      <c r="D265" t="s">
        <v>104</v>
      </c>
      <c r="E265" t="s">
        <v>96</v>
      </c>
      <c r="F265" t="s">
        <v>20</v>
      </c>
      <c r="G265">
        <f>INDEX(Question_Bank!$G$3:$G$14,MATCH(D265,Question_Bank!$A$3:$A$14,0))</f>
        <v>0</v>
      </c>
      <c r="H265">
        <f>IF(F265=G265,1,0)</f>
        <v>0</v>
      </c>
      <c r="I265">
        <f>H265*INDEX(Question_Bank!$M$3:$M$14,MATCH(D265,Question_Bank!$A$3:$A$14,0))</f>
        <v>0</v>
      </c>
      <c r="J265">
        <f>SUMIFS($I$3:$I$518,$A$3:$A$518,A265)</f>
        <v>0</v>
      </c>
      <c r="K265" s="5">
        <f>J265/SUM(Question_Bank!$M$3:$M$14)</f>
        <v>0</v>
      </c>
      <c r="L265" s="5">
        <f>SUMIFS($I$3:$I$518,$A$3:$A$518,A265,$E$3:$E$518,E265)/SUMIFS(Question_Bank!$M$3:$M$14,Question_Bank!$B$3:$B$14,E265)</f>
        <v>0</v>
      </c>
      <c r="M265" t="s">
        <v>306</v>
      </c>
    </row>
    <row r="266" spans="1:13">
      <c r="A266" t="s">
        <v>305</v>
      </c>
      <c r="B266" t="s">
        <v>263</v>
      </c>
      <c r="C266" t="s">
        <v>133</v>
      </c>
      <c r="D266" t="s">
        <v>112</v>
      </c>
      <c r="E266" t="s">
        <v>96</v>
      </c>
      <c r="F266" t="s">
        <v>23</v>
      </c>
      <c r="G266">
        <f>INDEX(Question_Bank!$G$3:$G$14,MATCH(D266,Question_Bank!$A$3:$A$14,0))</f>
        <v>0</v>
      </c>
      <c r="H266">
        <f>IF(F266=G266,1,0)</f>
        <v>0</v>
      </c>
      <c r="I266">
        <f>H266*INDEX(Question_Bank!$M$3:$M$14,MATCH(D266,Question_Bank!$A$3:$A$14,0))</f>
        <v>0</v>
      </c>
      <c r="J266">
        <f>SUMIFS($I$3:$I$518,$A$3:$A$518,A266)</f>
        <v>0</v>
      </c>
      <c r="K266" s="5">
        <f>J266/SUM(Question_Bank!$M$3:$M$14)</f>
        <v>0</v>
      </c>
      <c r="L266" s="5">
        <f>SUMIFS($I$3:$I$518,$A$3:$A$518,A266,$E$3:$E$518,E266)/SUMIFS(Question_Bank!$M$3:$M$14,Question_Bank!$B$3:$B$14,E266)</f>
        <v>0</v>
      </c>
      <c r="M266" t="s">
        <v>306</v>
      </c>
    </row>
    <row r="267" spans="1:13">
      <c r="A267" t="s">
        <v>307</v>
      </c>
      <c r="B267" t="s">
        <v>263</v>
      </c>
      <c r="C267" t="s">
        <v>133</v>
      </c>
      <c r="D267" t="s">
        <v>14</v>
      </c>
      <c r="E267" t="s">
        <v>15</v>
      </c>
      <c r="F267" t="s">
        <v>34</v>
      </c>
      <c r="G267">
        <f>INDEX(Question_Bank!$G$3:$G$14,MATCH(D267,Question_Bank!$A$3:$A$14,0))</f>
        <v>0</v>
      </c>
      <c r="H267">
        <f>IF(F267=G267,1,0)</f>
        <v>0</v>
      </c>
      <c r="I267">
        <f>H267*INDEX(Question_Bank!$M$3:$M$14,MATCH(D267,Question_Bank!$A$3:$A$14,0))</f>
        <v>0</v>
      </c>
      <c r="J267">
        <f>SUMIFS($I$3:$I$518,$A$3:$A$518,A267)</f>
        <v>0</v>
      </c>
      <c r="K267" s="5">
        <f>J267/SUM(Question_Bank!$M$3:$M$14)</f>
        <v>0</v>
      </c>
      <c r="L267" s="5">
        <f>SUMIFS($I$3:$I$518,$A$3:$A$518,A267,$E$3:$E$518,E267)/SUMIFS(Question_Bank!$M$3:$M$14,Question_Bank!$B$3:$B$14,E267)</f>
        <v>0</v>
      </c>
      <c r="M267" t="s">
        <v>308</v>
      </c>
    </row>
    <row r="268" spans="1:13">
      <c r="A268" t="s">
        <v>307</v>
      </c>
      <c r="B268" t="s">
        <v>263</v>
      </c>
      <c r="C268" t="s">
        <v>133</v>
      </c>
      <c r="D268" t="s">
        <v>26</v>
      </c>
      <c r="E268" t="s">
        <v>15</v>
      </c>
      <c r="F268" t="s">
        <v>23</v>
      </c>
      <c r="G268">
        <f>INDEX(Question_Bank!$G$3:$G$14,MATCH(D268,Question_Bank!$A$3:$A$14,0))</f>
        <v>0</v>
      </c>
      <c r="H268">
        <f>IF(F268=G268,1,0)</f>
        <v>0</v>
      </c>
      <c r="I268">
        <f>H268*INDEX(Question_Bank!$M$3:$M$14,MATCH(D268,Question_Bank!$A$3:$A$14,0))</f>
        <v>0</v>
      </c>
      <c r="J268">
        <f>SUMIFS($I$3:$I$518,$A$3:$A$518,A268)</f>
        <v>0</v>
      </c>
      <c r="K268" s="5">
        <f>J268/SUM(Question_Bank!$M$3:$M$14)</f>
        <v>0</v>
      </c>
      <c r="L268" s="5">
        <f>SUMIFS($I$3:$I$518,$A$3:$A$518,A268,$E$3:$E$518,E268)/SUMIFS(Question_Bank!$M$3:$M$14,Question_Bank!$B$3:$B$14,E268)</f>
        <v>0</v>
      </c>
      <c r="M268" t="s">
        <v>308</v>
      </c>
    </row>
    <row r="269" spans="1:13">
      <c r="A269" t="s">
        <v>307</v>
      </c>
      <c r="B269" t="s">
        <v>263</v>
      </c>
      <c r="C269" t="s">
        <v>133</v>
      </c>
      <c r="D269" t="s">
        <v>37</v>
      </c>
      <c r="E269" t="s">
        <v>15</v>
      </c>
      <c r="F269" t="s">
        <v>20</v>
      </c>
      <c r="G269">
        <f>INDEX(Question_Bank!$G$3:$G$14,MATCH(D269,Question_Bank!$A$3:$A$14,0))</f>
        <v>0</v>
      </c>
      <c r="H269">
        <f>IF(F269=G269,1,0)</f>
        <v>0</v>
      </c>
      <c r="I269">
        <f>H269*INDEX(Question_Bank!$M$3:$M$14,MATCH(D269,Question_Bank!$A$3:$A$14,0))</f>
        <v>0</v>
      </c>
      <c r="J269">
        <f>SUMIFS($I$3:$I$518,$A$3:$A$518,A269)</f>
        <v>0</v>
      </c>
      <c r="K269" s="5">
        <f>J269/SUM(Question_Bank!$M$3:$M$14)</f>
        <v>0</v>
      </c>
      <c r="L269" s="5">
        <f>SUMIFS($I$3:$I$518,$A$3:$A$518,A269,$E$3:$E$518,E269)/SUMIFS(Question_Bank!$M$3:$M$14,Question_Bank!$B$3:$B$14,E269)</f>
        <v>0</v>
      </c>
      <c r="M269" t="s">
        <v>308</v>
      </c>
    </row>
    <row r="270" spans="1:13">
      <c r="A270" t="s">
        <v>307</v>
      </c>
      <c r="B270" t="s">
        <v>263</v>
      </c>
      <c r="C270" t="s">
        <v>133</v>
      </c>
      <c r="D270" t="s">
        <v>45</v>
      </c>
      <c r="E270" t="s">
        <v>46</v>
      </c>
      <c r="F270" t="s">
        <v>34</v>
      </c>
      <c r="G270">
        <f>INDEX(Question_Bank!$G$3:$G$14,MATCH(D270,Question_Bank!$A$3:$A$14,0))</f>
        <v>0</v>
      </c>
      <c r="H270">
        <f>IF(F270=G270,1,0)</f>
        <v>0</v>
      </c>
      <c r="I270">
        <f>H270*INDEX(Question_Bank!$M$3:$M$14,MATCH(D270,Question_Bank!$A$3:$A$14,0))</f>
        <v>0</v>
      </c>
      <c r="J270">
        <f>SUMIFS($I$3:$I$518,$A$3:$A$518,A270)</f>
        <v>0</v>
      </c>
      <c r="K270" s="5">
        <f>J270/SUM(Question_Bank!$M$3:$M$14)</f>
        <v>0</v>
      </c>
      <c r="L270" s="5">
        <f>SUMIFS($I$3:$I$518,$A$3:$A$518,A270,$E$3:$E$518,E270)/SUMIFS(Question_Bank!$M$3:$M$14,Question_Bank!$B$3:$B$14,E270)</f>
        <v>0</v>
      </c>
      <c r="M270" t="s">
        <v>308</v>
      </c>
    </row>
    <row r="271" spans="1:13">
      <c r="A271" t="s">
        <v>307</v>
      </c>
      <c r="B271" t="s">
        <v>263</v>
      </c>
      <c r="C271" t="s">
        <v>133</v>
      </c>
      <c r="D271" t="s">
        <v>54</v>
      </c>
      <c r="E271" t="s">
        <v>46</v>
      </c>
      <c r="F271" t="s">
        <v>23</v>
      </c>
      <c r="G271">
        <f>INDEX(Question_Bank!$G$3:$G$14,MATCH(D271,Question_Bank!$A$3:$A$14,0))</f>
        <v>0</v>
      </c>
      <c r="H271">
        <f>IF(F271=G271,1,0)</f>
        <v>0</v>
      </c>
      <c r="I271">
        <f>H271*INDEX(Question_Bank!$M$3:$M$14,MATCH(D271,Question_Bank!$A$3:$A$14,0))</f>
        <v>0</v>
      </c>
      <c r="J271">
        <f>SUMIFS($I$3:$I$518,$A$3:$A$518,A271)</f>
        <v>0</v>
      </c>
      <c r="K271" s="5">
        <f>J271/SUM(Question_Bank!$M$3:$M$14)</f>
        <v>0</v>
      </c>
      <c r="L271" s="5">
        <f>SUMIFS($I$3:$I$518,$A$3:$A$518,A271,$E$3:$E$518,E271)/SUMIFS(Question_Bank!$M$3:$M$14,Question_Bank!$B$3:$B$14,E271)</f>
        <v>0</v>
      </c>
      <c r="M271" t="s">
        <v>308</v>
      </c>
    </row>
    <row r="272" spans="1:13">
      <c r="A272" t="s">
        <v>307</v>
      </c>
      <c r="B272" t="s">
        <v>263</v>
      </c>
      <c r="C272" t="s">
        <v>133</v>
      </c>
      <c r="D272" t="s">
        <v>62</v>
      </c>
      <c r="E272" t="s">
        <v>46</v>
      </c>
      <c r="F272" t="s">
        <v>20</v>
      </c>
      <c r="G272">
        <f>INDEX(Question_Bank!$G$3:$G$14,MATCH(D272,Question_Bank!$A$3:$A$14,0))</f>
        <v>0</v>
      </c>
      <c r="H272">
        <f>IF(F272=G272,1,0)</f>
        <v>0</v>
      </c>
      <c r="I272">
        <f>H272*INDEX(Question_Bank!$M$3:$M$14,MATCH(D272,Question_Bank!$A$3:$A$14,0))</f>
        <v>0</v>
      </c>
      <c r="J272">
        <f>SUMIFS($I$3:$I$518,$A$3:$A$518,A272)</f>
        <v>0</v>
      </c>
      <c r="K272" s="5">
        <f>J272/SUM(Question_Bank!$M$3:$M$14)</f>
        <v>0</v>
      </c>
      <c r="L272" s="5">
        <f>SUMIFS($I$3:$I$518,$A$3:$A$518,A272,$E$3:$E$518,E272)/SUMIFS(Question_Bank!$M$3:$M$14,Question_Bank!$B$3:$B$14,E272)</f>
        <v>0</v>
      </c>
      <c r="M272" t="s">
        <v>308</v>
      </c>
    </row>
    <row r="273" spans="1:13">
      <c r="A273" t="s">
        <v>307</v>
      </c>
      <c r="B273" t="s">
        <v>263</v>
      </c>
      <c r="C273" t="s">
        <v>133</v>
      </c>
      <c r="D273" t="s">
        <v>70</v>
      </c>
      <c r="E273" t="s">
        <v>71</v>
      </c>
      <c r="F273" t="s">
        <v>34</v>
      </c>
      <c r="G273">
        <f>INDEX(Question_Bank!$G$3:$G$14,MATCH(D273,Question_Bank!$A$3:$A$14,0))</f>
        <v>0</v>
      </c>
      <c r="H273">
        <f>IF(F273=G273,1,0)</f>
        <v>0</v>
      </c>
      <c r="I273">
        <f>H273*INDEX(Question_Bank!$M$3:$M$14,MATCH(D273,Question_Bank!$A$3:$A$14,0))</f>
        <v>0</v>
      </c>
      <c r="J273">
        <f>SUMIFS($I$3:$I$518,$A$3:$A$518,A273)</f>
        <v>0</v>
      </c>
      <c r="K273" s="5">
        <f>J273/SUM(Question_Bank!$M$3:$M$14)</f>
        <v>0</v>
      </c>
      <c r="L273" s="5">
        <f>SUMIFS($I$3:$I$518,$A$3:$A$518,A273,$E$3:$E$518,E273)/SUMIFS(Question_Bank!$M$3:$M$14,Question_Bank!$B$3:$B$14,E273)</f>
        <v>0</v>
      </c>
      <c r="M273" t="s">
        <v>308</v>
      </c>
    </row>
    <row r="274" spans="1:13">
      <c r="A274" t="s">
        <v>307</v>
      </c>
      <c r="B274" t="s">
        <v>263</v>
      </c>
      <c r="C274" t="s">
        <v>133</v>
      </c>
      <c r="D274" t="s">
        <v>79</v>
      </c>
      <c r="E274" t="s">
        <v>71</v>
      </c>
      <c r="F274" t="s">
        <v>31</v>
      </c>
      <c r="G274">
        <f>INDEX(Question_Bank!$G$3:$G$14,MATCH(D274,Question_Bank!$A$3:$A$14,0))</f>
        <v>0</v>
      </c>
      <c r="H274">
        <f>IF(F274=G274,1,0)</f>
        <v>0</v>
      </c>
      <c r="I274">
        <f>H274*INDEX(Question_Bank!$M$3:$M$14,MATCH(D274,Question_Bank!$A$3:$A$14,0))</f>
        <v>0</v>
      </c>
      <c r="J274">
        <f>SUMIFS($I$3:$I$518,$A$3:$A$518,A274)</f>
        <v>0</v>
      </c>
      <c r="K274" s="5">
        <f>J274/SUM(Question_Bank!$M$3:$M$14)</f>
        <v>0</v>
      </c>
      <c r="L274" s="5">
        <f>SUMIFS($I$3:$I$518,$A$3:$A$518,A274,$E$3:$E$518,E274)/SUMIFS(Question_Bank!$M$3:$M$14,Question_Bank!$B$3:$B$14,E274)</f>
        <v>0</v>
      </c>
      <c r="M274" t="s">
        <v>308</v>
      </c>
    </row>
    <row r="275" spans="1:13">
      <c r="A275" t="s">
        <v>307</v>
      </c>
      <c r="B275" t="s">
        <v>263</v>
      </c>
      <c r="C275" t="s">
        <v>133</v>
      </c>
      <c r="D275" t="s">
        <v>87</v>
      </c>
      <c r="E275" t="s">
        <v>71</v>
      </c>
      <c r="F275" t="s">
        <v>20</v>
      </c>
      <c r="G275">
        <f>INDEX(Question_Bank!$G$3:$G$14,MATCH(D275,Question_Bank!$A$3:$A$14,0))</f>
        <v>0</v>
      </c>
      <c r="H275">
        <f>IF(F275=G275,1,0)</f>
        <v>0</v>
      </c>
      <c r="I275">
        <f>H275*INDEX(Question_Bank!$M$3:$M$14,MATCH(D275,Question_Bank!$A$3:$A$14,0))</f>
        <v>0</v>
      </c>
      <c r="J275">
        <f>SUMIFS($I$3:$I$518,$A$3:$A$518,A275)</f>
        <v>0</v>
      </c>
      <c r="K275" s="5">
        <f>J275/SUM(Question_Bank!$M$3:$M$14)</f>
        <v>0</v>
      </c>
      <c r="L275" s="5">
        <f>SUMIFS($I$3:$I$518,$A$3:$A$518,A275,$E$3:$E$518,E275)/SUMIFS(Question_Bank!$M$3:$M$14,Question_Bank!$B$3:$B$14,E275)</f>
        <v>0</v>
      </c>
      <c r="M275" t="s">
        <v>308</v>
      </c>
    </row>
    <row r="276" spans="1:13">
      <c r="A276" t="s">
        <v>307</v>
      </c>
      <c r="B276" t="s">
        <v>263</v>
      </c>
      <c r="C276" t="s">
        <v>133</v>
      </c>
      <c r="D276" t="s">
        <v>95</v>
      </c>
      <c r="E276" t="s">
        <v>96</v>
      </c>
      <c r="F276" t="s">
        <v>23</v>
      </c>
      <c r="G276">
        <f>INDEX(Question_Bank!$G$3:$G$14,MATCH(D276,Question_Bank!$A$3:$A$14,0))</f>
        <v>0</v>
      </c>
      <c r="H276">
        <f>IF(F276=G276,1,0)</f>
        <v>0</v>
      </c>
      <c r="I276">
        <f>H276*INDEX(Question_Bank!$M$3:$M$14,MATCH(D276,Question_Bank!$A$3:$A$14,0))</f>
        <v>0</v>
      </c>
      <c r="J276">
        <f>SUMIFS($I$3:$I$518,$A$3:$A$518,A276)</f>
        <v>0</v>
      </c>
      <c r="K276" s="5">
        <f>J276/SUM(Question_Bank!$M$3:$M$14)</f>
        <v>0</v>
      </c>
      <c r="L276" s="5">
        <f>SUMIFS($I$3:$I$518,$A$3:$A$518,A276,$E$3:$E$518,E276)/SUMIFS(Question_Bank!$M$3:$M$14,Question_Bank!$B$3:$B$14,E276)</f>
        <v>0</v>
      </c>
      <c r="M276" t="s">
        <v>308</v>
      </c>
    </row>
    <row r="277" spans="1:13">
      <c r="A277" t="s">
        <v>307</v>
      </c>
      <c r="B277" t="s">
        <v>263</v>
      </c>
      <c r="C277" t="s">
        <v>133</v>
      </c>
      <c r="D277" t="s">
        <v>104</v>
      </c>
      <c r="E277" t="s">
        <v>96</v>
      </c>
      <c r="F277" t="s">
        <v>23</v>
      </c>
      <c r="G277">
        <f>INDEX(Question_Bank!$G$3:$G$14,MATCH(D277,Question_Bank!$A$3:$A$14,0))</f>
        <v>0</v>
      </c>
      <c r="H277">
        <f>IF(F277=G277,1,0)</f>
        <v>0</v>
      </c>
      <c r="I277">
        <f>H277*INDEX(Question_Bank!$M$3:$M$14,MATCH(D277,Question_Bank!$A$3:$A$14,0))</f>
        <v>0</v>
      </c>
      <c r="J277">
        <f>SUMIFS($I$3:$I$518,$A$3:$A$518,A277)</f>
        <v>0</v>
      </c>
      <c r="K277" s="5">
        <f>J277/SUM(Question_Bank!$M$3:$M$14)</f>
        <v>0</v>
      </c>
      <c r="L277" s="5">
        <f>SUMIFS($I$3:$I$518,$A$3:$A$518,A277,$E$3:$E$518,E277)/SUMIFS(Question_Bank!$M$3:$M$14,Question_Bank!$B$3:$B$14,E277)</f>
        <v>0</v>
      </c>
      <c r="M277" t="s">
        <v>308</v>
      </c>
    </row>
    <row r="278" spans="1:13">
      <c r="A278" t="s">
        <v>307</v>
      </c>
      <c r="B278" t="s">
        <v>263</v>
      </c>
      <c r="C278" t="s">
        <v>133</v>
      </c>
      <c r="D278" t="s">
        <v>112</v>
      </c>
      <c r="E278" t="s">
        <v>96</v>
      </c>
      <c r="F278" t="s">
        <v>23</v>
      </c>
      <c r="G278">
        <f>INDEX(Question_Bank!$G$3:$G$14,MATCH(D278,Question_Bank!$A$3:$A$14,0))</f>
        <v>0</v>
      </c>
      <c r="H278">
        <f>IF(F278=G278,1,0)</f>
        <v>0</v>
      </c>
      <c r="I278">
        <f>H278*INDEX(Question_Bank!$M$3:$M$14,MATCH(D278,Question_Bank!$A$3:$A$14,0))</f>
        <v>0</v>
      </c>
      <c r="J278">
        <f>SUMIFS($I$3:$I$518,$A$3:$A$518,A278)</f>
        <v>0</v>
      </c>
      <c r="K278" s="5">
        <f>J278/SUM(Question_Bank!$M$3:$M$14)</f>
        <v>0</v>
      </c>
      <c r="L278" s="5">
        <f>SUMIFS($I$3:$I$518,$A$3:$A$518,A278,$E$3:$E$518,E278)/SUMIFS(Question_Bank!$M$3:$M$14,Question_Bank!$B$3:$B$14,E278)</f>
        <v>0</v>
      </c>
      <c r="M278" t="s">
        <v>308</v>
      </c>
    </row>
    <row r="279" spans="1:13">
      <c r="A279" t="s">
        <v>309</v>
      </c>
      <c r="B279" t="s">
        <v>263</v>
      </c>
      <c r="C279" t="s">
        <v>133</v>
      </c>
      <c r="D279" t="s">
        <v>14</v>
      </c>
      <c r="E279" t="s">
        <v>15</v>
      </c>
      <c r="F279" t="s">
        <v>31</v>
      </c>
      <c r="G279">
        <f>INDEX(Question_Bank!$G$3:$G$14,MATCH(D279,Question_Bank!$A$3:$A$14,0))</f>
        <v>0</v>
      </c>
      <c r="H279">
        <f>IF(F279=G279,1,0)</f>
        <v>0</v>
      </c>
      <c r="I279">
        <f>H279*INDEX(Question_Bank!$M$3:$M$14,MATCH(D279,Question_Bank!$A$3:$A$14,0))</f>
        <v>0</v>
      </c>
      <c r="J279">
        <f>SUMIFS($I$3:$I$518,$A$3:$A$518,A279)</f>
        <v>0</v>
      </c>
      <c r="K279" s="5">
        <f>J279/SUM(Question_Bank!$M$3:$M$14)</f>
        <v>0</v>
      </c>
      <c r="L279" s="5">
        <f>SUMIFS($I$3:$I$518,$A$3:$A$518,A279,$E$3:$E$518,E279)/SUMIFS(Question_Bank!$M$3:$M$14,Question_Bank!$B$3:$B$14,E279)</f>
        <v>0</v>
      </c>
      <c r="M279" t="s">
        <v>310</v>
      </c>
    </row>
    <row r="280" spans="1:13">
      <c r="A280" t="s">
        <v>309</v>
      </c>
      <c r="B280" t="s">
        <v>263</v>
      </c>
      <c r="C280" t="s">
        <v>133</v>
      </c>
      <c r="D280" t="s">
        <v>26</v>
      </c>
      <c r="E280" t="s">
        <v>15</v>
      </c>
      <c r="F280" t="s">
        <v>31</v>
      </c>
      <c r="G280">
        <f>INDEX(Question_Bank!$G$3:$G$14,MATCH(D280,Question_Bank!$A$3:$A$14,0))</f>
        <v>0</v>
      </c>
      <c r="H280">
        <f>IF(F280=G280,1,0)</f>
        <v>0</v>
      </c>
      <c r="I280">
        <f>H280*INDEX(Question_Bank!$M$3:$M$14,MATCH(D280,Question_Bank!$A$3:$A$14,0))</f>
        <v>0</v>
      </c>
      <c r="J280">
        <f>SUMIFS($I$3:$I$518,$A$3:$A$518,A280)</f>
        <v>0</v>
      </c>
      <c r="K280" s="5">
        <f>J280/SUM(Question_Bank!$M$3:$M$14)</f>
        <v>0</v>
      </c>
      <c r="L280" s="5">
        <f>SUMIFS($I$3:$I$518,$A$3:$A$518,A280,$E$3:$E$518,E280)/SUMIFS(Question_Bank!$M$3:$M$14,Question_Bank!$B$3:$B$14,E280)</f>
        <v>0</v>
      </c>
      <c r="M280" t="s">
        <v>310</v>
      </c>
    </row>
    <row r="281" spans="1:13">
      <c r="A281" t="s">
        <v>309</v>
      </c>
      <c r="B281" t="s">
        <v>263</v>
      </c>
      <c r="C281" t="s">
        <v>133</v>
      </c>
      <c r="D281" t="s">
        <v>37</v>
      </c>
      <c r="E281" t="s">
        <v>15</v>
      </c>
      <c r="F281" t="s">
        <v>23</v>
      </c>
      <c r="G281">
        <f>INDEX(Question_Bank!$G$3:$G$14,MATCH(D281,Question_Bank!$A$3:$A$14,0))</f>
        <v>0</v>
      </c>
      <c r="H281">
        <f>IF(F281=G281,1,0)</f>
        <v>0</v>
      </c>
      <c r="I281">
        <f>H281*INDEX(Question_Bank!$M$3:$M$14,MATCH(D281,Question_Bank!$A$3:$A$14,0))</f>
        <v>0</v>
      </c>
      <c r="J281">
        <f>SUMIFS($I$3:$I$518,$A$3:$A$518,A281)</f>
        <v>0</v>
      </c>
      <c r="K281" s="5">
        <f>J281/SUM(Question_Bank!$M$3:$M$14)</f>
        <v>0</v>
      </c>
      <c r="L281" s="5">
        <f>SUMIFS($I$3:$I$518,$A$3:$A$518,A281,$E$3:$E$518,E281)/SUMIFS(Question_Bank!$M$3:$M$14,Question_Bank!$B$3:$B$14,E281)</f>
        <v>0</v>
      </c>
      <c r="M281" t="s">
        <v>310</v>
      </c>
    </row>
    <row r="282" spans="1:13">
      <c r="A282" t="s">
        <v>309</v>
      </c>
      <c r="B282" t="s">
        <v>263</v>
      </c>
      <c r="C282" t="s">
        <v>133</v>
      </c>
      <c r="D282" t="s">
        <v>45</v>
      </c>
      <c r="E282" t="s">
        <v>46</v>
      </c>
      <c r="F282" t="s">
        <v>34</v>
      </c>
      <c r="G282">
        <f>INDEX(Question_Bank!$G$3:$G$14,MATCH(D282,Question_Bank!$A$3:$A$14,0))</f>
        <v>0</v>
      </c>
      <c r="H282">
        <f>IF(F282=G282,1,0)</f>
        <v>0</v>
      </c>
      <c r="I282">
        <f>H282*INDEX(Question_Bank!$M$3:$M$14,MATCH(D282,Question_Bank!$A$3:$A$14,0))</f>
        <v>0</v>
      </c>
      <c r="J282">
        <f>SUMIFS($I$3:$I$518,$A$3:$A$518,A282)</f>
        <v>0</v>
      </c>
      <c r="K282" s="5">
        <f>J282/SUM(Question_Bank!$M$3:$M$14)</f>
        <v>0</v>
      </c>
      <c r="L282" s="5">
        <f>SUMIFS($I$3:$I$518,$A$3:$A$518,A282,$E$3:$E$518,E282)/SUMIFS(Question_Bank!$M$3:$M$14,Question_Bank!$B$3:$B$14,E282)</f>
        <v>0</v>
      </c>
      <c r="M282" t="s">
        <v>310</v>
      </c>
    </row>
    <row r="283" spans="1:13">
      <c r="A283" t="s">
        <v>309</v>
      </c>
      <c r="B283" t="s">
        <v>263</v>
      </c>
      <c r="C283" t="s">
        <v>133</v>
      </c>
      <c r="D283" t="s">
        <v>54</v>
      </c>
      <c r="E283" t="s">
        <v>46</v>
      </c>
      <c r="F283" t="s">
        <v>31</v>
      </c>
      <c r="G283">
        <f>INDEX(Question_Bank!$G$3:$G$14,MATCH(D283,Question_Bank!$A$3:$A$14,0))</f>
        <v>0</v>
      </c>
      <c r="H283">
        <f>IF(F283=G283,1,0)</f>
        <v>0</v>
      </c>
      <c r="I283">
        <f>H283*INDEX(Question_Bank!$M$3:$M$14,MATCH(D283,Question_Bank!$A$3:$A$14,0))</f>
        <v>0</v>
      </c>
      <c r="J283">
        <f>SUMIFS($I$3:$I$518,$A$3:$A$518,A283)</f>
        <v>0</v>
      </c>
      <c r="K283" s="5">
        <f>J283/SUM(Question_Bank!$M$3:$M$14)</f>
        <v>0</v>
      </c>
      <c r="L283" s="5">
        <f>SUMIFS($I$3:$I$518,$A$3:$A$518,A283,$E$3:$E$518,E283)/SUMIFS(Question_Bank!$M$3:$M$14,Question_Bank!$B$3:$B$14,E283)</f>
        <v>0</v>
      </c>
      <c r="M283" t="s">
        <v>310</v>
      </c>
    </row>
    <row r="284" spans="1:13">
      <c r="A284" t="s">
        <v>309</v>
      </c>
      <c r="B284" t="s">
        <v>263</v>
      </c>
      <c r="C284" t="s">
        <v>133</v>
      </c>
      <c r="D284" t="s">
        <v>62</v>
      </c>
      <c r="E284" t="s">
        <v>46</v>
      </c>
      <c r="F284" t="s">
        <v>31</v>
      </c>
      <c r="G284">
        <f>INDEX(Question_Bank!$G$3:$G$14,MATCH(D284,Question_Bank!$A$3:$A$14,0))</f>
        <v>0</v>
      </c>
      <c r="H284">
        <f>IF(F284=G284,1,0)</f>
        <v>0</v>
      </c>
      <c r="I284">
        <f>H284*INDEX(Question_Bank!$M$3:$M$14,MATCH(D284,Question_Bank!$A$3:$A$14,0))</f>
        <v>0</v>
      </c>
      <c r="J284">
        <f>SUMIFS($I$3:$I$518,$A$3:$A$518,A284)</f>
        <v>0</v>
      </c>
      <c r="K284" s="5">
        <f>J284/SUM(Question_Bank!$M$3:$M$14)</f>
        <v>0</v>
      </c>
      <c r="L284" s="5">
        <f>SUMIFS($I$3:$I$518,$A$3:$A$518,A284,$E$3:$E$518,E284)/SUMIFS(Question_Bank!$M$3:$M$14,Question_Bank!$B$3:$B$14,E284)</f>
        <v>0</v>
      </c>
      <c r="M284" t="s">
        <v>310</v>
      </c>
    </row>
    <row r="285" spans="1:13">
      <c r="A285" t="s">
        <v>309</v>
      </c>
      <c r="B285" t="s">
        <v>263</v>
      </c>
      <c r="C285" t="s">
        <v>133</v>
      </c>
      <c r="D285" t="s">
        <v>70</v>
      </c>
      <c r="E285" t="s">
        <v>71</v>
      </c>
      <c r="F285" t="s">
        <v>20</v>
      </c>
      <c r="G285">
        <f>INDEX(Question_Bank!$G$3:$G$14,MATCH(D285,Question_Bank!$A$3:$A$14,0))</f>
        <v>0</v>
      </c>
      <c r="H285">
        <f>IF(F285=G285,1,0)</f>
        <v>0</v>
      </c>
      <c r="I285">
        <f>H285*INDEX(Question_Bank!$M$3:$M$14,MATCH(D285,Question_Bank!$A$3:$A$14,0))</f>
        <v>0</v>
      </c>
      <c r="J285">
        <f>SUMIFS($I$3:$I$518,$A$3:$A$518,A285)</f>
        <v>0</v>
      </c>
      <c r="K285" s="5">
        <f>J285/SUM(Question_Bank!$M$3:$M$14)</f>
        <v>0</v>
      </c>
      <c r="L285" s="5">
        <f>SUMIFS($I$3:$I$518,$A$3:$A$518,A285,$E$3:$E$518,E285)/SUMIFS(Question_Bank!$M$3:$M$14,Question_Bank!$B$3:$B$14,E285)</f>
        <v>0</v>
      </c>
      <c r="M285" t="s">
        <v>310</v>
      </c>
    </row>
    <row r="286" spans="1:13">
      <c r="A286" t="s">
        <v>309</v>
      </c>
      <c r="B286" t="s">
        <v>263</v>
      </c>
      <c r="C286" t="s">
        <v>133</v>
      </c>
      <c r="D286" t="s">
        <v>79</v>
      </c>
      <c r="E286" t="s">
        <v>71</v>
      </c>
      <c r="F286" t="s">
        <v>34</v>
      </c>
      <c r="G286">
        <f>INDEX(Question_Bank!$G$3:$G$14,MATCH(D286,Question_Bank!$A$3:$A$14,0))</f>
        <v>0</v>
      </c>
      <c r="H286">
        <f>IF(F286=G286,1,0)</f>
        <v>0</v>
      </c>
      <c r="I286">
        <f>H286*INDEX(Question_Bank!$M$3:$M$14,MATCH(D286,Question_Bank!$A$3:$A$14,0))</f>
        <v>0</v>
      </c>
      <c r="J286">
        <f>SUMIFS($I$3:$I$518,$A$3:$A$518,A286)</f>
        <v>0</v>
      </c>
      <c r="K286" s="5">
        <f>J286/SUM(Question_Bank!$M$3:$M$14)</f>
        <v>0</v>
      </c>
      <c r="L286" s="5">
        <f>SUMIFS($I$3:$I$518,$A$3:$A$518,A286,$E$3:$E$518,E286)/SUMIFS(Question_Bank!$M$3:$M$14,Question_Bank!$B$3:$B$14,E286)</f>
        <v>0</v>
      </c>
      <c r="M286" t="s">
        <v>310</v>
      </c>
    </row>
    <row r="287" spans="1:13">
      <c r="A287" t="s">
        <v>309</v>
      </c>
      <c r="B287" t="s">
        <v>263</v>
      </c>
      <c r="C287" t="s">
        <v>133</v>
      </c>
      <c r="D287" t="s">
        <v>87</v>
      </c>
      <c r="E287" t="s">
        <v>71</v>
      </c>
      <c r="F287" t="s">
        <v>20</v>
      </c>
      <c r="G287">
        <f>INDEX(Question_Bank!$G$3:$G$14,MATCH(D287,Question_Bank!$A$3:$A$14,0))</f>
        <v>0</v>
      </c>
      <c r="H287">
        <f>IF(F287=G287,1,0)</f>
        <v>0</v>
      </c>
      <c r="I287">
        <f>H287*INDEX(Question_Bank!$M$3:$M$14,MATCH(D287,Question_Bank!$A$3:$A$14,0))</f>
        <v>0</v>
      </c>
      <c r="J287">
        <f>SUMIFS($I$3:$I$518,$A$3:$A$518,A287)</f>
        <v>0</v>
      </c>
      <c r="K287" s="5">
        <f>J287/SUM(Question_Bank!$M$3:$M$14)</f>
        <v>0</v>
      </c>
      <c r="L287" s="5">
        <f>SUMIFS($I$3:$I$518,$A$3:$A$518,A287,$E$3:$E$518,E287)/SUMIFS(Question_Bank!$M$3:$M$14,Question_Bank!$B$3:$B$14,E287)</f>
        <v>0</v>
      </c>
      <c r="M287" t="s">
        <v>310</v>
      </c>
    </row>
    <row r="288" spans="1:13">
      <c r="A288" t="s">
        <v>309</v>
      </c>
      <c r="B288" t="s">
        <v>263</v>
      </c>
      <c r="C288" t="s">
        <v>133</v>
      </c>
      <c r="D288" t="s">
        <v>95</v>
      </c>
      <c r="E288" t="s">
        <v>96</v>
      </c>
      <c r="F288" t="s">
        <v>31</v>
      </c>
      <c r="G288">
        <f>INDEX(Question_Bank!$G$3:$G$14,MATCH(D288,Question_Bank!$A$3:$A$14,0))</f>
        <v>0</v>
      </c>
      <c r="H288">
        <f>IF(F288=G288,1,0)</f>
        <v>0</v>
      </c>
      <c r="I288">
        <f>H288*INDEX(Question_Bank!$M$3:$M$14,MATCH(D288,Question_Bank!$A$3:$A$14,0))</f>
        <v>0</v>
      </c>
      <c r="J288">
        <f>SUMIFS($I$3:$I$518,$A$3:$A$518,A288)</f>
        <v>0</v>
      </c>
      <c r="K288" s="5">
        <f>J288/SUM(Question_Bank!$M$3:$M$14)</f>
        <v>0</v>
      </c>
      <c r="L288" s="5">
        <f>SUMIFS($I$3:$I$518,$A$3:$A$518,A288,$E$3:$E$518,E288)/SUMIFS(Question_Bank!$M$3:$M$14,Question_Bank!$B$3:$B$14,E288)</f>
        <v>0</v>
      </c>
      <c r="M288" t="s">
        <v>310</v>
      </c>
    </row>
    <row r="289" spans="1:13">
      <c r="A289" t="s">
        <v>309</v>
      </c>
      <c r="B289" t="s">
        <v>263</v>
      </c>
      <c r="C289" t="s">
        <v>133</v>
      </c>
      <c r="D289" t="s">
        <v>104</v>
      </c>
      <c r="E289" t="s">
        <v>96</v>
      </c>
      <c r="F289" t="s">
        <v>23</v>
      </c>
      <c r="G289">
        <f>INDEX(Question_Bank!$G$3:$G$14,MATCH(D289,Question_Bank!$A$3:$A$14,0))</f>
        <v>0</v>
      </c>
      <c r="H289">
        <f>IF(F289=G289,1,0)</f>
        <v>0</v>
      </c>
      <c r="I289">
        <f>H289*INDEX(Question_Bank!$M$3:$M$14,MATCH(D289,Question_Bank!$A$3:$A$14,0))</f>
        <v>0</v>
      </c>
      <c r="J289">
        <f>SUMIFS($I$3:$I$518,$A$3:$A$518,A289)</f>
        <v>0</v>
      </c>
      <c r="K289" s="5">
        <f>J289/SUM(Question_Bank!$M$3:$M$14)</f>
        <v>0</v>
      </c>
      <c r="L289" s="5">
        <f>SUMIFS($I$3:$I$518,$A$3:$A$518,A289,$E$3:$E$518,E289)/SUMIFS(Question_Bank!$M$3:$M$14,Question_Bank!$B$3:$B$14,E289)</f>
        <v>0</v>
      </c>
      <c r="M289" t="s">
        <v>310</v>
      </c>
    </row>
    <row r="290" spans="1:13">
      <c r="A290" t="s">
        <v>309</v>
      </c>
      <c r="B290" t="s">
        <v>263</v>
      </c>
      <c r="C290" t="s">
        <v>133</v>
      </c>
      <c r="D290" t="s">
        <v>112</v>
      </c>
      <c r="E290" t="s">
        <v>96</v>
      </c>
      <c r="F290" t="s">
        <v>34</v>
      </c>
      <c r="G290">
        <f>INDEX(Question_Bank!$G$3:$G$14,MATCH(D290,Question_Bank!$A$3:$A$14,0))</f>
        <v>0</v>
      </c>
      <c r="H290">
        <f>IF(F290=G290,1,0)</f>
        <v>0</v>
      </c>
      <c r="I290">
        <f>H290*INDEX(Question_Bank!$M$3:$M$14,MATCH(D290,Question_Bank!$A$3:$A$14,0))</f>
        <v>0</v>
      </c>
      <c r="J290">
        <f>SUMIFS($I$3:$I$518,$A$3:$A$518,A290)</f>
        <v>0</v>
      </c>
      <c r="K290" s="5">
        <f>J290/SUM(Question_Bank!$M$3:$M$14)</f>
        <v>0</v>
      </c>
      <c r="L290" s="5">
        <f>SUMIFS($I$3:$I$518,$A$3:$A$518,A290,$E$3:$E$518,E290)/SUMIFS(Question_Bank!$M$3:$M$14,Question_Bank!$B$3:$B$14,E290)</f>
        <v>0</v>
      </c>
      <c r="M290" t="s">
        <v>310</v>
      </c>
    </row>
    <row r="291" spans="1:13">
      <c r="A291" t="s">
        <v>311</v>
      </c>
      <c r="B291" t="s">
        <v>263</v>
      </c>
      <c r="C291" t="s">
        <v>133</v>
      </c>
      <c r="D291" t="s">
        <v>14</v>
      </c>
      <c r="E291" t="s">
        <v>15</v>
      </c>
      <c r="F291" t="s">
        <v>20</v>
      </c>
      <c r="G291">
        <f>INDEX(Question_Bank!$G$3:$G$14,MATCH(D291,Question_Bank!$A$3:$A$14,0))</f>
        <v>0</v>
      </c>
      <c r="H291">
        <f>IF(F291=G291,1,0)</f>
        <v>0</v>
      </c>
      <c r="I291">
        <f>H291*INDEX(Question_Bank!$M$3:$M$14,MATCH(D291,Question_Bank!$A$3:$A$14,0))</f>
        <v>0</v>
      </c>
      <c r="J291">
        <f>SUMIFS($I$3:$I$518,$A$3:$A$518,A291)</f>
        <v>0</v>
      </c>
      <c r="K291" s="5">
        <f>J291/SUM(Question_Bank!$M$3:$M$14)</f>
        <v>0</v>
      </c>
      <c r="L291" s="5">
        <f>SUMIFS($I$3:$I$518,$A$3:$A$518,A291,$E$3:$E$518,E291)/SUMIFS(Question_Bank!$M$3:$M$14,Question_Bank!$B$3:$B$14,E291)</f>
        <v>0</v>
      </c>
      <c r="M291" t="s">
        <v>312</v>
      </c>
    </row>
    <row r="292" spans="1:13">
      <c r="A292" t="s">
        <v>311</v>
      </c>
      <c r="B292" t="s">
        <v>263</v>
      </c>
      <c r="C292" t="s">
        <v>133</v>
      </c>
      <c r="D292" t="s">
        <v>26</v>
      </c>
      <c r="E292" t="s">
        <v>15</v>
      </c>
      <c r="F292" t="s">
        <v>31</v>
      </c>
      <c r="G292">
        <f>INDEX(Question_Bank!$G$3:$G$14,MATCH(D292,Question_Bank!$A$3:$A$14,0))</f>
        <v>0</v>
      </c>
      <c r="H292">
        <f>IF(F292=G292,1,0)</f>
        <v>0</v>
      </c>
      <c r="I292">
        <f>H292*INDEX(Question_Bank!$M$3:$M$14,MATCH(D292,Question_Bank!$A$3:$A$14,0))</f>
        <v>0</v>
      </c>
      <c r="J292">
        <f>SUMIFS($I$3:$I$518,$A$3:$A$518,A292)</f>
        <v>0</v>
      </c>
      <c r="K292" s="5">
        <f>J292/SUM(Question_Bank!$M$3:$M$14)</f>
        <v>0</v>
      </c>
      <c r="L292" s="5">
        <f>SUMIFS($I$3:$I$518,$A$3:$A$518,A292,$E$3:$E$518,E292)/SUMIFS(Question_Bank!$M$3:$M$14,Question_Bank!$B$3:$B$14,E292)</f>
        <v>0</v>
      </c>
      <c r="M292" t="s">
        <v>312</v>
      </c>
    </row>
    <row r="293" spans="1:13">
      <c r="A293" t="s">
        <v>311</v>
      </c>
      <c r="B293" t="s">
        <v>263</v>
      </c>
      <c r="C293" t="s">
        <v>133</v>
      </c>
      <c r="D293" t="s">
        <v>37</v>
      </c>
      <c r="E293" t="s">
        <v>15</v>
      </c>
      <c r="F293" t="s">
        <v>31</v>
      </c>
      <c r="G293">
        <f>INDEX(Question_Bank!$G$3:$G$14,MATCH(D293,Question_Bank!$A$3:$A$14,0))</f>
        <v>0</v>
      </c>
      <c r="H293">
        <f>IF(F293=G293,1,0)</f>
        <v>0</v>
      </c>
      <c r="I293">
        <f>H293*INDEX(Question_Bank!$M$3:$M$14,MATCH(D293,Question_Bank!$A$3:$A$14,0))</f>
        <v>0</v>
      </c>
      <c r="J293">
        <f>SUMIFS($I$3:$I$518,$A$3:$A$518,A293)</f>
        <v>0</v>
      </c>
      <c r="K293" s="5">
        <f>J293/SUM(Question_Bank!$M$3:$M$14)</f>
        <v>0</v>
      </c>
      <c r="L293" s="5">
        <f>SUMIFS($I$3:$I$518,$A$3:$A$518,A293,$E$3:$E$518,E293)/SUMIFS(Question_Bank!$M$3:$M$14,Question_Bank!$B$3:$B$14,E293)</f>
        <v>0</v>
      </c>
      <c r="M293" t="s">
        <v>312</v>
      </c>
    </row>
    <row r="294" spans="1:13">
      <c r="A294" t="s">
        <v>311</v>
      </c>
      <c r="B294" t="s">
        <v>263</v>
      </c>
      <c r="C294" t="s">
        <v>133</v>
      </c>
      <c r="D294" t="s">
        <v>45</v>
      </c>
      <c r="E294" t="s">
        <v>46</v>
      </c>
      <c r="F294" t="s">
        <v>34</v>
      </c>
      <c r="G294">
        <f>INDEX(Question_Bank!$G$3:$G$14,MATCH(D294,Question_Bank!$A$3:$A$14,0))</f>
        <v>0</v>
      </c>
      <c r="H294">
        <f>IF(F294=G294,1,0)</f>
        <v>0</v>
      </c>
      <c r="I294">
        <f>H294*INDEX(Question_Bank!$M$3:$M$14,MATCH(D294,Question_Bank!$A$3:$A$14,0))</f>
        <v>0</v>
      </c>
      <c r="J294">
        <f>SUMIFS($I$3:$I$518,$A$3:$A$518,A294)</f>
        <v>0</v>
      </c>
      <c r="K294" s="5">
        <f>J294/SUM(Question_Bank!$M$3:$M$14)</f>
        <v>0</v>
      </c>
      <c r="L294" s="5">
        <f>SUMIFS($I$3:$I$518,$A$3:$A$518,A294,$E$3:$E$518,E294)/SUMIFS(Question_Bank!$M$3:$M$14,Question_Bank!$B$3:$B$14,E294)</f>
        <v>0</v>
      </c>
      <c r="M294" t="s">
        <v>312</v>
      </c>
    </row>
    <row r="295" spans="1:13">
      <c r="A295" t="s">
        <v>311</v>
      </c>
      <c r="B295" t="s">
        <v>263</v>
      </c>
      <c r="C295" t="s">
        <v>133</v>
      </c>
      <c r="D295" t="s">
        <v>54</v>
      </c>
      <c r="E295" t="s">
        <v>46</v>
      </c>
      <c r="F295" t="s">
        <v>34</v>
      </c>
      <c r="G295">
        <f>INDEX(Question_Bank!$G$3:$G$14,MATCH(D295,Question_Bank!$A$3:$A$14,0))</f>
        <v>0</v>
      </c>
      <c r="H295">
        <f>IF(F295=G295,1,0)</f>
        <v>0</v>
      </c>
      <c r="I295">
        <f>H295*INDEX(Question_Bank!$M$3:$M$14,MATCH(D295,Question_Bank!$A$3:$A$14,0))</f>
        <v>0</v>
      </c>
      <c r="J295">
        <f>SUMIFS($I$3:$I$518,$A$3:$A$518,A295)</f>
        <v>0</v>
      </c>
      <c r="K295" s="5">
        <f>J295/SUM(Question_Bank!$M$3:$M$14)</f>
        <v>0</v>
      </c>
      <c r="L295" s="5">
        <f>SUMIFS($I$3:$I$518,$A$3:$A$518,A295,$E$3:$E$518,E295)/SUMIFS(Question_Bank!$M$3:$M$14,Question_Bank!$B$3:$B$14,E295)</f>
        <v>0</v>
      </c>
      <c r="M295" t="s">
        <v>312</v>
      </c>
    </row>
    <row r="296" spans="1:13">
      <c r="A296" t="s">
        <v>311</v>
      </c>
      <c r="B296" t="s">
        <v>263</v>
      </c>
      <c r="C296" t="s">
        <v>133</v>
      </c>
      <c r="D296" t="s">
        <v>62</v>
      </c>
      <c r="E296" t="s">
        <v>46</v>
      </c>
      <c r="F296" t="s">
        <v>31</v>
      </c>
      <c r="G296">
        <f>INDEX(Question_Bank!$G$3:$G$14,MATCH(D296,Question_Bank!$A$3:$A$14,0))</f>
        <v>0</v>
      </c>
      <c r="H296">
        <f>IF(F296=G296,1,0)</f>
        <v>0</v>
      </c>
      <c r="I296">
        <f>H296*INDEX(Question_Bank!$M$3:$M$14,MATCH(D296,Question_Bank!$A$3:$A$14,0))</f>
        <v>0</v>
      </c>
      <c r="J296">
        <f>SUMIFS($I$3:$I$518,$A$3:$A$518,A296)</f>
        <v>0</v>
      </c>
      <c r="K296" s="5">
        <f>J296/SUM(Question_Bank!$M$3:$M$14)</f>
        <v>0</v>
      </c>
      <c r="L296" s="5">
        <f>SUMIFS($I$3:$I$518,$A$3:$A$518,A296,$E$3:$E$518,E296)/SUMIFS(Question_Bank!$M$3:$M$14,Question_Bank!$B$3:$B$14,E296)</f>
        <v>0</v>
      </c>
      <c r="M296" t="s">
        <v>312</v>
      </c>
    </row>
    <row r="297" spans="1:13">
      <c r="A297" t="s">
        <v>311</v>
      </c>
      <c r="B297" t="s">
        <v>263</v>
      </c>
      <c r="C297" t="s">
        <v>133</v>
      </c>
      <c r="D297" t="s">
        <v>70</v>
      </c>
      <c r="E297" t="s">
        <v>71</v>
      </c>
      <c r="F297" t="s">
        <v>23</v>
      </c>
      <c r="G297">
        <f>INDEX(Question_Bank!$G$3:$G$14,MATCH(D297,Question_Bank!$A$3:$A$14,0))</f>
        <v>0</v>
      </c>
      <c r="H297">
        <f>IF(F297=G297,1,0)</f>
        <v>0</v>
      </c>
      <c r="I297">
        <f>H297*INDEX(Question_Bank!$M$3:$M$14,MATCH(D297,Question_Bank!$A$3:$A$14,0))</f>
        <v>0</v>
      </c>
      <c r="J297">
        <f>SUMIFS($I$3:$I$518,$A$3:$A$518,A297)</f>
        <v>0</v>
      </c>
      <c r="K297" s="5">
        <f>J297/SUM(Question_Bank!$M$3:$M$14)</f>
        <v>0</v>
      </c>
      <c r="L297" s="5">
        <f>SUMIFS($I$3:$I$518,$A$3:$A$518,A297,$E$3:$E$518,E297)/SUMIFS(Question_Bank!$M$3:$M$14,Question_Bank!$B$3:$B$14,E297)</f>
        <v>0</v>
      </c>
      <c r="M297" t="s">
        <v>312</v>
      </c>
    </row>
    <row r="298" spans="1:13">
      <c r="A298" t="s">
        <v>311</v>
      </c>
      <c r="B298" t="s">
        <v>263</v>
      </c>
      <c r="C298" t="s">
        <v>133</v>
      </c>
      <c r="D298" t="s">
        <v>79</v>
      </c>
      <c r="E298" t="s">
        <v>71</v>
      </c>
      <c r="F298" t="s">
        <v>34</v>
      </c>
      <c r="G298">
        <f>INDEX(Question_Bank!$G$3:$G$14,MATCH(D298,Question_Bank!$A$3:$A$14,0))</f>
        <v>0</v>
      </c>
      <c r="H298">
        <f>IF(F298=G298,1,0)</f>
        <v>0</v>
      </c>
      <c r="I298">
        <f>H298*INDEX(Question_Bank!$M$3:$M$14,MATCH(D298,Question_Bank!$A$3:$A$14,0))</f>
        <v>0</v>
      </c>
      <c r="J298">
        <f>SUMIFS($I$3:$I$518,$A$3:$A$518,A298)</f>
        <v>0</v>
      </c>
      <c r="K298" s="5">
        <f>J298/SUM(Question_Bank!$M$3:$M$14)</f>
        <v>0</v>
      </c>
      <c r="L298" s="5">
        <f>SUMIFS($I$3:$I$518,$A$3:$A$518,A298,$E$3:$E$518,E298)/SUMIFS(Question_Bank!$M$3:$M$14,Question_Bank!$B$3:$B$14,E298)</f>
        <v>0</v>
      </c>
      <c r="M298" t="s">
        <v>312</v>
      </c>
    </row>
    <row r="299" spans="1:13">
      <c r="A299" t="s">
        <v>311</v>
      </c>
      <c r="B299" t="s">
        <v>263</v>
      </c>
      <c r="C299" t="s">
        <v>133</v>
      </c>
      <c r="D299" t="s">
        <v>87</v>
      </c>
      <c r="E299" t="s">
        <v>71</v>
      </c>
      <c r="F299" t="s">
        <v>23</v>
      </c>
      <c r="G299">
        <f>INDEX(Question_Bank!$G$3:$G$14,MATCH(D299,Question_Bank!$A$3:$A$14,0))</f>
        <v>0</v>
      </c>
      <c r="H299">
        <f>IF(F299=G299,1,0)</f>
        <v>0</v>
      </c>
      <c r="I299">
        <f>H299*INDEX(Question_Bank!$M$3:$M$14,MATCH(D299,Question_Bank!$A$3:$A$14,0))</f>
        <v>0</v>
      </c>
      <c r="J299">
        <f>SUMIFS($I$3:$I$518,$A$3:$A$518,A299)</f>
        <v>0</v>
      </c>
      <c r="K299" s="5">
        <f>J299/SUM(Question_Bank!$M$3:$M$14)</f>
        <v>0</v>
      </c>
      <c r="L299" s="5">
        <f>SUMIFS($I$3:$I$518,$A$3:$A$518,A299,$E$3:$E$518,E299)/SUMIFS(Question_Bank!$M$3:$M$14,Question_Bank!$B$3:$B$14,E299)</f>
        <v>0</v>
      </c>
      <c r="M299" t="s">
        <v>312</v>
      </c>
    </row>
    <row r="300" spans="1:13">
      <c r="A300" t="s">
        <v>311</v>
      </c>
      <c r="B300" t="s">
        <v>263</v>
      </c>
      <c r="C300" t="s">
        <v>133</v>
      </c>
      <c r="D300" t="s">
        <v>95</v>
      </c>
      <c r="E300" t="s">
        <v>96</v>
      </c>
      <c r="F300" t="s">
        <v>31</v>
      </c>
      <c r="G300">
        <f>INDEX(Question_Bank!$G$3:$G$14,MATCH(D300,Question_Bank!$A$3:$A$14,0))</f>
        <v>0</v>
      </c>
      <c r="H300">
        <f>IF(F300=G300,1,0)</f>
        <v>0</v>
      </c>
      <c r="I300">
        <f>H300*INDEX(Question_Bank!$M$3:$M$14,MATCH(D300,Question_Bank!$A$3:$A$14,0))</f>
        <v>0</v>
      </c>
      <c r="J300">
        <f>SUMIFS($I$3:$I$518,$A$3:$A$518,A300)</f>
        <v>0</v>
      </c>
      <c r="K300" s="5">
        <f>J300/SUM(Question_Bank!$M$3:$M$14)</f>
        <v>0</v>
      </c>
      <c r="L300" s="5">
        <f>SUMIFS($I$3:$I$518,$A$3:$A$518,A300,$E$3:$E$518,E300)/SUMIFS(Question_Bank!$M$3:$M$14,Question_Bank!$B$3:$B$14,E300)</f>
        <v>0</v>
      </c>
      <c r="M300" t="s">
        <v>312</v>
      </c>
    </row>
    <row r="301" spans="1:13">
      <c r="A301" t="s">
        <v>311</v>
      </c>
      <c r="B301" t="s">
        <v>263</v>
      </c>
      <c r="C301" t="s">
        <v>133</v>
      </c>
      <c r="D301" t="s">
        <v>104</v>
      </c>
      <c r="E301" t="s">
        <v>96</v>
      </c>
      <c r="F301" t="s">
        <v>23</v>
      </c>
      <c r="G301">
        <f>INDEX(Question_Bank!$G$3:$G$14,MATCH(D301,Question_Bank!$A$3:$A$14,0))</f>
        <v>0</v>
      </c>
      <c r="H301">
        <f>IF(F301=G301,1,0)</f>
        <v>0</v>
      </c>
      <c r="I301">
        <f>H301*INDEX(Question_Bank!$M$3:$M$14,MATCH(D301,Question_Bank!$A$3:$A$14,0))</f>
        <v>0</v>
      </c>
      <c r="J301">
        <f>SUMIFS($I$3:$I$518,$A$3:$A$518,A301)</f>
        <v>0</v>
      </c>
      <c r="K301" s="5">
        <f>J301/SUM(Question_Bank!$M$3:$M$14)</f>
        <v>0</v>
      </c>
      <c r="L301" s="5">
        <f>SUMIFS($I$3:$I$518,$A$3:$A$518,A301,$E$3:$E$518,E301)/SUMIFS(Question_Bank!$M$3:$M$14,Question_Bank!$B$3:$B$14,E301)</f>
        <v>0</v>
      </c>
      <c r="M301" t="s">
        <v>312</v>
      </c>
    </row>
    <row r="302" spans="1:13">
      <c r="A302" t="s">
        <v>311</v>
      </c>
      <c r="B302" t="s">
        <v>263</v>
      </c>
      <c r="C302" t="s">
        <v>133</v>
      </c>
      <c r="D302" t="s">
        <v>112</v>
      </c>
      <c r="E302" t="s">
        <v>96</v>
      </c>
      <c r="F302" t="s">
        <v>34</v>
      </c>
      <c r="G302">
        <f>INDEX(Question_Bank!$G$3:$G$14,MATCH(D302,Question_Bank!$A$3:$A$14,0))</f>
        <v>0</v>
      </c>
      <c r="H302">
        <f>IF(F302=G302,1,0)</f>
        <v>0</v>
      </c>
      <c r="I302">
        <f>H302*INDEX(Question_Bank!$M$3:$M$14,MATCH(D302,Question_Bank!$A$3:$A$14,0))</f>
        <v>0</v>
      </c>
      <c r="J302">
        <f>SUMIFS($I$3:$I$518,$A$3:$A$518,A302)</f>
        <v>0</v>
      </c>
      <c r="K302" s="5">
        <f>J302/SUM(Question_Bank!$M$3:$M$14)</f>
        <v>0</v>
      </c>
      <c r="L302" s="5">
        <f>SUMIFS($I$3:$I$518,$A$3:$A$518,A302,$E$3:$E$518,E302)/SUMIFS(Question_Bank!$M$3:$M$14,Question_Bank!$B$3:$B$14,E302)</f>
        <v>0</v>
      </c>
      <c r="M302" t="s">
        <v>312</v>
      </c>
    </row>
    <row r="303" spans="1:13">
      <c r="A303" t="s">
        <v>313</v>
      </c>
      <c r="B303" t="s">
        <v>263</v>
      </c>
      <c r="C303" t="s">
        <v>133</v>
      </c>
      <c r="D303" t="s">
        <v>14</v>
      </c>
      <c r="E303" t="s">
        <v>15</v>
      </c>
      <c r="F303" t="s">
        <v>20</v>
      </c>
      <c r="G303">
        <f>INDEX(Question_Bank!$G$3:$G$14,MATCH(D303,Question_Bank!$A$3:$A$14,0))</f>
        <v>0</v>
      </c>
      <c r="H303">
        <f>IF(F303=G303,1,0)</f>
        <v>0</v>
      </c>
      <c r="I303">
        <f>H303*INDEX(Question_Bank!$M$3:$M$14,MATCH(D303,Question_Bank!$A$3:$A$14,0))</f>
        <v>0</v>
      </c>
      <c r="J303">
        <f>SUMIFS($I$3:$I$518,$A$3:$A$518,A303)</f>
        <v>0</v>
      </c>
      <c r="K303" s="5">
        <f>J303/SUM(Question_Bank!$M$3:$M$14)</f>
        <v>0</v>
      </c>
      <c r="L303" s="5">
        <f>SUMIFS($I$3:$I$518,$A$3:$A$518,A303,$E$3:$E$518,E303)/SUMIFS(Question_Bank!$M$3:$M$14,Question_Bank!$B$3:$B$14,E303)</f>
        <v>0</v>
      </c>
      <c r="M303" t="s">
        <v>314</v>
      </c>
    </row>
    <row r="304" spans="1:13">
      <c r="A304" t="s">
        <v>313</v>
      </c>
      <c r="B304" t="s">
        <v>263</v>
      </c>
      <c r="C304" t="s">
        <v>133</v>
      </c>
      <c r="D304" t="s">
        <v>26</v>
      </c>
      <c r="E304" t="s">
        <v>15</v>
      </c>
      <c r="F304" t="s">
        <v>34</v>
      </c>
      <c r="G304">
        <f>INDEX(Question_Bank!$G$3:$G$14,MATCH(D304,Question_Bank!$A$3:$A$14,0))</f>
        <v>0</v>
      </c>
      <c r="H304">
        <f>IF(F304=G304,1,0)</f>
        <v>0</v>
      </c>
      <c r="I304">
        <f>H304*INDEX(Question_Bank!$M$3:$M$14,MATCH(D304,Question_Bank!$A$3:$A$14,0))</f>
        <v>0</v>
      </c>
      <c r="J304">
        <f>SUMIFS($I$3:$I$518,$A$3:$A$518,A304)</f>
        <v>0</v>
      </c>
      <c r="K304" s="5">
        <f>J304/SUM(Question_Bank!$M$3:$M$14)</f>
        <v>0</v>
      </c>
      <c r="L304" s="5">
        <f>SUMIFS($I$3:$I$518,$A$3:$A$518,A304,$E$3:$E$518,E304)/SUMIFS(Question_Bank!$M$3:$M$14,Question_Bank!$B$3:$B$14,E304)</f>
        <v>0</v>
      </c>
      <c r="M304" t="s">
        <v>314</v>
      </c>
    </row>
    <row r="305" spans="1:13">
      <c r="A305" t="s">
        <v>313</v>
      </c>
      <c r="B305" t="s">
        <v>263</v>
      </c>
      <c r="C305" t="s">
        <v>133</v>
      </c>
      <c r="D305" t="s">
        <v>37</v>
      </c>
      <c r="E305" t="s">
        <v>15</v>
      </c>
      <c r="F305" t="s">
        <v>34</v>
      </c>
      <c r="G305">
        <f>INDEX(Question_Bank!$G$3:$G$14,MATCH(D305,Question_Bank!$A$3:$A$14,0))</f>
        <v>0</v>
      </c>
      <c r="H305">
        <f>IF(F305=G305,1,0)</f>
        <v>0</v>
      </c>
      <c r="I305">
        <f>H305*INDEX(Question_Bank!$M$3:$M$14,MATCH(D305,Question_Bank!$A$3:$A$14,0))</f>
        <v>0</v>
      </c>
      <c r="J305">
        <f>SUMIFS($I$3:$I$518,$A$3:$A$518,A305)</f>
        <v>0</v>
      </c>
      <c r="K305" s="5">
        <f>J305/SUM(Question_Bank!$M$3:$M$14)</f>
        <v>0</v>
      </c>
      <c r="L305" s="5">
        <f>SUMIFS($I$3:$I$518,$A$3:$A$518,A305,$E$3:$E$518,E305)/SUMIFS(Question_Bank!$M$3:$M$14,Question_Bank!$B$3:$B$14,E305)</f>
        <v>0</v>
      </c>
      <c r="M305" t="s">
        <v>314</v>
      </c>
    </row>
    <row r="306" spans="1:13">
      <c r="A306" t="s">
        <v>313</v>
      </c>
      <c r="B306" t="s">
        <v>263</v>
      </c>
      <c r="C306" t="s">
        <v>133</v>
      </c>
      <c r="D306" t="s">
        <v>45</v>
      </c>
      <c r="E306" t="s">
        <v>46</v>
      </c>
      <c r="F306" t="s">
        <v>20</v>
      </c>
      <c r="G306">
        <f>INDEX(Question_Bank!$G$3:$G$14,MATCH(D306,Question_Bank!$A$3:$A$14,0))</f>
        <v>0</v>
      </c>
      <c r="H306">
        <f>IF(F306=G306,1,0)</f>
        <v>0</v>
      </c>
      <c r="I306">
        <f>H306*INDEX(Question_Bank!$M$3:$M$14,MATCH(D306,Question_Bank!$A$3:$A$14,0))</f>
        <v>0</v>
      </c>
      <c r="J306">
        <f>SUMIFS($I$3:$I$518,$A$3:$A$518,A306)</f>
        <v>0</v>
      </c>
      <c r="K306" s="5">
        <f>J306/SUM(Question_Bank!$M$3:$M$14)</f>
        <v>0</v>
      </c>
      <c r="L306" s="5">
        <f>SUMIFS($I$3:$I$518,$A$3:$A$518,A306,$E$3:$E$518,E306)/SUMIFS(Question_Bank!$M$3:$M$14,Question_Bank!$B$3:$B$14,E306)</f>
        <v>0</v>
      </c>
      <c r="M306" t="s">
        <v>314</v>
      </c>
    </row>
    <row r="307" spans="1:13">
      <c r="A307" t="s">
        <v>313</v>
      </c>
      <c r="B307" t="s">
        <v>263</v>
      </c>
      <c r="C307" t="s">
        <v>133</v>
      </c>
      <c r="D307" t="s">
        <v>54</v>
      </c>
      <c r="E307" t="s">
        <v>46</v>
      </c>
      <c r="F307" t="s">
        <v>34</v>
      </c>
      <c r="G307">
        <f>INDEX(Question_Bank!$G$3:$G$14,MATCH(D307,Question_Bank!$A$3:$A$14,0))</f>
        <v>0</v>
      </c>
      <c r="H307">
        <f>IF(F307=G307,1,0)</f>
        <v>0</v>
      </c>
      <c r="I307">
        <f>H307*INDEX(Question_Bank!$M$3:$M$14,MATCH(D307,Question_Bank!$A$3:$A$14,0))</f>
        <v>0</v>
      </c>
      <c r="J307">
        <f>SUMIFS($I$3:$I$518,$A$3:$A$518,A307)</f>
        <v>0</v>
      </c>
      <c r="K307" s="5">
        <f>J307/SUM(Question_Bank!$M$3:$M$14)</f>
        <v>0</v>
      </c>
      <c r="L307" s="5">
        <f>SUMIFS($I$3:$I$518,$A$3:$A$518,A307,$E$3:$E$518,E307)/SUMIFS(Question_Bank!$M$3:$M$14,Question_Bank!$B$3:$B$14,E307)</f>
        <v>0</v>
      </c>
      <c r="M307" t="s">
        <v>314</v>
      </c>
    </row>
    <row r="308" spans="1:13">
      <c r="A308" t="s">
        <v>313</v>
      </c>
      <c r="B308" t="s">
        <v>263</v>
      </c>
      <c r="C308" t="s">
        <v>133</v>
      </c>
      <c r="D308" t="s">
        <v>62</v>
      </c>
      <c r="E308" t="s">
        <v>46</v>
      </c>
      <c r="F308" t="s">
        <v>20</v>
      </c>
      <c r="G308">
        <f>INDEX(Question_Bank!$G$3:$G$14,MATCH(D308,Question_Bank!$A$3:$A$14,0))</f>
        <v>0</v>
      </c>
      <c r="H308">
        <f>IF(F308=G308,1,0)</f>
        <v>0</v>
      </c>
      <c r="I308">
        <f>H308*INDEX(Question_Bank!$M$3:$M$14,MATCH(D308,Question_Bank!$A$3:$A$14,0))</f>
        <v>0</v>
      </c>
      <c r="J308">
        <f>SUMIFS($I$3:$I$518,$A$3:$A$518,A308)</f>
        <v>0</v>
      </c>
      <c r="K308" s="5">
        <f>J308/SUM(Question_Bank!$M$3:$M$14)</f>
        <v>0</v>
      </c>
      <c r="L308" s="5">
        <f>SUMIFS($I$3:$I$518,$A$3:$A$518,A308,$E$3:$E$518,E308)/SUMIFS(Question_Bank!$M$3:$M$14,Question_Bank!$B$3:$B$14,E308)</f>
        <v>0</v>
      </c>
      <c r="M308" t="s">
        <v>314</v>
      </c>
    </row>
    <row r="309" spans="1:13">
      <c r="A309" t="s">
        <v>313</v>
      </c>
      <c r="B309" t="s">
        <v>263</v>
      </c>
      <c r="C309" t="s">
        <v>133</v>
      </c>
      <c r="D309" t="s">
        <v>70</v>
      </c>
      <c r="E309" t="s">
        <v>71</v>
      </c>
      <c r="F309" t="s">
        <v>31</v>
      </c>
      <c r="G309">
        <f>INDEX(Question_Bank!$G$3:$G$14,MATCH(D309,Question_Bank!$A$3:$A$14,0))</f>
        <v>0</v>
      </c>
      <c r="H309">
        <f>IF(F309=G309,1,0)</f>
        <v>0</v>
      </c>
      <c r="I309">
        <f>H309*INDEX(Question_Bank!$M$3:$M$14,MATCH(D309,Question_Bank!$A$3:$A$14,0))</f>
        <v>0</v>
      </c>
      <c r="J309">
        <f>SUMIFS($I$3:$I$518,$A$3:$A$518,A309)</f>
        <v>0</v>
      </c>
      <c r="K309" s="5">
        <f>J309/SUM(Question_Bank!$M$3:$M$14)</f>
        <v>0</v>
      </c>
      <c r="L309" s="5">
        <f>SUMIFS($I$3:$I$518,$A$3:$A$518,A309,$E$3:$E$518,E309)/SUMIFS(Question_Bank!$M$3:$M$14,Question_Bank!$B$3:$B$14,E309)</f>
        <v>0</v>
      </c>
      <c r="M309" t="s">
        <v>314</v>
      </c>
    </row>
    <row r="310" spans="1:13">
      <c r="A310" t="s">
        <v>313</v>
      </c>
      <c r="B310" t="s">
        <v>263</v>
      </c>
      <c r="C310" t="s">
        <v>133</v>
      </c>
      <c r="D310" t="s">
        <v>79</v>
      </c>
      <c r="E310" t="s">
        <v>71</v>
      </c>
      <c r="F310" t="s">
        <v>23</v>
      </c>
      <c r="G310">
        <f>INDEX(Question_Bank!$G$3:$G$14,MATCH(D310,Question_Bank!$A$3:$A$14,0))</f>
        <v>0</v>
      </c>
      <c r="H310">
        <f>IF(F310=G310,1,0)</f>
        <v>0</v>
      </c>
      <c r="I310">
        <f>H310*INDEX(Question_Bank!$M$3:$M$14,MATCH(D310,Question_Bank!$A$3:$A$14,0))</f>
        <v>0</v>
      </c>
      <c r="J310">
        <f>SUMIFS($I$3:$I$518,$A$3:$A$518,A310)</f>
        <v>0</v>
      </c>
      <c r="K310" s="5">
        <f>J310/SUM(Question_Bank!$M$3:$M$14)</f>
        <v>0</v>
      </c>
      <c r="L310" s="5">
        <f>SUMIFS($I$3:$I$518,$A$3:$A$518,A310,$E$3:$E$518,E310)/SUMIFS(Question_Bank!$M$3:$M$14,Question_Bank!$B$3:$B$14,E310)</f>
        <v>0</v>
      </c>
      <c r="M310" t="s">
        <v>314</v>
      </c>
    </row>
    <row r="311" spans="1:13">
      <c r="A311" t="s">
        <v>313</v>
      </c>
      <c r="B311" t="s">
        <v>263</v>
      </c>
      <c r="C311" t="s">
        <v>133</v>
      </c>
      <c r="D311" t="s">
        <v>87</v>
      </c>
      <c r="E311" t="s">
        <v>71</v>
      </c>
      <c r="F311" t="s">
        <v>20</v>
      </c>
      <c r="G311">
        <f>INDEX(Question_Bank!$G$3:$G$14,MATCH(D311,Question_Bank!$A$3:$A$14,0))</f>
        <v>0</v>
      </c>
      <c r="H311">
        <f>IF(F311=G311,1,0)</f>
        <v>0</v>
      </c>
      <c r="I311">
        <f>H311*INDEX(Question_Bank!$M$3:$M$14,MATCH(D311,Question_Bank!$A$3:$A$14,0))</f>
        <v>0</v>
      </c>
      <c r="J311">
        <f>SUMIFS($I$3:$I$518,$A$3:$A$518,A311)</f>
        <v>0</v>
      </c>
      <c r="K311" s="5">
        <f>J311/SUM(Question_Bank!$M$3:$M$14)</f>
        <v>0</v>
      </c>
      <c r="L311" s="5">
        <f>SUMIFS($I$3:$I$518,$A$3:$A$518,A311,$E$3:$E$518,E311)/SUMIFS(Question_Bank!$M$3:$M$14,Question_Bank!$B$3:$B$14,E311)</f>
        <v>0</v>
      </c>
      <c r="M311" t="s">
        <v>314</v>
      </c>
    </row>
    <row r="312" spans="1:13">
      <c r="A312" t="s">
        <v>313</v>
      </c>
      <c r="B312" t="s">
        <v>263</v>
      </c>
      <c r="C312" t="s">
        <v>133</v>
      </c>
      <c r="D312" t="s">
        <v>95</v>
      </c>
      <c r="E312" t="s">
        <v>96</v>
      </c>
      <c r="F312" t="s">
        <v>31</v>
      </c>
      <c r="G312">
        <f>INDEX(Question_Bank!$G$3:$G$14,MATCH(D312,Question_Bank!$A$3:$A$14,0))</f>
        <v>0</v>
      </c>
      <c r="H312">
        <f>IF(F312=G312,1,0)</f>
        <v>0</v>
      </c>
      <c r="I312">
        <f>H312*INDEX(Question_Bank!$M$3:$M$14,MATCH(D312,Question_Bank!$A$3:$A$14,0))</f>
        <v>0</v>
      </c>
      <c r="J312">
        <f>SUMIFS($I$3:$I$518,$A$3:$A$518,A312)</f>
        <v>0</v>
      </c>
      <c r="K312" s="5">
        <f>J312/SUM(Question_Bank!$M$3:$M$14)</f>
        <v>0</v>
      </c>
      <c r="L312" s="5">
        <f>SUMIFS($I$3:$I$518,$A$3:$A$518,A312,$E$3:$E$518,E312)/SUMIFS(Question_Bank!$M$3:$M$14,Question_Bank!$B$3:$B$14,E312)</f>
        <v>0</v>
      </c>
      <c r="M312" t="s">
        <v>314</v>
      </c>
    </row>
    <row r="313" spans="1:13">
      <c r="A313" t="s">
        <v>313</v>
      </c>
      <c r="B313" t="s">
        <v>263</v>
      </c>
      <c r="C313" t="s">
        <v>133</v>
      </c>
      <c r="D313" t="s">
        <v>104</v>
      </c>
      <c r="E313" t="s">
        <v>96</v>
      </c>
      <c r="F313" t="s">
        <v>34</v>
      </c>
      <c r="G313">
        <f>INDEX(Question_Bank!$G$3:$G$14,MATCH(D313,Question_Bank!$A$3:$A$14,0))</f>
        <v>0</v>
      </c>
      <c r="H313">
        <f>IF(F313=G313,1,0)</f>
        <v>0</v>
      </c>
      <c r="I313">
        <f>H313*INDEX(Question_Bank!$M$3:$M$14,MATCH(D313,Question_Bank!$A$3:$A$14,0))</f>
        <v>0</v>
      </c>
      <c r="J313">
        <f>SUMIFS($I$3:$I$518,$A$3:$A$518,A313)</f>
        <v>0</v>
      </c>
      <c r="K313" s="5">
        <f>J313/SUM(Question_Bank!$M$3:$M$14)</f>
        <v>0</v>
      </c>
      <c r="L313" s="5">
        <f>SUMIFS($I$3:$I$518,$A$3:$A$518,A313,$E$3:$E$518,E313)/SUMIFS(Question_Bank!$M$3:$M$14,Question_Bank!$B$3:$B$14,E313)</f>
        <v>0</v>
      </c>
      <c r="M313" t="s">
        <v>314</v>
      </c>
    </row>
    <row r="314" spans="1:13">
      <c r="A314" t="s">
        <v>313</v>
      </c>
      <c r="B314" t="s">
        <v>263</v>
      </c>
      <c r="C314" t="s">
        <v>133</v>
      </c>
      <c r="D314" t="s">
        <v>112</v>
      </c>
      <c r="E314" t="s">
        <v>96</v>
      </c>
      <c r="F314" t="s">
        <v>34</v>
      </c>
      <c r="G314">
        <f>INDEX(Question_Bank!$G$3:$G$14,MATCH(D314,Question_Bank!$A$3:$A$14,0))</f>
        <v>0</v>
      </c>
      <c r="H314">
        <f>IF(F314=G314,1,0)</f>
        <v>0</v>
      </c>
      <c r="I314">
        <f>H314*INDEX(Question_Bank!$M$3:$M$14,MATCH(D314,Question_Bank!$A$3:$A$14,0))</f>
        <v>0</v>
      </c>
      <c r="J314">
        <f>SUMIFS($I$3:$I$518,$A$3:$A$518,A314)</f>
        <v>0</v>
      </c>
      <c r="K314" s="5">
        <f>J314/SUM(Question_Bank!$M$3:$M$14)</f>
        <v>0</v>
      </c>
      <c r="L314" s="5">
        <f>SUMIFS($I$3:$I$518,$A$3:$A$518,A314,$E$3:$E$518,E314)/SUMIFS(Question_Bank!$M$3:$M$14,Question_Bank!$B$3:$B$14,E314)</f>
        <v>0</v>
      </c>
      <c r="M314" t="s">
        <v>314</v>
      </c>
    </row>
    <row r="315" spans="1:13">
      <c r="A315" t="s">
        <v>315</v>
      </c>
      <c r="B315" t="s">
        <v>263</v>
      </c>
      <c r="C315" t="s">
        <v>133</v>
      </c>
      <c r="D315" t="s">
        <v>14</v>
      </c>
      <c r="E315" t="s">
        <v>15</v>
      </c>
      <c r="F315" t="s">
        <v>31</v>
      </c>
      <c r="G315">
        <f>INDEX(Question_Bank!$G$3:$G$14,MATCH(D315,Question_Bank!$A$3:$A$14,0))</f>
        <v>0</v>
      </c>
      <c r="H315">
        <f>IF(F315=G315,1,0)</f>
        <v>0</v>
      </c>
      <c r="I315">
        <f>H315*INDEX(Question_Bank!$M$3:$M$14,MATCH(D315,Question_Bank!$A$3:$A$14,0))</f>
        <v>0</v>
      </c>
      <c r="J315">
        <f>SUMIFS($I$3:$I$518,$A$3:$A$518,A315)</f>
        <v>0</v>
      </c>
      <c r="K315" s="5">
        <f>J315/SUM(Question_Bank!$M$3:$M$14)</f>
        <v>0</v>
      </c>
      <c r="L315" s="5">
        <f>SUMIFS($I$3:$I$518,$A$3:$A$518,A315,$E$3:$E$518,E315)/SUMIFS(Question_Bank!$M$3:$M$14,Question_Bank!$B$3:$B$14,E315)</f>
        <v>0</v>
      </c>
      <c r="M315" t="s">
        <v>316</v>
      </c>
    </row>
    <row r="316" spans="1:13">
      <c r="A316" t="s">
        <v>315</v>
      </c>
      <c r="B316" t="s">
        <v>263</v>
      </c>
      <c r="C316" t="s">
        <v>133</v>
      </c>
      <c r="D316" t="s">
        <v>26</v>
      </c>
      <c r="E316" t="s">
        <v>15</v>
      </c>
      <c r="F316" t="s">
        <v>20</v>
      </c>
      <c r="G316">
        <f>INDEX(Question_Bank!$G$3:$G$14,MATCH(D316,Question_Bank!$A$3:$A$14,0))</f>
        <v>0</v>
      </c>
      <c r="H316">
        <f>IF(F316=G316,1,0)</f>
        <v>0</v>
      </c>
      <c r="I316">
        <f>H316*INDEX(Question_Bank!$M$3:$M$14,MATCH(D316,Question_Bank!$A$3:$A$14,0))</f>
        <v>0</v>
      </c>
      <c r="J316">
        <f>SUMIFS($I$3:$I$518,$A$3:$A$518,A316)</f>
        <v>0</v>
      </c>
      <c r="K316" s="5">
        <f>J316/SUM(Question_Bank!$M$3:$M$14)</f>
        <v>0</v>
      </c>
      <c r="L316" s="5">
        <f>SUMIFS($I$3:$I$518,$A$3:$A$518,A316,$E$3:$E$518,E316)/SUMIFS(Question_Bank!$M$3:$M$14,Question_Bank!$B$3:$B$14,E316)</f>
        <v>0</v>
      </c>
      <c r="M316" t="s">
        <v>316</v>
      </c>
    </row>
    <row r="317" spans="1:13">
      <c r="A317" t="s">
        <v>315</v>
      </c>
      <c r="B317" t="s">
        <v>263</v>
      </c>
      <c r="C317" t="s">
        <v>133</v>
      </c>
      <c r="D317" t="s">
        <v>37</v>
      </c>
      <c r="E317" t="s">
        <v>15</v>
      </c>
      <c r="F317" t="s">
        <v>20</v>
      </c>
      <c r="G317">
        <f>INDEX(Question_Bank!$G$3:$G$14,MATCH(D317,Question_Bank!$A$3:$A$14,0))</f>
        <v>0</v>
      </c>
      <c r="H317">
        <f>IF(F317=G317,1,0)</f>
        <v>0</v>
      </c>
      <c r="I317">
        <f>H317*INDEX(Question_Bank!$M$3:$M$14,MATCH(D317,Question_Bank!$A$3:$A$14,0))</f>
        <v>0</v>
      </c>
      <c r="J317">
        <f>SUMIFS($I$3:$I$518,$A$3:$A$518,A317)</f>
        <v>0</v>
      </c>
      <c r="K317" s="5">
        <f>J317/SUM(Question_Bank!$M$3:$M$14)</f>
        <v>0</v>
      </c>
      <c r="L317" s="5">
        <f>SUMIFS($I$3:$I$518,$A$3:$A$518,A317,$E$3:$E$518,E317)/SUMIFS(Question_Bank!$M$3:$M$14,Question_Bank!$B$3:$B$14,E317)</f>
        <v>0</v>
      </c>
      <c r="M317" t="s">
        <v>316</v>
      </c>
    </row>
    <row r="318" spans="1:13">
      <c r="A318" t="s">
        <v>315</v>
      </c>
      <c r="B318" t="s">
        <v>263</v>
      </c>
      <c r="C318" t="s">
        <v>133</v>
      </c>
      <c r="D318" t="s">
        <v>45</v>
      </c>
      <c r="E318" t="s">
        <v>46</v>
      </c>
      <c r="F318" t="s">
        <v>34</v>
      </c>
      <c r="G318">
        <f>INDEX(Question_Bank!$G$3:$G$14,MATCH(D318,Question_Bank!$A$3:$A$14,0))</f>
        <v>0</v>
      </c>
      <c r="H318">
        <f>IF(F318=G318,1,0)</f>
        <v>0</v>
      </c>
      <c r="I318">
        <f>H318*INDEX(Question_Bank!$M$3:$M$14,MATCH(D318,Question_Bank!$A$3:$A$14,0))</f>
        <v>0</v>
      </c>
      <c r="J318">
        <f>SUMIFS($I$3:$I$518,$A$3:$A$518,A318)</f>
        <v>0</v>
      </c>
      <c r="K318" s="5">
        <f>J318/SUM(Question_Bank!$M$3:$M$14)</f>
        <v>0</v>
      </c>
      <c r="L318" s="5">
        <f>SUMIFS($I$3:$I$518,$A$3:$A$518,A318,$E$3:$E$518,E318)/SUMIFS(Question_Bank!$M$3:$M$14,Question_Bank!$B$3:$B$14,E318)</f>
        <v>0</v>
      </c>
      <c r="M318" t="s">
        <v>316</v>
      </c>
    </row>
    <row r="319" spans="1:13">
      <c r="A319" t="s">
        <v>315</v>
      </c>
      <c r="B319" t="s">
        <v>263</v>
      </c>
      <c r="C319" t="s">
        <v>133</v>
      </c>
      <c r="D319" t="s">
        <v>54</v>
      </c>
      <c r="E319" t="s">
        <v>46</v>
      </c>
      <c r="F319" t="s">
        <v>20</v>
      </c>
      <c r="G319">
        <f>INDEX(Question_Bank!$G$3:$G$14,MATCH(D319,Question_Bank!$A$3:$A$14,0))</f>
        <v>0</v>
      </c>
      <c r="H319">
        <f>IF(F319=G319,1,0)</f>
        <v>0</v>
      </c>
      <c r="I319">
        <f>H319*INDEX(Question_Bank!$M$3:$M$14,MATCH(D319,Question_Bank!$A$3:$A$14,0))</f>
        <v>0</v>
      </c>
      <c r="J319">
        <f>SUMIFS($I$3:$I$518,$A$3:$A$518,A319)</f>
        <v>0</v>
      </c>
      <c r="K319" s="5">
        <f>J319/SUM(Question_Bank!$M$3:$M$14)</f>
        <v>0</v>
      </c>
      <c r="L319" s="5">
        <f>SUMIFS($I$3:$I$518,$A$3:$A$518,A319,$E$3:$E$518,E319)/SUMIFS(Question_Bank!$M$3:$M$14,Question_Bank!$B$3:$B$14,E319)</f>
        <v>0</v>
      </c>
      <c r="M319" t="s">
        <v>316</v>
      </c>
    </row>
    <row r="320" spans="1:13">
      <c r="A320" t="s">
        <v>315</v>
      </c>
      <c r="B320" t="s">
        <v>263</v>
      </c>
      <c r="C320" t="s">
        <v>133</v>
      </c>
      <c r="D320" t="s">
        <v>62</v>
      </c>
      <c r="E320" t="s">
        <v>46</v>
      </c>
      <c r="F320" t="s">
        <v>31</v>
      </c>
      <c r="G320">
        <f>INDEX(Question_Bank!$G$3:$G$14,MATCH(D320,Question_Bank!$A$3:$A$14,0))</f>
        <v>0</v>
      </c>
      <c r="H320">
        <f>IF(F320=G320,1,0)</f>
        <v>0</v>
      </c>
      <c r="I320">
        <f>H320*INDEX(Question_Bank!$M$3:$M$14,MATCH(D320,Question_Bank!$A$3:$A$14,0))</f>
        <v>0</v>
      </c>
      <c r="J320">
        <f>SUMIFS($I$3:$I$518,$A$3:$A$518,A320)</f>
        <v>0</v>
      </c>
      <c r="K320" s="5">
        <f>J320/SUM(Question_Bank!$M$3:$M$14)</f>
        <v>0</v>
      </c>
      <c r="L320" s="5">
        <f>SUMIFS($I$3:$I$518,$A$3:$A$518,A320,$E$3:$E$518,E320)/SUMIFS(Question_Bank!$M$3:$M$14,Question_Bank!$B$3:$B$14,E320)</f>
        <v>0</v>
      </c>
      <c r="M320" t="s">
        <v>316</v>
      </c>
    </row>
    <row r="321" spans="1:13">
      <c r="A321" t="s">
        <v>315</v>
      </c>
      <c r="B321" t="s">
        <v>263</v>
      </c>
      <c r="C321" t="s">
        <v>133</v>
      </c>
      <c r="D321" t="s">
        <v>70</v>
      </c>
      <c r="E321" t="s">
        <v>71</v>
      </c>
      <c r="F321" t="s">
        <v>31</v>
      </c>
      <c r="G321">
        <f>INDEX(Question_Bank!$G$3:$G$14,MATCH(D321,Question_Bank!$A$3:$A$14,0))</f>
        <v>0</v>
      </c>
      <c r="H321">
        <f>IF(F321=G321,1,0)</f>
        <v>0</v>
      </c>
      <c r="I321">
        <f>H321*INDEX(Question_Bank!$M$3:$M$14,MATCH(D321,Question_Bank!$A$3:$A$14,0))</f>
        <v>0</v>
      </c>
      <c r="J321">
        <f>SUMIFS($I$3:$I$518,$A$3:$A$518,A321)</f>
        <v>0</v>
      </c>
      <c r="K321" s="5">
        <f>J321/SUM(Question_Bank!$M$3:$M$14)</f>
        <v>0</v>
      </c>
      <c r="L321" s="5">
        <f>SUMIFS($I$3:$I$518,$A$3:$A$518,A321,$E$3:$E$518,E321)/SUMIFS(Question_Bank!$M$3:$M$14,Question_Bank!$B$3:$B$14,E321)</f>
        <v>0</v>
      </c>
      <c r="M321" t="s">
        <v>316</v>
      </c>
    </row>
    <row r="322" spans="1:13">
      <c r="A322" t="s">
        <v>315</v>
      </c>
      <c r="B322" t="s">
        <v>263</v>
      </c>
      <c r="C322" t="s">
        <v>133</v>
      </c>
      <c r="D322" t="s">
        <v>79</v>
      </c>
      <c r="E322" t="s">
        <v>71</v>
      </c>
      <c r="F322" t="s">
        <v>23</v>
      </c>
      <c r="G322">
        <f>INDEX(Question_Bank!$G$3:$G$14,MATCH(D322,Question_Bank!$A$3:$A$14,0))</f>
        <v>0</v>
      </c>
      <c r="H322">
        <f>IF(F322=G322,1,0)</f>
        <v>0</v>
      </c>
      <c r="I322">
        <f>H322*INDEX(Question_Bank!$M$3:$M$14,MATCH(D322,Question_Bank!$A$3:$A$14,0))</f>
        <v>0</v>
      </c>
      <c r="J322">
        <f>SUMIFS($I$3:$I$518,$A$3:$A$518,A322)</f>
        <v>0</v>
      </c>
      <c r="K322" s="5">
        <f>J322/SUM(Question_Bank!$M$3:$M$14)</f>
        <v>0</v>
      </c>
      <c r="L322" s="5">
        <f>SUMIFS($I$3:$I$518,$A$3:$A$518,A322,$E$3:$E$518,E322)/SUMIFS(Question_Bank!$M$3:$M$14,Question_Bank!$B$3:$B$14,E322)</f>
        <v>0</v>
      </c>
      <c r="M322" t="s">
        <v>316</v>
      </c>
    </row>
    <row r="323" spans="1:13">
      <c r="A323" t="s">
        <v>315</v>
      </c>
      <c r="B323" t="s">
        <v>263</v>
      </c>
      <c r="C323" t="s">
        <v>133</v>
      </c>
      <c r="D323" t="s">
        <v>87</v>
      </c>
      <c r="E323" t="s">
        <v>71</v>
      </c>
      <c r="F323" t="s">
        <v>20</v>
      </c>
      <c r="G323">
        <f>INDEX(Question_Bank!$G$3:$G$14,MATCH(D323,Question_Bank!$A$3:$A$14,0))</f>
        <v>0</v>
      </c>
      <c r="H323">
        <f>IF(F323=G323,1,0)</f>
        <v>0</v>
      </c>
      <c r="I323">
        <f>H323*INDEX(Question_Bank!$M$3:$M$14,MATCH(D323,Question_Bank!$A$3:$A$14,0))</f>
        <v>0</v>
      </c>
      <c r="J323">
        <f>SUMIFS($I$3:$I$518,$A$3:$A$518,A323)</f>
        <v>0</v>
      </c>
      <c r="K323" s="5">
        <f>J323/SUM(Question_Bank!$M$3:$M$14)</f>
        <v>0</v>
      </c>
      <c r="L323" s="5">
        <f>SUMIFS($I$3:$I$518,$A$3:$A$518,A323,$E$3:$E$518,E323)/SUMIFS(Question_Bank!$M$3:$M$14,Question_Bank!$B$3:$B$14,E323)</f>
        <v>0</v>
      </c>
      <c r="M323" t="s">
        <v>316</v>
      </c>
    </row>
    <row r="324" spans="1:13">
      <c r="A324" t="s">
        <v>315</v>
      </c>
      <c r="B324" t="s">
        <v>263</v>
      </c>
      <c r="C324" t="s">
        <v>133</v>
      </c>
      <c r="D324" t="s">
        <v>95</v>
      </c>
      <c r="E324" t="s">
        <v>96</v>
      </c>
      <c r="F324" t="s">
        <v>31</v>
      </c>
      <c r="G324">
        <f>INDEX(Question_Bank!$G$3:$G$14,MATCH(D324,Question_Bank!$A$3:$A$14,0))</f>
        <v>0</v>
      </c>
      <c r="H324">
        <f>IF(F324=G324,1,0)</f>
        <v>0</v>
      </c>
      <c r="I324">
        <f>H324*INDEX(Question_Bank!$M$3:$M$14,MATCH(D324,Question_Bank!$A$3:$A$14,0))</f>
        <v>0</v>
      </c>
      <c r="J324">
        <f>SUMIFS($I$3:$I$518,$A$3:$A$518,A324)</f>
        <v>0</v>
      </c>
      <c r="K324" s="5">
        <f>J324/SUM(Question_Bank!$M$3:$M$14)</f>
        <v>0</v>
      </c>
      <c r="L324" s="5">
        <f>SUMIFS($I$3:$I$518,$A$3:$A$518,A324,$E$3:$E$518,E324)/SUMIFS(Question_Bank!$M$3:$M$14,Question_Bank!$B$3:$B$14,E324)</f>
        <v>0</v>
      </c>
      <c r="M324" t="s">
        <v>316</v>
      </c>
    </row>
    <row r="325" spans="1:13">
      <c r="A325" t="s">
        <v>315</v>
      </c>
      <c r="B325" t="s">
        <v>263</v>
      </c>
      <c r="C325" t="s">
        <v>133</v>
      </c>
      <c r="D325" t="s">
        <v>104</v>
      </c>
      <c r="E325" t="s">
        <v>96</v>
      </c>
      <c r="F325" t="s">
        <v>31</v>
      </c>
      <c r="G325">
        <f>INDEX(Question_Bank!$G$3:$G$14,MATCH(D325,Question_Bank!$A$3:$A$14,0))</f>
        <v>0</v>
      </c>
      <c r="H325">
        <f>IF(F325=G325,1,0)</f>
        <v>0</v>
      </c>
      <c r="I325">
        <f>H325*INDEX(Question_Bank!$M$3:$M$14,MATCH(D325,Question_Bank!$A$3:$A$14,0))</f>
        <v>0</v>
      </c>
      <c r="J325">
        <f>SUMIFS($I$3:$I$518,$A$3:$A$518,A325)</f>
        <v>0</v>
      </c>
      <c r="K325" s="5">
        <f>J325/SUM(Question_Bank!$M$3:$M$14)</f>
        <v>0</v>
      </c>
      <c r="L325" s="5">
        <f>SUMIFS($I$3:$I$518,$A$3:$A$518,A325,$E$3:$E$518,E325)/SUMIFS(Question_Bank!$M$3:$M$14,Question_Bank!$B$3:$B$14,E325)</f>
        <v>0</v>
      </c>
      <c r="M325" t="s">
        <v>316</v>
      </c>
    </row>
    <row r="326" spans="1:13">
      <c r="A326" t="s">
        <v>315</v>
      </c>
      <c r="B326" t="s">
        <v>263</v>
      </c>
      <c r="C326" t="s">
        <v>133</v>
      </c>
      <c r="D326" t="s">
        <v>112</v>
      </c>
      <c r="E326" t="s">
        <v>96</v>
      </c>
      <c r="F326" t="s">
        <v>23</v>
      </c>
      <c r="G326">
        <f>INDEX(Question_Bank!$G$3:$G$14,MATCH(D326,Question_Bank!$A$3:$A$14,0))</f>
        <v>0</v>
      </c>
      <c r="H326">
        <f>IF(F326=G326,1,0)</f>
        <v>0</v>
      </c>
      <c r="I326">
        <f>H326*INDEX(Question_Bank!$M$3:$M$14,MATCH(D326,Question_Bank!$A$3:$A$14,0))</f>
        <v>0</v>
      </c>
      <c r="J326">
        <f>SUMIFS($I$3:$I$518,$A$3:$A$518,A326)</f>
        <v>0</v>
      </c>
      <c r="K326" s="5">
        <f>J326/SUM(Question_Bank!$M$3:$M$14)</f>
        <v>0</v>
      </c>
      <c r="L326" s="5">
        <f>SUMIFS($I$3:$I$518,$A$3:$A$518,A326,$E$3:$E$518,E326)/SUMIFS(Question_Bank!$M$3:$M$14,Question_Bank!$B$3:$B$14,E326)</f>
        <v>0</v>
      </c>
      <c r="M326" t="s">
        <v>316</v>
      </c>
    </row>
    <row r="327" spans="1:13">
      <c r="A327" t="s">
        <v>317</v>
      </c>
      <c r="B327" t="s">
        <v>263</v>
      </c>
      <c r="C327" t="s">
        <v>133</v>
      </c>
      <c r="D327" t="s">
        <v>14</v>
      </c>
      <c r="E327" t="s">
        <v>15</v>
      </c>
      <c r="F327" t="s">
        <v>34</v>
      </c>
      <c r="G327">
        <f>INDEX(Question_Bank!$G$3:$G$14,MATCH(D327,Question_Bank!$A$3:$A$14,0))</f>
        <v>0</v>
      </c>
      <c r="H327">
        <f>IF(F327=G327,1,0)</f>
        <v>0</v>
      </c>
      <c r="I327">
        <f>H327*INDEX(Question_Bank!$M$3:$M$14,MATCH(D327,Question_Bank!$A$3:$A$14,0))</f>
        <v>0</v>
      </c>
      <c r="J327">
        <f>SUMIFS($I$3:$I$518,$A$3:$A$518,A327)</f>
        <v>0</v>
      </c>
      <c r="K327" s="5">
        <f>J327/SUM(Question_Bank!$M$3:$M$14)</f>
        <v>0</v>
      </c>
      <c r="L327" s="5">
        <f>SUMIFS($I$3:$I$518,$A$3:$A$518,A327,$E$3:$E$518,E327)/SUMIFS(Question_Bank!$M$3:$M$14,Question_Bank!$B$3:$B$14,E327)</f>
        <v>0</v>
      </c>
      <c r="M327" t="s">
        <v>318</v>
      </c>
    </row>
    <row r="328" spans="1:13">
      <c r="A328" t="s">
        <v>317</v>
      </c>
      <c r="B328" t="s">
        <v>263</v>
      </c>
      <c r="C328" t="s">
        <v>133</v>
      </c>
      <c r="D328" t="s">
        <v>26</v>
      </c>
      <c r="E328" t="s">
        <v>15</v>
      </c>
      <c r="F328" t="s">
        <v>31</v>
      </c>
      <c r="G328">
        <f>INDEX(Question_Bank!$G$3:$G$14,MATCH(D328,Question_Bank!$A$3:$A$14,0))</f>
        <v>0</v>
      </c>
      <c r="H328">
        <f>IF(F328=G328,1,0)</f>
        <v>0</v>
      </c>
      <c r="I328">
        <f>H328*INDEX(Question_Bank!$M$3:$M$14,MATCH(D328,Question_Bank!$A$3:$A$14,0))</f>
        <v>0</v>
      </c>
      <c r="J328">
        <f>SUMIFS($I$3:$I$518,$A$3:$A$518,A328)</f>
        <v>0</v>
      </c>
      <c r="K328" s="5">
        <f>J328/SUM(Question_Bank!$M$3:$M$14)</f>
        <v>0</v>
      </c>
      <c r="L328" s="5">
        <f>SUMIFS($I$3:$I$518,$A$3:$A$518,A328,$E$3:$E$518,E328)/SUMIFS(Question_Bank!$M$3:$M$14,Question_Bank!$B$3:$B$14,E328)</f>
        <v>0</v>
      </c>
      <c r="M328" t="s">
        <v>318</v>
      </c>
    </row>
    <row r="329" spans="1:13">
      <c r="A329" t="s">
        <v>317</v>
      </c>
      <c r="B329" t="s">
        <v>263</v>
      </c>
      <c r="C329" t="s">
        <v>133</v>
      </c>
      <c r="D329" t="s">
        <v>37</v>
      </c>
      <c r="E329" t="s">
        <v>15</v>
      </c>
      <c r="F329" t="s">
        <v>23</v>
      </c>
      <c r="G329">
        <f>INDEX(Question_Bank!$G$3:$G$14,MATCH(D329,Question_Bank!$A$3:$A$14,0))</f>
        <v>0</v>
      </c>
      <c r="H329">
        <f>IF(F329=G329,1,0)</f>
        <v>0</v>
      </c>
      <c r="I329">
        <f>H329*INDEX(Question_Bank!$M$3:$M$14,MATCH(D329,Question_Bank!$A$3:$A$14,0))</f>
        <v>0</v>
      </c>
      <c r="J329">
        <f>SUMIFS($I$3:$I$518,$A$3:$A$518,A329)</f>
        <v>0</v>
      </c>
      <c r="K329" s="5">
        <f>J329/SUM(Question_Bank!$M$3:$M$14)</f>
        <v>0</v>
      </c>
      <c r="L329" s="5">
        <f>SUMIFS($I$3:$I$518,$A$3:$A$518,A329,$E$3:$E$518,E329)/SUMIFS(Question_Bank!$M$3:$M$14,Question_Bank!$B$3:$B$14,E329)</f>
        <v>0</v>
      </c>
      <c r="M329" t="s">
        <v>318</v>
      </c>
    </row>
    <row r="330" spans="1:13">
      <c r="A330" t="s">
        <v>317</v>
      </c>
      <c r="B330" t="s">
        <v>263</v>
      </c>
      <c r="C330" t="s">
        <v>133</v>
      </c>
      <c r="D330" t="s">
        <v>45</v>
      </c>
      <c r="E330" t="s">
        <v>46</v>
      </c>
      <c r="F330" t="s">
        <v>34</v>
      </c>
      <c r="G330">
        <f>INDEX(Question_Bank!$G$3:$G$14,MATCH(D330,Question_Bank!$A$3:$A$14,0))</f>
        <v>0</v>
      </c>
      <c r="H330">
        <f>IF(F330=G330,1,0)</f>
        <v>0</v>
      </c>
      <c r="I330">
        <f>H330*INDEX(Question_Bank!$M$3:$M$14,MATCH(D330,Question_Bank!$A$3:$A$14,0))</f>
        <v>0</v>
      </c>
      <c r="J330">
        <f>SUMIFS($I$3:$I$518,$A$3:$A$518,A330)</f>
        <v>0</v>
      </c>
      <c r="K330" s="5">
        <f>J330/SUM(Question_Bank!$M$3:$M$14)</f>
        <v>0</v>
      </c>
      <c r="L330" s="5">
        <f>SUMIFS($I$3:$I$518,$A$3:$A$518,A330,$E$3:$E$518,E330)/SUMIFS(Question_Bank!$M$3:$M$14,Question_Bank!$B$3:$B$14,E330)</f>
        <v>0</v>
      </c>
      <c r="M330" t="s">
        <v>318</v>
      </c>
    </row>
    <row r="331" spans="1:13">
      <c r="A331" t="s">
        <v>317</v>
      </c>
      <c r="B331" t="s">
        <v>263</v>
      </c>
      <c r="C331" t="s">
        <v>133</v>
      </c>
      <c r="D331" t="s">
        <v>54</v>
      </c>
      <c r="E331" t="s">
        <v>46</v>
      </c>
      <c r="F331" t="s">
        <v>20</v>
      </c>
      <c r="G331">
        <f>INDEX(Question_Bank!$G$3:$G$14,MATCH(D331,Question_Bank!$A$3:$A$14,0))</f>
        <v>0</v>
      </c>
      <c r="H331">
        <f>IF(F331=G331,1,0)</f>
        <v>0</v>
      </c>
      <c r="I331">
        <f>H331*INDEX(Question_Bank!$M$3:$M$14,MATCH(D331,Question_Bank!$A$3:$A$14,0))</f>
        <v>0</v>
      </c>
      <c r="J331">
        <f>SUMIFS($I$3:$I$518,$A$3:$A$518,A331)</f>
        <v>0</v>
      </c>
      <c r="K331" s="5">
        <f>J331/SUM(Question_Bank!$M$3:$M$14)</f>
        <v>0</v>
      </c>
      <c r="L331" s="5">
        <f>SUMIFS($I$3:$I$518,$A$3:$A$518,A331,$E$3:$E$518,E331)/SUMIFS(Question_Bank!$M$3:$M$14,Question_Bank!$B$3:$B$14,E331)</f>
        <v>0</v>
      </c>
      <c r="M331" t="s">
        <v>318</v>
      </c>
    </row>
    <row r="332" spans="1:13">
      <c r="A332" t="s">
        <v>317</v>
      </c>
      <c r="B332" t="s">
        <v>263</v>
      </c>
      <c r="C332" t="s">
        <v>133</v>
      </c>
      <c r="D332" t="s">
        <v>62</v>
      </c>
      <c r="E332" t="s">
        <v>46</v>
      </c>
      <c r="F332" t="s">
        <v>31</v>
      </c>
      <c r="G332">
        <f>INDEX(Question_Bank!$G$3:$G$14,MATCH(D332,Question_Bank!$A$3:$A$14,0))</f>
        <v>0</v>
      </c>
      <c r="H332">
        <f>IF(F332=G332,1,0)</f>
        <v>0</v>
      </c>
      <c r="I332">
        <f>H332*INDEX(Question_Bank!$M$3:$M$14,MATCH(D332,Question_Bank!$A$3:$A$14,0))</f>
        <v>0</v>
      </c>
      <c r="J332">
        <f>SUMIFS($I$3:$I$518,$A$3:$A$518,A332)</f>
        <v>0</v>
      </c>
      <c r="K332" s="5">
        <f>J332/SUM(Question_Bank!$M$3:$M$14)</f>
        <v>0</v>
      </c>
      <c r="L332" s="5">
        <f>SUMIFS($I$3:$I$518,$A$3:$A$518,A332,$E$3:$E$518,E332)/SUMIFS(Question_Bank!$M$3:$M$14,Question_Bank!$B$3:$B$14,E332)</f>
        <v>0</v>
      </c>
      <c r="M332" t="s">
        <v>318</v>
      </c>
    </row>
    <row r="333" spans="1:13">
      <c r="A333" t="s">
        <v>317</v>
      </c>
      <c r="B333" t="s">
        <v>263</v>
      </c>
      <c r="C333" t="s">
        <v>133</v>
      </c>
      <c r="D333" t="s">
        <v>70</v>
      </c>
      <c r="E333" t="s">
        <v>71</v>
      </c>
      <c r="F333" t="s">
        <v>23</v>
      </c>
      <c r="G333">
        <f>INDEX(Question_Bank!$G$3:$G$14,MATCH(D333,Question_Bank!$A$3:$A$14,0))</f>
        <v>0</v>
      </c>
      <c r="H333">
        <f>IF(F333=G333,1,0)</f>
        <v>0</v>
      </c>
      <c r="I333">
        <f>H333*INDEX(Question_Bank!$M$3:$M$14,MATCH(D333,Question_Bank!$A$3:$A$14,0))</f>
        <v>0</v>
      </c>
      <c r="J333">
        <f>SUMIFS($I$3:$I$518,$A$3:$A$518,A333)</f>
        <v>0</v>
      </c>
      <c r="K333" s="5">
        <f>J333/SUM(Question_Bank!$M$3:$M$14)</f>
        <v>0</v>
      </c>
      <c r="L333" s="5">
        <f>SUMIFS($I$3:$I$518,$A$3:$A$518,A333,$E$3:$E$518,E333)/SUMIFS(Question_Bank!$M$3:$M$14,Question_Bank!$B$3:$B$14,E333)</f>
        <v>0</v>
      </c>
      <c r="M333" t="s">
        <v>318</v>
      </c>
    </row>
    <row r="334" spans="1:13">
      <c r="A334" t="s">
        <v>317</v>
      </c>
      <c r="B334" t="s">
        <v>263</v>
      </c>
      <c r="C334" t="s">
        <v>133</v>
      </c>
      <c r="D334" t="s">
        <v>79</v>
      </c>
      <c r="E334" t="s">
        <v>71</v>
      </c>
      <c r="F334" t="s">
        <v>23</v>
      </c>
      <c r="G334">
        <f>INDEX(Question_Bank!$G$3:$G$14,MATCH(D334,Question_Bank!$A$3:$A$14,0))</f>
        <v>0</v>
      </c>
      <c r="H334">
        <f>IF(F334=G334,1,0)</f>
        <v>0</v>
      </c>
      <c r="I334">
        <f>H334*INDEX(Question_Bank!$M$3:$M$14,MATCH(D334,Question_Bank!$A$3:$A$14,0))</f>
        <v>0</v>
      </c>
      <c r="J334">
        <f>SUMIFS($I$3:$I$518,$A$3:$A$518,A334)</f>
        <v>0</v>
      </c>
      <c r="K334" s="5">
        <f>J334/SUM(Question_Bank!$M$3:$M$14)</f>
        <v>0</v>
      </c>
      <c r="L334" s="5">
        <f>SUMIFS($I$3:$I$518,$A$3:$A$518,A334,$E$3:$E$518,E334)/SUMIFS(Question_Bank!$M$3:$M$14,Question_Bank!$B$3:$B$14,E334)</f>
        <v>0</v>
      </c>
      <c r="M334" t="s">
        <v>318</v>
      </c>
    </row>
    <row r="335" spans="1:13">
      <c r="A335" t="s">
        <v>317</v>
      </c>
      <c r="B335" t="s">
        <v>263</v>
      </c>
      <c r="C335" t="s">
        <v>133</v>
      </c>
      <c r="D335" t="s">
        <v>87</v>
      </c>
      <c r="E335" t="s">
        <v>71</v>
      </c>
      <c r="F335" t="s">
        <v>20</v>
      </c>
      <c r="G335">
        <f>INDEX(Question_Bank!$G$3:$G$14,MATCH(D335,Question_Bank!$A$3:$A$14,0))</f>
        <v>0</v>
      </c>
      <c r="H335">
        <f>IF(F335=G335,1,0)</f>
        <v>0</v>
      </c>
      <c r="I335">
        <f>H335*INDEX(Question_Bank!$M$3:$M$14,MATCH(D335,Question_Bank!$A$3:$A$14,0))</f>
        <v>0</v>
      </c>
      <c r="J335">
        <f>SUMIFS($I$3:$I$518,$A$3:$A$518,A335)</f>
        <v>0</v>
      </c>
      <c r="K335" s="5">
        <f>J335/SUM(Question_Bank!$M$3:$M$14)</f>
        <v>0</v>
      </c>
      <c r="L335" s="5">
        <f>SUMIFS($I$3:$I$518,$A$3:$A$518,A335,$E$3:$E$518,E335)/SUMIFS(Question_Bank!$M$3:$M$14,Question_Bank!$B$3:$B$14,E335)</f>
        <v>0</v>
      </c>
      <c r="M335" t="s">
        <v>318</v>
      </c>
    </row>
    <row r="336" spans="1:13">
      <c r="A336" t="s">
        <v>317</v>
      </c>
      <c r="B336" t="s">
        <v>263</v>
      </c>
      <c r="C336" t="s">
        <v>133</v>
      </c>
      <c r="D336" t="s">
        <v>95</v>
      </c>
      <c r="E336" t="s">
        <v>96</v>
      </c>
      <c r="F336" t="s">
        <v>31</v>
      </c>
      <c r="G336">
        <f>INDEX(Question_Bank!$G$3:$G$14,MATCH(D336,Question_Bank!$A$3:$A$14,0))</f>
        <v>0</v>
      </c>
      <c r="H336">
        <f>IF(F336=G336,1,0)</f>
        <v>0</v>
      </c>
      <c r="I336">
        <f>H336*INDEX(Question_Bank!$M$3:$M$14,MATCH(D336,Question_Bank!$A$3:$A$14,0))</f>
        <v>0</v>
      </c>
      <c r="J336">
        <f>SUMIFS($I$3:$I$518,$A$3:$A$518,A336)</f>
        <v>0</v>
      </c>
      <c r="K336" s="5">
        <f>J336/SUM(Question_Bank!$M$3:$M$14)</f>
        <v>0</v>
      </c>
      <c r="L336" s="5">
        <f>SUMIFS($I$3:$I$518,$A$3:$A$518,A336,$E$3:$E$518,E336)/SUMIFS(Question_Bank!$M$3:$M$14,Question_Bank!$B$3:$B$14,E336)</f>
        <v>0</v>
      </c>
      <c r="M336" t="s">
        <v>318</v>
      </c>
    </row>
    <row r="337" spans="1:13">
      <c r="A337" t="s">
        <v>317</v>
      </c>
      <c r="B337" t="s">
        <v>263</v>
      </c>
      <c r="C337" t="s">
        <v>133</v>
      </c>
      <c r="D337" t="s">
        <v>104</v>
      </c>
      <c r="E337" t="s">
        <v>96</v>
      </c>
      <c r="F337" t="s">
        <v>23</v>
      </c>
      <c r="G337">
        <f>INDEX(Question_Bank!$G$3:$G$14,MATCH(D337,Question_Bank!$A$3:$A$14,0))</f>
        <v>0</v>
      </c>
      <c r="H337">
        <f>IF(F337=G337,1,0)</f>
        <v>0</v>
      </c>
      <c r="I337">
        <f>H337*INDEX(Question_Bank!$M$3:$M$14,MATCH(D337,Question_Bank!$A$3:$A$14,0))</f>
        <v>0</v>
      </c>
      <c r="J337">
        <f>SUMIFS($I$3:$I$518,$A$3:$A$518,A337)</f>
        <v>0</v>
      </c>
      <c r="K337" s="5">
        <f>J337/SUM(Question_Bank!$M$3:$M$14)</f>
        <v>0</v>
      </c>
      <c r="L337" s="5">
        <f>SUMIFS($I$3:$I$518,$A$3:$A$518,A337,$E$3:$E$518,E337)/SUMIFS(Question_Bank!$M$3:$M$14,Question_Bank!$B$3:$B$14,E337)</f>
        <v>0</v>
      </c>
      <c r="M337" t="s">
        <v>318</v>
      </c>
    </row>
    <row r="338" spans="1:13">
      <c r="A338" t="s">
        <v>317</v>
      </c>
      <c r="B338" t="s">
        <v>263</v>
      </c>
      <c r="C338" t="s">
        <v>133</v>
      </c>
      <c r="D338" t="s">
        <v>112</v>
      </c>
      <c r="E338" t="s">
        <v>96</v>
      </c>
      <c r="F338" t="s">
        <v>31</v>
      </c>
      <c r="G338">
        <f>INDEX(Question_Bank!$G$3:$G$14,MATCH(D338,Question_Bank!$A$3:$A$14,0))</f>
        <v>0</v>
      </c>
      <c r="H338">
        <f>IF(F338=G338,1,0)</f>
        <v>0</v>
      </c>
      <c r="I338">
        <f>H338*INDEX(Question_Bank!$M$3:$M$14,MATCH(D338,Question_Bank!$A$3:$A$14,0))</f>
        <v>0</v>
      </c>
      <c r="J338">
        <f>SUMIFS($I$3:$I$518,$A$3:$A$518,A338)</f>
        <v>0</v>
      </c>
      <c r="K338" s="5">
        <f>J338/SUM(Question_Bank!$M$3:$M$14)</f>
        <v>0</v>
      </c>
      <c r="L338" s="5">
        <f>SUMIFS($I$3:$I$518,$A$3:$A$518,A338,$E$3:$E$518,E338)/SUMIFS(Question_Bank!$M$3:$M$14,Question_Bank!$B$3:$B$14,E338)</f>
        <v>0</v>
      </c>
      <c r="M338" t="s">
        <v>318</v>
      </c>
    </row>
    <row r="339" spans="1:13">
      <c r="A339" t="s">
        <v>319</v>
      </c>
      <c r="B339" t="s">
        <v>263</v>
      </c>
      <c r="C339" t="s">
        <v>133</v>
      </c>
      <c r="D339" t="s">
        <v>14</v>
      </c>
      <c r="E339" t="s">
        <v>15</v>
      </c>
      <c r="F339" t="s">
        <v>34</v>
      </c>
      <c r="G339">
        <f>INDEX(Question_Bank!$G$3:$G$14,MATCH(D339,Question_Bank!$A$3:$A$14,0))</f>
        <v>0</v>
      </c>
      <c r="H339">
        <f>IF(F339=G339,1,0)</f>
        <v>0</v>
      </c>
      <c r="I339">
        <f>H339*INDEX(Question_Bank!$M$3:$M$14,MATCH(D339,Question_Bank!$A$3:$A$14,0))</f>
        <v>0</v>
      </c>
      <c r="J339">
        <f>SUMIFS($I$3:$I$518,$A$3:$A$518,A339)</f>
        <v>0</v>
      </c>
      <c r="K339" s="5">
        <f>J339/SUM(Question_Bank!$M$3:$M$14)</f>
        <v>0</v>
      </c>
      <c r="L339" s="5">
        <f>SUMIFS($I$3:$I$518,$A$3:$A$518,A339,$E$3:$E$518,E339)/SUMIFS(Question_Bank!$M$3:$M$14,Question_Bank!$B$3:$B$14,E339)</f>
        <v>0</v>
      </c>
      <c r="M339" t="s">
        <v>320</v>
      </c>
    </row>
    <row r="340" spans="1:13">
      <c r="A340" t="s">
        <v>319</v>
      </c>
      <c r="B340" t="s">
        <v>263</v>
      </c>
      <c r="C340" t="s">
        <v>133</v>
      </c>
      <c r="D340" t="s">
        <v>26</v>
      </c>
      <c r="E340" t="s">
        <v>15</v>
      </c>
      <c r="F340" t="s">
        <v>34</v>
      </c>
      <c r="G340">
        <f>INDEX(Question_Bank!$G$3:$G$14,MATCH(D340,Question_Bank!$A$3:$A$14,0))</f>
        <v>0</v>
      </c>
      <c r="H340">
        <f>IF(F340=G340,1,0)</f>
        <v>0</v>
      </c>
      <c r="I340">
        <f>H340*INDEX(Question_Bank!$M$3:$M$14,MATCH(D340,Question_Bank!$A$3:$A$14,0))</f>
        <v>0</v>
      </c>
      <c r="J340">
        <f>SUMIFS($I$3:$I$518,$A$3:$A$518,A340)</f>
        <v>0</v>
      </c>
      <c r="K340" s="5">
        <f>J340/SUM(Question_Bank!$M$3:$M$14)</f>
        <v>0</v>
      </c>
      <c r="L340" s="5">
        <f>SUMIFS($I$3:$I$518,$A$3:$A$518,A340,$E$3:$E$518,E340)/SUMIFS(Question_Bank!$M$3:$M$14,Question_Bank!$B$3:$B$14,E340)</f>
        <v>0</v>
      </c>
      <c r="M340" t="s">
        <v>320</v>
      </c>
    </row>
    <row r="341" spans="1:13">
      <c r="A341" t="s">
        <v>319</v>
      </c>
      <c r="B341" t="s">
        <v>263</v>
      </c>
      <c r="C341" t="s">
        <v>133</v>
      </c>
      <c r="D341" t="s">
        <v>37</v>
      </c>
      <c r="E341" t="s">
        <v>15</v>
      </c>
      <c r="F341" t="s">
        <v>31</v>
      </c>
      <c r="G341">
        <f>INDEX(Question_Bank!$G$3:$G$14,MATCH(D341,Question_Bank!$A$3:$A$14,0))</f>
        <v>0</v>
      </c>
      <c r="H341">
        <f>IF(F341=G341,1,0)</f>
        <v>0</v>
      </c>
      <c r="I341">
        <f>H341*INDEX(Question_Bank!$M$3:$M$14,MATCH(D341,Question_Bank!$A$3:$A$14,0))</f>
        <v>0</v>
      </c>
      <c r="J341">
        <f>SUMIFS($I$3:$I$518,$A$3:$A$518,A341)</f>
        <v>0</v>
      </c>
      <c r="K341" s="5">
        <f>J341/SUM(Question_Bank!$M$3:$M$14)</f>
        <v>0</v>
      </c>
      <c r="L341" s="5">
        <f>SUMIFS($I$3:$I$518,$A$3:$A$518,A341,$E$3:$E$518,E341)/SUMIFS(Question_Bank!$M$3:$M$14,Question_Bank!$B$3:$B$14,E341)</f>
        <v>0</v>
      </c>
      <c r="M341" t="s">
        <v>320</v>
      </c>
    </row>
    <row r="342" spans="1:13">
      <c r="A342" t="s">
        <v>319</v>
      </c>
      <c r="B342" t="s">
        <v>263</v>
      </c>
      <c r="C342" t="s">
        <v>133</v>
      </c>
      <c r="D342" t="s">
        <v>45</v>
      </c>
      <c r="E342" t="s">
        <v>46</v>
      </c>
      <c r="F342" t="s">
        <v>23</v>
      </c>
      <c r="G342">
        <f>INDEX(Question_Bank!$G$3:$G$14,MATCH(D342,Question_Bank!$A$3:$A$14,0))</f>
        <v>0</v>
      </c>
      <c r="H342">
        <f>IF(F342=G342,1,0)</f>
        <v>0</v>
      </c>
      <c r="I342">
        <f>H342*INDEX(Question_Bank!$M$3:$M$14,MATCH(D342,Question_Bank!$A$3:$A$14,0))</f>
        <v>0</v>
      </c>
      <c r="J342">
        <f>SUMIFS($I$3:$I$518,$A$3:$A$518,A342)</f>
        <v>0</v>
      </c>
      <c r="K342" s="5">
        <f>J342/SUM(Question_Bank!$M$3:$M$14)</f>
        <v>0</v>
      </c>
      <c r="L342" s="5">
        <f>SUMIFS($I$3:$I$518,$A$3:$A$518,A342,$E$3:$E$518,E342)/SUMIFS(Question_Bank!$M$3:$M$14,Question_Bank!$B$3:$B$14,E342)</f>
        <v>0</v>
      </c>
      <c r="M342" t="s">
        <v>320</v>
      </c>
    </row>
    <row r="343" spans="1:13">
      <c r="A343" t="s">
        <v>319</v>
      </c>
      <c r="B343" t="s">
        <v>263</v>
      </c>
      <c r="C343" t="s">
        <v>133</v>
      </c>
      <c r="D343" t="s">
        <v>54</v>
      </c>
      <c r="E343" t="s">
        <v>46</v>
      </c>
      <c r="F343" t="s">
        <v>34</v>
      </c>
      <c r="G343">
        <f>INDEX(Question_Bank!$G$3:$G$14,MATCH(D343,Question_Bank!$A$3:$A$14,0))</f>
        <v>0</v>
      </c>
      <c r="H343">
        <f>IF(F343=G343,1,0)</f>
        <v>0</v>
      </c>
      <c r="I343">
        <f>H343*INDEX(Question_Bank!$M$3:$M$14,MATCH(D343,Question_Bank!$A$3:$A$14,0))</f>
        <v>0</v>
      </c>
      <c r="J343">
        <f>SUMIFS($I$3:$I$518,$A$3:$A$518,A343)</f>
        <v>0</v>
      </c>
      <c r="K343" s="5">
        <f>J343/SUM(Question_Bank!$M$3:$M$14)</f>
        <v>0</v>
      </c>
      <c r="L343" s="5">
        <f>SUMIFS($I$3:$I$518,$A$3:$A$518,A343,$E$3:$E$518,E343)/SUMIFS(Question_Bank!$M$3:$M$14,Question_Bank!$B$3:$B$14,E343)</f>
        <v>0</v>
      </c>
      <c r="M343" t="s">
        <v>320</v>
      </c>
    </row>
    <row r="344" spans="1:13">
      <c r="A344" t="s">
        <v>319</v>
      </c>
      <c r="B344" t="s">
        <v>263</v>
      </c>
      <c r="C344" t="s">
        <v>133</v>
      </c>
      <c r="D344" t="s">
        <v>62</v>
      </c>
      <c r="E344" t="s">
        <v>46</v>
      </c>
      <c r="F344" t="s">
        <v>20</v>
      </c>
      <c r="G344">
        <f>INDEX(Question_Bank!$G$3:$G$14,MATCH(D344,Question_Bank!$A$3:$A$14,0))</f>
        <v>0</v>
      </c>
      <c r="H344">
        <f>IF(F344=G344,1,0)</f>
        <v>0</v>
      </c>
      <c r="I344">
        <f>H344*INDEX(Question_Bank!$M$3:$M$14,MATCH(D344,Question_Bank!$A$3:$A$14,0))</f>
        <v>0</v>
      </c>
      <c r="J344">
        <f>SUMIFS($I$3:$I$518,$A$3:$A$518,A344)</f>
        <v>0</v>
      </c>
      <c r="K344" s="5">
        <f>J344/SUM(Question_Bank!$M$3:$M$14)</f>
        <v>0</v>
      </c>
      <c r="L344" s="5">
        <f>SUMIFS($I$3:$I$518,$A$3:$A$518,A344,$E$3:$E$518,E344)/SUMIFS(Question_Bank!$M$3:$M$14,Question_Bank!$B$3:$B$14,E344)</f>
        <v>0</v>
      </c>
      <c r="M344" t="s">
        <v>320</v>
      </c>
    </row>
    <row r="345" spans="1:13">
      <c r="A345" t="s">
        <v>319</v>
      </c>
      <c r="B345" t="s">
        <v>263</v>
      </c>
      <c r="C345" t="s">
        <v>133</v>
      </c>
      <c r="D345" t="s">
        <v>70</v>
      </c>
      <c r="E345" t="s">
        <v>71</v>
      </c>
      <c r="F345" t="s">
        <v>23</v>
      </c>
      <c r="G345">
        <f>INDEX(Question_Bank!$G$3:$G$14,MATCH(D345,Question_Bank!$A$3:$A$14,0))</f>
        <v>0</v>
      </c>
      <c r="H345">
        <f>IF(F345=G345,1,0)</f>
        <v>0</v>
      </c>
      <c r="I345">
        <f>H345*INDEX(Question_Bank!$M$3:$M$14,MATCH(D345,Question_Bank!$A$3:$A$14,0))</f>
        <v>0</v>
      </c>
      <c r="J345">
        <f>SUMIFS($I$3:$I$518,$A$3:$A$518,A345)</f>
        <v>0</v>
      </c>
      <c r="K345" s="5">
        <f>J345/SUM(Question_Bank!$M$3:$M$14)</f>
        <v>0</v>
      </c>
      <c r="L345" s="5">
        <f>SUMIFS($I$3:$I$518,$A$3:$A$518,A345,$E$3:$E$518,E345)/SUMIFS(Question_Bank!$M$3:$M$14,Question_Bank!$B$3:$B$14,E345)</f>
        <v>0</v>
      </c>
      <c r="M345" t="s">
        <v>320</v>
      </c>
    </row>
    <row r="346" spans="1:13">
      <c r="A346" t="s">
        <v>319</v>
      </c>
      <c r="B346" t="s">
        <v>263</v>
      </c>
      <c r="C346" t="s">
        <v>133</v>
      </c>
      <c r="D346" t="s">
        <v>79</v>
      </c>
      <c r="E346" t="s">
        <v>71</v>
      </c>
      <c r="F346" t="s">
        <v>23</v>
      </c>
      <c r="G346">
        <f>INDEX(Question_Bank!$G$3:$G$14,MATCH(D346,Question_Bank!$A$3:$A$14,0))</f>
        <v>0</v>
      </c>
      <c r="H346">
        <f>IF(F346=G346,1,0)</f>
        <v>0</v>
      </c>
      <c r="I346">
        <f>H346*INDEX(Question_Bank!$M$3:$M$14,MATCH(D346,Question_Bank!$A$3:$A$14,0))</f>
        <v>0</v>
      </c>
      <c r="J346">
        <f>SUMIFS($I$3:$I$518,$A$3:$A$518,A346)</f>
        <v>0</v>
      </c>
      <c r="K346" s="5">
        <f>J346/SUM(Question_Bank!$M$3:$M$14)</f>
        <v>0</v>
      </c>
      <c r="L346" s="5">
        <f>SUMIFS($I$3:$I$518,$A$3:$A$518,A346,$E$3:$E$518,E346)/SUMIFS(Question_Bank!$M$3:$M$14,Question_Bank!$B$3:$B$14,E346)</f>
        <v>0</v>
      </c>
      <c r="M346" t="s">
        <v>320</v>
      </c>
    </row>
    <row r="347" spans="1:13">
      <c r="A347" t="s">
        <v>319</v>
      </c>
      <c r="B347" t="s">
        <v>263</v>
      </c>
      <c r="C347" t="s">
        <v>133</v>
      </c>
      <c r="D347" t="s">
        <v>87</v>
      </c>
      <c r="E347" t="s">
        <v>71</v>
      </c>
      <c r="F347" t="s">
        <v>20</v>
      </c>
      <c r="G347">
        <f>INDEX(Question_Bank!$G$3:$G$14,MATCH(D347,Question_Bank!$A$3:$A$14,0))</f>
        <v>0</v>
      </c>
      <c r="H347">
        <f>IF(F347=G347,1,0)</f>
        <v>0</v>
      </c>
      <c r="I347">
        <f>H347*INDEX(Question_Bank!$M$3:$M$14,MATCH(D347,Question_Bank!$A$3:$A$14,0))</f>
        <v>0</v>
      </c>
      <c r="J347">
        <f>SUMIFS($I$3:$I$518,$A$3:$A$518,A347)</f>
        <v>0</v>
      </c>
      <c r="K347" s="5">
        <f>J347/SUM(Question_Bank!$M$3:$M$14)</f>
        <v>0</v>
      </c>
      <c r="L347" s="5">
        <f>SUMIFS($I$3:$I$518,$A$3:$A$518,A347,$E$3:$E$518,E347)/SUMIFS(Question_Bank!$M$3:$M$14,Question_Bank!$B$3:$B$14,E347)</f>
        <v>0</v>
      </c>
      <c r="M347" t="s">
        <v>320</v>
      </c>
    </row>
    <row r="348" spans="1:13">
      <c r="A348" t="s">
        <v>319</v>
      </c>
      <c r="B348" t="s">
        <v>263</v>
      </c>
      <c r="C348" t="s">
        <v>133</v>
      </c>
      <c r="D348" t="s">
        <v>95</v>
      </c>
      <c r="E348" t="s">
        <v>96</v>
      </c>
      <c r="F348" t="s">
        <v>31</v>
      </c>
      <c r="G348">
        <f>INDEX(Question_Bank!$G$3:$G$14,MATCH(D348,Question_Bank!$A$3:$A$14,0))</f>
        <v>0</v>
      </c>
      <c r="H348">
        <f>IF(F348=G348,1,0)</f>
        <v>0</v>
      </c>
      <c r="I348">
        <f>H348*INDEX(Question_Bank!$M$3:$M$14,MATCH(D348,Question_Bank!$A$3:$A$14,0))</f>
        <v>0</v>
      </c>
      <c r="J348">
        <f>SUMIFS($I$3:$I$518,$A$3:$A$518,A348)</f>
        <v>0</v>
      </c>
      <c r="K348" s="5">
        <f>J348/SUM(Question_Bank!$M$3:$M$14)</f>
        <v>0</v>
      </c>
      <c r="L348" s="5">
        <f>SUMIFS($I$3:$I$518,$A$3:$A$518,A348,$E$3:$E$518,E348)/SUMIFS(Question_Bank!$M$3:$M$14,Question_Bank!$B$3:$B$14,E348)</f>
        <v>0</v>
      </c>
      <c r="M348" t="s">
        <v>320</v>
      </c>
    </row>
    <row r="349" spans="1:13">
      <c r="A349" t="s">
        <v>319</v>
      </c>
      <c r="B349" t="s">
        <v>263</v>
      </c>
      <c r="C349" t="s">
        <v>133</v>
      </c>
      <c r="D349" t="s">
        <v>104</v>
      </c>
      <c r="E349" t="s">
        <v>96</v>
      </c>
      <c r="F349" t="s">
        <v>31</v>
      </c>
      <c r="G349">
        <f>INDEX(Question_Bank!$G$3:$G$14,MATCH(D349,Question_Bank!$A$3:$A$14,0))</f>
        <v>0</v>
      </c>
      <c r="H349">
        <f>IF(F349=G349,1,0)</f>
        <v>0</v>
      </c>
      <c r="I349">
        <f>H349*INDEX(Question_Bank!$M$3:$M$14,MATCH(D349,Question_Bank!$A$3:$A$14,0))</f>
        <v>0</v>
      </c>
      <c r="J349">
        <f>SUMIFS($I$3:$I$518,$A$3:$A$518,A349)</f>
        <v>0</v>
      </c>
      <c r="K349" s="5">
        <f>J349/SUM(Question_Bank!$M$3:$M$14)</f>
        <v>0</v>
      </c>
      <c r="L349" s="5">
        <f>SUMIFS($I$3:$I$518,$A$3:$A$518,A349,$E$3:$E$518,E349)/SUMIFS(Question_Bank!$M$3:$M$14,Question_Bank!$B$3:$B$14,E349)</f>
        <v>0</v>
      </c>
      <c r="M349" t="s">
        <v>320</v>
      </c>
    </row>
    <row r="350" spans="1:13">
      <c r="A350" t="s">
        <v>319</v>
      </c>
      <c r="B350" t="s">
        <v>263</v>
      </c>
      <c r="C350" t="s">
        <v>133</v>
      </c>
      <c r="D350" t="s">
        <v>112</v>
      </c>
      <c r="E350" t="s">
        <v>96</v>
      </c>
      <c r="F350" t="s">
        <v>20</v>
      </c>
      <c r="G350">
        <f>INDEX(Question_Bank!$G$3:$G$14,MATCH(D350,Question_Bank!$A$3:$A$14,0))</f>
        <v>0</v>
      </c>
      <c r="H350">
        <f>IF(F350=G350,1,0)</f>
        <v>0</v>
      </c>
      <c r="I350">
        <f>H350*INDEX(Question_Bank!$M$3:$M$14,MATCH(D350,Question_Bank!$A$3:$A$14,0))</f>
        <v>0</v>
      </c>
      <c r="J350">
        <f>SUMIFS($I$3:$I$518,$A$3:$A$518,A350)</f>
        <v>0</v>
      </c>
      <c r="K350" s="5">
        <f>J350/SUM(Question_Bank!$M$3:$M$14)</f>
        <v>0</v>
      </c>
      <c r="L350" s="5">
        <f>SUMIFS($I$3:$I$518,$A$3:$A$518,A350,$E$3:$E$518,E350)/SUMIFS(Question_Bank!$M$3:$M$14,Question_Bank!$B$3:$B$14,E350)</f>
        <v>0</v>
      </c>
      <c r="M350" t="s">
        <v>320</v>
      </c>
    </row>
    <row r="351" spans="1:13">
      <c r="A351" t="s">
        <v>321</v>
      </c>
      <c r="B351" t="s">
        <v>263</v>
      </c>
      <c r="C351" t="s">
        <v>133</v>
      </c>
      <c r="D351" t="s">
        <v>14</v>
      </c>
      <c r="E351" t="s">
        <v>15</v>
      </c>
      <c r="F351" t="s">
        <v>23</v>
      </c>
      <c r="G351">
        <f>INDEX(Question_Bank!$G$3:$G$14,MATCH(D351,Question_Bank!$A$3:$A$14,0))</f>
        <v>0</v>
      </c>
      <c r="H351">
        <f>IF(F351=G351,1,0)</f>
        <v>0</v>
      </c>
      <c r="I351">
        <f>H351*INDEX(Question_Bank!$M$3:$M$14,MATCH(D351,Question_Bank!$A$3:$A$14,0))</f>
        <v>0</v>
      </c>
      <c r="J351">
        <f>SUMIFS($I$3:$I$518,$A$3:$A$518,A351)</f>
        <v>0</v>
      </c>
      <c r="K351" s="5">
        <f>J351/SUM(Question_Bank!$M$3:$M$14)</f>
        <v>0</v>
      </c>
      <c r="L351" s="5">
        <f>SUMIFS($I$3:$I$518,$A$3:$A$518,A351,$E$3:$E$518,E351)/SUMIFS(Question_Bank!$M$3:$M$14,Question_Bank!$B$3:$B$14,E351)</f>
        <v>0</v>
      </c>
      <c r="M351" t="s">
        <v>322</v>
      </c>
    </row>
    <row r="352" spans="1:13">
      <c r="A352" t="s">
        <v>321</v>
      </c>
      <c r="B352" t="s">
        <v>263</v>
      </c>
      <c r="C352" t="s">
        <v>133</v>
      </c>
      <c r="D352" t="s">
        <v>26</v>
      </c>
      <c r="E352" t="s">
        <v>15</v>
      </c>
      <c r="F352" t="s">
        <v>31</v>
      </c>
      <c r="G352">
        <f>INDEX(Question_Bank!$G$3:$G$14,MATCH(D352,Question_Bank!$A$3:$A$14,0))</f>
        <v>0</v>
      </c>
      <c r="H352">
        <f>IF(F352=G352,1,0)</f>
        <v>0</v>
      </c>
      <c r="I352">
        <f>H352*INDEX(Question_Bank!$M$3:$M$14,MATCH(D352,Question_Bank!$A$3:$A$14,0))</f>
        <v>0</v>
      </c>
      <c r="J352">
        <f>SUMIFS($I$3:$I$518,$A$3:$A$518,A352)</f>
        <v>0</v>
      </c>
      <c r="K352" s="5">
        <f>J352/SUM(Question_Bank!$M$3:$M$14)</f>
        <v>0</v>
      </c>
      <c r="L352" s="5">
        <f>SUMIFS($I$3:$I$518,$A$3:$A$518,A352,$E$3:$E$518,E352)/SUMIFS(Question_Bank!$M$3:$M$14,Question_Bank!$B$3:$B$14,E352)</f>
        <v>0</v>
      </c>
      <c r="M352" t="s">
        <v>322</v>
      </c>
    </row>
    <row r="353" spans="1:13">
      <c r="A353" t="s">
        <v>321</v>
      </c>
      <c r="B353" t="s">
        <v>263</v>
      </c>
      <c r="C353" t="s">
        <v>133</v>
      </c>
      <c r="D353" t="s">
        <v>37</v>
      </c>
      <c r="E353" t="s">
        <v>15</v>
      </c>
      <c r="F353" t="s">
        <v>23</v>
      </c>
      <c r="G353">
        <f>INDEX(Question_Bank!$G$3:$G$14,MATCH(D353,Question_Bank!$A$3:$A$14,0))</f>
        <v>0</v>
      </c>
      <c r="H353">
        <f>IF(F353=G353,1,0)</f>
        <v>0</v>
      </c>
      <c r="I353">
        <f>H353*INDEX(Question_Bank!$M$3:$M$14,MATCH(D353,Question_Bank!$A$3:$A$14,0))</f>
        <v>0</v>
      </c>
      <c r="J353">
        <f>SUMIFS($I$3:$I$518,$A$3:$A$518,A353)</f>
        <v>0</v>
      </c>
      <c r="K353" s="5">
        <f>J353/SUM(Question_Bank!$M$3:$M$14)</f>
        <v>0</v>
      </c>
      <c r="L353" s="5">
        <f>SUMIFS($I$3:$I$518,$A$3:$A$518,A353,$E$3:$E$518,E353)/SUMIFS(Question_Bank!$M$3:$M$14,Question_Bank!$B$3:$B$14,E353)</f>
        <v>0</v>
      </c>
      <c r="M353" t="s">
        <v>322</v>
      </c>
    </row>
    <row r="354" spans="1:13">
      <c r="A354" t="s">
        <v>321</v>
      </c>
      <c r="B354" t="s">
        <v>263</v>
      </c>
      <c r="C354" t="s">
        <v>133</v>
      </c>
      <c r="D354" t="s">
        <v>45</v>
      </c>
      <c r="E354" t="s">
        <v>46</v>
      </c>
      <c r="F354" t="s">
        <v>20</v>
      </c>
      <c r="G354">
        <f>INDEX(Question_Bank!$G$3:$G$14,MATCH(D354,Question_Bank!$A$3:$A$14,0))</f>
        <v>0</v>
      </c>
      <c r="H354">
        <f>IF(F354=G354,1,0)</f>
        <v>0</v>
      </c>
      <c r="I354">
        <f>H354*INDEX(Question_Bank!$M$3:$M$14,MATCH(D354,Question_Bank!$A$3:$A$14,0))</f>
        <v>0</v>
      </c>
      <c r="J354">
        <f>SUMIFS($I$3:$I$518,$A$3:$A$518,A354)</f>
        <v>0</v>
      </c>
      <c r="K354" s="5">
        <f>J354/SUM(Question_Bank!$M$3:$M$14)</f>
        <v>0</v>
      </c>
      <c r="L354" s="5">
        <f>SUMIFS($I$3:$I$518,$A$3:$A$518,A354,$E$3:$E$518,E354)/SUMIFS(Question_Bank!$M$3:$M$14,Question_Bank!$B$3:$B$14,E354)</f>
        <v>0</v>
      </c>
      <c r="M354" t="s">
        <v>322</v>
      </c>
    </row>
    <row r="355" spans="1:13">
      <c r="A355" t="s">
        <v>321</v>
      </c>
      <c r="B355" t="s">
        <v>263</v>
      </c>
      <c r="C355" t="s">
        <v>133</v>
      </c>
      <c r="D355" t="s">
        <v>54</v>
      </c>
      <c r="E355" t="s">
        <v>46</v>
      </c>
      <c r="F355" t="s">
        <v>20</v>
      </c>
      <c r="G355">
        <f>INDEX(Question_Bank!$G$3:$G$14,MATCH(D355,Question_Bank!$A$3:$A$14,0))</f>
        <v>0</v>
      </c>
      <c r="H355">
        <f>IF(F355=G355,1,0)</f>
        <v>0</v>
      </c>
      <c r="I355">
        <f>H355*INDEX(Question_Bank!$M$3:$M$14,MATCH(D355,Question_Bank!$A$3:$A$14,0))</f>
        <v>0</v>
      </c>
      <c r="J355">
        <f>SUMIFS($I$3:$I$518,$A$3:$A$518,A355)</f>
        <v>0</v>
      </c>
      <c r="K355" s="5">
        <f>J355/SUM(Question_Bank!$M$3:$M$14)</f>
        <v>0</v>
      </c>
      <c r="L355" s="5">
        <f>SUMIFS($I$3:$I$518,$A$3:$A$518,A355,$E$3:$E$518,E355)/SUMIFS(Question_Bank!$M$3:$M$14,Question_Bank!$B$3:$B$14,E355)</f>
        <v>0</v>
      </c>
      <c r="M355" t="s">
        <v>322</v>
      </c>
    </row>
    <row r="356" spans="1:13">
      <c r="A356" t="s">
        <v>321</v>
      </c>
      <c r="B356" t="s">
        <v>263</v>
      </c>
      <c r="C356" t="s">
        <v>133</v>
      </c>
      <c r="D356" t="s">
        <v>62</v>
      </c>
      <c r="E356" t="s">
        <v>46</v>
      </c>
      <c r="F356" t="s">
        <v>31</v>
      </c>
      <c r="G356">
        <f>INDEX(Question_Bank!$G$3:$G$14,MATCH(D356,Question_Bank!$A$3:$A$14,0))</f>
        <v>0</v>
      </c>
      <c r="H356">
        <f>IF(F356=G356,1,0)</f>
        <v>0</v>
      </c>
      <c r="I356">
        <f>H356*INDEX(Question_Bank!$M$3:$M$14,MATCH(D356,Question_Bank!$A$3:$A$14,0))</f>
        <v>0</v>
      </c>
      <c r="J356">
        <f>SUMIFS($I$3:$I$518,$A$3:$A$518,A356)</f>
        <v>0</v>
      </c>
      <c r="K356" s="5">
        <f>J356/SUM(Question_Bank!$M$3:$M$14)</f>
        <v>0</v>
      </c>
      <c r="L356" s="5">
        <f>SUMIFS($I$3:$I$518,$A$3:$A$518,A356,$E$3:$E$518,E356)/SUMIFS(Question_Bank!$M$3:$M$14,Question_Bank!$B$3:$B$14,E356)</f>
        <v>0</v>
      </c>
      <c r="M356" t="s">
        <v>322</v>
      </c>
    </row>
    <row r="357" spans="1:13">
      <c r="A357" t="s">
        <v>321</v>
      </c>
      <c r="B357" t="s">
        <v>263</v>
      </c>
      <c r="C357" t="s">
        <v>133</v>
      </c>
      <c r="D357" t="s">
        <v>70</v>
      </c>
      <c r="E357" t="s">
        <v>71</v>
      </c>
      <c r="F357" t="s">
        <v>23</v>
      </c>
      <c r="G357">
        <f>INDEX(Question_Bank!$G$3:$G$14,MATCH(D357,Question_Bank!$A$3:$A$14,0))</f>
        <v>0</v>
      </c>
      <c r="H357">
        <f>IF(F357=G357,1,0)</f>
        <v>0</v>
      </c>
      <c r="I357">
        <f>H357*INDEX(Question_Bank!$M$3:$M$14,MATCH(D357,Question_Bank!$A$3:$A$14,0))</f>
        <v>0</v>
      </c>
      <c r="J357">
        <f>SUMIFS($I$3:$I$518,$A$3:$A$518,A357)</f>
        <v>0</v>
      </c>
      <c r="K357" s="5">
        <f>J357/SUM(Question_Bank!$M$3:$M$14)</f>
        <v>0</v>
      </c>
      <c r="L357" s="5">
        <f>SUMIFS($I$3:$I$518,$A$3:$A$518,A357,$E$3:$E$518,E357)/SUMIFS(Question_Bank!$M$3:$M$14,Question_Bank!$B$3:$B$14,E357)</f>
        <v>0</v>
      </c>
      <c r="M357" t="s">
        <v>322</v>
      </c>
    </row>
    <row r="358" spans="1:13">
      <c r="A358" t="s">
        <v>321</v>
      </c>
      <c r="B358" t="s">
        <v>263</v>
      </c>
      <c r="C358" t="s">
        <v>133</v>
      </c>
      <c r="D358" t="s">
        <v>79</v>
      </c>
      <c r="E358" t="s">
        <v>71</v>
      </c>
      <c r="F358" t="s">
        <v>20</v>
      </c>
      <c r="G358">
        <f>INDEX(Question_Bank!$G$3:$G$14,MATCH(D358,Question_Bank!$A$3:$A$14,0))</f>
        <v>0</v>
      </c>
      <c r="H358">
        <f>IF(F358=G358,1,0)</f>
        <v>0</v>
      </c>
      <c r="I358">
        <f>H358*INDEX(Question_Bank!$M$3:$M$14,MATCH(D358,Question_Bank!$A$3:$A$14,0))</f>
        <v>0</v>
      </c>
      <c r="J358">
        <f>SUMIFS($I$3:$I$518,$A$3:$A$518,A358)</f>
        <v>0</v>
      </c>
      <c r="K358" s="5">
        <f>J358/SUM(Question_Bank!$M$3:$M$14)</f>
        <v>0</v>
      </c>
      <c r="L358" s="5">
        <f>SUMIFS($I$3:$I$518,$A$3:$A$518,A358,$E$3:$E$518,E358)/SUMIFS(Question_Bank!$M$3:$M$14,Question_Bank!$B$3:$B$14,E358)</f>
        <v>0</v>
      </c>
      <c r="M358" t="s">
        <v>322</v>
      </c>
    </row>
    <row r="359" spans="1:13">
      <c r="A359" t="s">
        <v>321</v>
      </c>
      <c r="B359" t="s">
        <v>263</v>
      </c>
      <c r="C359" t="s">
        <v>133</v>
      </c>
      <c r="D359" t="s">
        <v>87</v>
      </c>
      <c r="E359" t="s">
        <v>71</v>
      </c>
      <c r="F359" t="s">
        <v>20</v>
      </c>
      <c r="G359">
        <f>INDEX(Question_Bank!$G$3:$G$14,MATCH(D359,Question_Bank!$A$3:$A$14,0))</f>
        <v>0</v>
      </c>
      <c r="H359">
        <f>IF(F359=G359,1,0)</f>
        <v>0</v>
      </c>
      <c r="I359">
        <f>H359*INDEX(Question_Bank!$M$3:$M$14,MATCH(D359,Question_Bank!$A$3:$A$14,0))</f>
        <v>0</v>
      </c>
      <c r="J359">
        <f>SUMIFS($I$3:$I$518,$A$3:$A$518,A359)</f>
        <v>0</v>
      </c>
      <c r="K359" s="5">
        <f>J359/SUM(Question_Bank!$M$3:$M$14)</f>
        <v>0</v>
      </c>
      <c r="L359" s="5">
        <f>SUMIFS($I$3:$I$518,$A$3:$A$518,A359,$E$3:$E$518,E359)/SUMIFS(Question_Bank!$M$3:$M$14,Question_Bank!$B$3:$B$14,E359)</f>
        <v>0</v>
      </c>
      <c r="M359" t="s">
        <v>322</v>
      </c>
    </row>
    <row r="360" spans="1:13">
      <c r="A360" t="s">
        <v>321</v>
      </c>
      <c r="B360" t="s">
        <v>263</v>
      </c>
      <c r="C360" t="s">
        <v>133</v>
      </c>
      <c r="D360" t="s">
        <v>95</v>
      </c>
      <c r="E360" t="s">
        <v>96</v>
      </c>
      <c r="F360" t="s">
        <v>31</v>
      </c>
      <c r="G360">
        <f>INDEX(Question_Bank!$G$3:$G$14,MATCH(D360,Question_Bank!$A$3:$A$14,0))</f>
        <v>0</v>
      </c>
      <c r="H360">
        <f>IF(F360=G360,1,0)</f>
        <v>0</v>
      </c>
      <c r="I360">
        <f>H360*INDEX(Question_Bank!$M$3:$M$14,MATCH(D360,Question_Bank!$A$3:$A$14,0))</f>
        <v>0</v>
      </c>
      <c r="J360">
        <f>SUMIFS($I$3:$I$518,$A$3:$A$518,A360)</f>
        <v>0</v>
      </c>
      <c r="K360" s="5">
        <f>J360/SUM(Question_Bank!$M$3:$M$14)</f>
        <v>0</v>
      </c>
      <c r="L360" s="5">
        <f>SUMIFS($I$3:$I$518,$A$3:$A$518,A360,$E$3:$E$518,E360)/SUMIFS(Question_Bank!$M$3:$M$14,Question_Bank!$B$3:$B$14,E360)</f>
        <v>0</v>
      </c>
      <c r="M360" t="s">
        <v>322</v>
      </c>
    </row>
    <row r="361" spans="1:13">
      <c r="A361" t="s">
        <v>321</v>
      </c>
      <c r="B361" t="s">
        <v>263</v>
      </c>
      <c r="C361" t="s">
        <v>133</v>
      </c>
      <c r="D361" t="s">
        <v>104</v>
      </c>
      <c r="E361" t="s">
        <v>96</v>
      </c>
      <c r="F361" t="s">
        <v>23</v>
      </c>
      <c r="G361">
        <f>INDEX(Question_Bank!$G$3:$G$14,MATCH(D361,Question_Bank!$A$3:$A$14,0))</f>
        <v>0</v>
      </c>
      <c r="H361">
        <f>IF(F361=G361,1,0)</f>
        <v>0</v>
      </c>
      <c r="I361">
        <f>H361*INDEX(Question_Bank!$M$3:$M$14,MATCH(D361,Question_Bank!$A$3:$A$14,0))</f>
        <v>0</v>
      </c>
      <c r="J361">
        <f>SUMIFS($I$3:$I$518,$A$3:$A$518,A361)</f>
        <v>0</v>
      </c>
      <c r="K361" s="5">
        <f>J361/SUM(Question_Bank!$M$3:$M$14)</f>
        <v>0</v>
      </c>
      <c r="L361" s="5">
        <f>SUMIFS($I$3:$I$518,$A$3:$A$518,A361,$E$3:$E$518,E361)/SUMIFS(Question_Bank!$M$3:$M$14,Question_Bank!$B$3:$B$14,E361)</f>
        <v>0</v>
      </c>
      <c r="M361" t="s">
        <v>322</v>
      </c>
    </row>
    <row r="362" spans="1:13">
      <c r="A362" t="s">
        <v>321</v>
      </c>
      <c r="B362" t="s">
        <v>263</v>
      </c>
      <c r="C362" t="s">
        <v>133</v>
      </c>
      <c r="D362" t="s">
        <v>112</v>
      </c>
      <c r="E362" t="s">
        <v>96</v>
      </c>
      <c r="F362" t="s">
        <v>34</v>
      </c>
      <c r="G362">
        <f>INDEX(Question_Bank!$G$3:$G$14,MATCH(D362,Question_Bank!$A$3:$A$14,0))</f>
        <v>0</v>
      </c>
      <c r="H362">
        <f>IF(F362=G362,1,0)</f>
        <v>0</v>
      </c>
      <c r="I362">
        <f>H362*INDEX(Question_Bank!$M$3:$M$14,MATCH(D362,Question_Bank!$A$3:$A$14,0))</f>
        <v>0</v>
      </c>
      <c r="J362">
        <f>SUMIFS($I$3:$I$518,$A$3:$A$518,A362)</f>
        <v>0</v>
      </c>
      <c r="K362" s="5">
        <f>J362/SUM(Question_Bank!$M$3:$M$14)</f>
        <v>0</v>
      </c>
      <c r="L362" s="5">
        <f>SUMIFS($I$3:$I$518,$A$3:$A$518,A362,$E$3:$E$518,E362)/SUMIFS(Question_Bank!$M$3:$M$14,Question_Bank!$B$3:$B$14,E362)</f>
        <v>0</v>
      </c>
      <c r="M362" t="s">
        <v>322</v>
      </c>
    </row>
    <row r="363" spans="1:13">
      <c r="A363" t="s">
        <v>323</v>
      </c>
      <c r="B363" t="s">
        <v>263</v>
      </c>
      <c r="C363" t="s">
        <v>133</v>
      </c>
      <c r="D363" t="s">
        <v>14</v>
      </c>
      <c r="E363" t="s">
        <v>15</v>
      </c>
      <c r="F363" t="s">
        <v>34</v>
      </c>
      <c r="G363">
        <f>INDEX(Question_Bank!$G$3:$G$14,MATCH(D363,Question_Bank!$A$3:$A$14,0))</f>
        <v>0</v>
      </c>
      <c r="H363">
        <f>IF(F363=G363,1,0)</f>
        <v>0</v>
      </c>
      <c r="I363">
        <f>H363*INDEX(Question_Bank!$M$3:$M$14,MATCH(D363,Question_Bank!$A$3:$A$14,0))</f>
        <v>0</v>
      </c>
      <c r="J363">
        <f>SUMIFS($I$3:$I$518,$A$3:$A$518,A363)</f>
        <v>0</v>
      </c>
      <c r="K363" s="5">
        <f>J363/SUM(Question_Bank!$M$3:$M$14)</f>
        <v>0</v>
      </c>
      <c r="L363" s="5">
        <f>SUMIFS($I$3:$I$518,$A$3:$A$518,A363,$E$3:$E$518,E363)/SUMIFS(Question_Bank!$M$3:$M$14,Question_Bank!$B$3:$B$14,E363)</f>
        <v>0</v>
      </c>
      <c r="M363" t="s">
        <v>324</v>
      </c>
    </row>
    <row r="364" spans="1:13">
      <c r="A364" t="s">
        <v>323</v>
      </c>
      <c r="B364" t="s">
        <v>263</v>
      </c>
      <c r="C364" t="s">
        <v>133</v>
      </c>
      <c r="D364" t="s">
        <v>26</v>
      </c>
      <c r="E364" t="s">
        <v>15</v>
      </c>
      <c r="F364" t="s">
        <v>31</v>
      </c>
      <c r="G364">
        <f>INDEX(Question_Bank!$G$3:$G$14,MATCH(D364,Question_Bank!$A$3:$A$14,0))</f>
        <v>0</v>
      </c>
      <c r="H364">
        <f>IF(F364=G364,1,0)</f>
        <v>0</v>
      </c>
      <c r="I364">
        <f>H364*INDEX(Question_Bank!$M$3:$M$14,MATCH(D364,Question_Bank!$A$3:$A$14,0))</f>
        <v>0</v>
      </c>
      <c r="J364">
        <f>SUMIFS($I$3:$I$518,$A$3:$A$518,A364)</f>
        <v>0</v>
      </c>
      <c r="K364" s="5">
        <f>J364/SUM(Question_Bank!$M$3:$M$14)</f>
        <v>0</v>
      </c>
      <c r="L364" s="5">
        <f>SUMIFS($I$3:$I$518,$A$3:$A$518,A364,$E$3:$E$518,E364)/SUMIFS(Question_Bank!$M$3:$M$14,Question_Bank!$B$3:$B$14,E364)</f>
        <v>0</v>
      </c>
      <c r="M364" t="s">
        <v>324</v>
      </c>
    </row>
    <row r="365" spans="1:13">
      <c r="A365" t="s">
        <v>323</v>
      </c>
      <c r="B365" t="s">
        <v>263</v>
      </c>
      <c r="C365" t="s">
        <v>133</v>
      </c>
      <c r="D365" t="s">
        <v>37</v>
      </c>
      <c r="E365" t="s">
        <v>15</v>
      </c>
      <c r="F365" t="s">
        <v>23</v>
      </c>
      <c r="G365">
        <f>INDEX(Question_Bank!$G$3:$G$14,MATCH(D365,Question_Bank!$A$3:$A$14,0))</f>
        <v>0</v>
      </c>
      <c r="H365">
        <f>IF(F365=G365,1,0)</f>
        <v>0</v>
      </c>
      <c r="I365">
        <f>H365*INDEX(Question_Bank!$M$3:$M$14,MATCH(D365,Question_Bank!$A$3:$A$14,0))</f>
        <v>0</v>
      </c>
      <c r="J365">
        <f>SUMIFS($I$3:$I$518,$A$3:$A$518,A365)</f>
        <v>0</v>
      </c>
      <c r="K365" s="5">
        <f>J365/SUM(Question_Bank!$M$3:$M$14)</f>
        <v>0</v>
      </c>
      <c r="L365" s="5">
        <f>SUMIFS($I$3:$I$518,$A$3:$A$518,A365,$E$3:$E$518,E365)/SUMIFS(Question_Bank!$M$3:$M$14,Question_Bank!$B$3:$B$14,E365)</f>
        <v>0</v>
      </c>
      <c r="M365" t="s">
        <v>324</v>
      </c>
    </row>
    <row r="366" spans="1:13">
      <c r="A366" t="s">
        <v>323</v>
      </c>
      <c r="B366" t="s">
        <v>263</v>
      </c>
      <c r="C366" t="s">
        <v>133</v>
      </c>
      <c r="D366" t="s">
        <v>45</v>
      </c>
      <c r="E366" t="s">
        <v>46</v>
      </c>
      <c r="F366" t="s">
        <v>23</v>
      </c>
      <c r="G366">
        <f>INDEX(Question_Bank!$G$3:$G$14,MATCH(D366,Question_Bank!$A$3:$A$14,0))</f>
        <v>0</v>
      </c>
      <c r="H366">
        <f>IF(F366=G366,1,0)</f>
        <v>0</v>
      </c>
      <c r="I366">
        <f>H366*INDEX(Question_Bank!$M$3:$M$14,MATCH(D366,Question_Bank!$A$3:$A$14,0))</f>
        <v>0</v>
      </c>
      <c r="J366">
        <f>SUMIFS($I$3:$I$518,$A$3:$A$518,A366)</f>
        <v>0</v>
      </c>
      <c r="K366" s="5">
        <f>J366/SUM(Question_Bank!$M$3:$M$14)</f>
        <v>0</v>
      </c>
      <c r="L366" s="5">
        <f>SUMIFS($I$3:$I$518,$A$3:$A$518,A366,$E$3:$E$518,E366)/SUMIFS(Question_Bank!$M$3:$M$14,Question_Bank!$B$3:$B$14,E366)</f>
        <v>0</v>
      </c>
      <c r="M366" t="s">
        <v>324</v>
      </c>
    </row>
    <row r="367" spans="1:13">
      <c r="A367" t="s">
        <v>323</v>
      </c>
      <c r="B367" t="s">
        <v>263</v>
      </c>
      <c r="C367" t="s">
        <v>133</v>
      </c>
      <c r="D367" t="s">
        <v>54</v>
      </c>
      <c r="E367" t="s">
        <v>46</v>
      </c>
      <c r="F367" t="s">
        <v>31</v>
      </c>
      <c r="G367">
        <f>INDEX(Question_Bank!$G$3:$G$14,MATCH(D367,Question_Bank!$A$3:$A$14,0))</f>
        <v>0</v>
      </c>
      <c r="H367">
        <f>IF(F367=G367,1,0)</f>
        <v>0</v>
      </c>
      <c r="I367">
        <f>H367*INDEX(Question_Bank!$M$3:$M$14,MATCH(D367,Question_Bank!$A$3:$A$14,0))</f>
        <v>0</v>
      </c>
      <c r="J367">
        <f>SUMIFS($I$3:$I$518,$A$3:$A$518,A367)</f>
        <v>0</v>
      </c>
      <c r="K367" s="5">
        <f>J367/SUM(Question_Bank!$M$3:$M$14)</f>
        <v>0</v>
      </c>
      <c r="L367" s="5">
        <f>SUMIFS($I$3:$I$518,$A$3:$A$518,A367,$E$3:$E$518,E367)/SUMIFS(Question_Bank!$M$3:$M$14,Question_Bank!$B$3:$B$14,E367)</f>
        <v>0</v>
      </c>
      <c r="M367" t="s">
        <v>324</v>
      </c>
    </row>
    <row r="368" spans="1:13">
      <c r="A368" t="s">
        <v>323</v>
      </c>
      <c r="B368" t="s">
        <v>263</v>
      </c>
      <c r="C368" t="s">
        <v>133</v>
      </c>
      <c r="D368" t="s">
        <v>62</v>
      </c>
      <c r="E368" t="s">
        <v>46</v>
      </c>
      <c r="F368" t="s">
        <v>31</v>
      </c>
      <c r="G368">
        <f>INDEX(Question_Bank!$G$3:$G$14,MATCH(D368,Question_Bank!$A$3:$A$14,0))</f>
        <v>0</v>
      </c>
      <c r="H368">
        <f>IF(F368=G368,1,0)</f>
        <v>0</v>
      </c>
      <c r="I368">
        <f>H368*INDEX(Question_Bank!$M$3:$M$14,MATCH(D368,Question_Bank!$A$3:$A$14,0))</f>
        <v>0</v>
      </c>
      <c r="J368">
        <f>SUMIFS($I$3:$I$518,$A$3:$A$518,A368)</f>
        <v>0</v>
      </c>
      <c r="K368" s="5">
        <f>J368/SUM(Question_Bank!$M$3:$M$14)</f>
        <v>0</v>
      </c>
      <c r="L368" s="5">
        <f>SUMIFS($I$3:$I$518,$A$3:$A$518,A368,$E$3:$E$518,E368)/SUMIFS(Question_Bank!$M$3:$M$14,Question_Bank!$B$3:$B$14,E368)</f>
        <v>0</v>
      </c>
      <c r="M368" t="s">
        <v>324</v>
      </c>
    </row>
    <row r="369" spans="1:13">
      <c r="A369" t="s">
        <v>323</v>
      </c>
      <c r="B369" t="s">
        <v>263</v>
      </c>
      <c r="C369" t="s">
        <v>133</v>
      </c>
      <c r="D369" t="s">
        <v>70</v>
      </c>
      <c r="E369" t="s">
        <v>71</v>
      </c>
      <c r="F369" t="s">
        <v>20</v>
      </c>
      <c r="G369">
        <f>INDEX(Question_Bank!$G$3:$G$14,MATCH(D369,Question_Bank!$A$3:$A$14,0))</f>
        <v>0</v>
      </c>
      <c r="H369">
        <f>IF(F369=G369,1,0)</f>
        <v>0</v>
      </c>
      <c r="I369">
        <f>H369*INDEX(Question_Bank!$M$3:$M$14,MATCH(D369,Question_Bank!$A$3:$A$14,0))</f>
        <v>0</v>
      </c>
      <c r="J369">
        <f>SUMIFS($I$3:$I$518,$A$3:$A$518,A369)</f>
        <v>0</v>
      </c>
      <c r="K369" s="5">
        <f>J369/SUM(Question_Bank!$M$3:$M$14)</f>
        <v>0</v>
      </c>
      <c r="L369" s="5">
        <f>SUMIFS($I$3:$I$518,$A$3:$A$518,A369,$E$3:$E$518,E369)/SUMIFS(Question_Bank!$M$3:$M$14,Question_Bank!$B$3:$B$14,E369)</f>
        <v>0</v>
      </c>
      <c r="M369" t="s">
        <v>324</v>
      </c>
    </row>
    <row r="370" spans="1:13">
      <c r="A370" t="s">
        <v>323</v>
      </c>
      <c r="B370" t="s">
        <v>263</v>
      </c>
      <c r="C370" t="s">
        <v>133</v>
      </c>
      <c r="D370" t="s">
        <v>79</v>
      </c>
      <c r="E370" t="s">
        <v>71</v>
      </c>
      <c r="F370" t="s">
        <v>23</v>
      </c>
      <c r="G370">
        <f>INDEX(Question_Bank!$G$3:$G$14,MATCH(D370,Question_Bank!$A$3:$A$14,0))</f>
        <v>0</v>
      </c>
      <c r="H370">
        <f>IF(F370=G370,1,0)</f>
        <v>0</v>
      </c>
      <c r="I370">
        <f>H370*INDEX(Question_Bank!$M$3:$M$14,MATCH(D370,Question_Bank!$A$3:$A$14,0))</f>
        <v>0</v>
      </c>
      <c r="J370">
        <f>SUMIFS($I$3:$I$518,$A$3:$A$518,A370)</f>
        <v>0</v>
      </c>
      <c r="K370" s="5">
        <f>J370/SUM(Question_Bank!$M$3:$M$14)</f>
        <v>0</v>
      </c>
      <c r="L370" s="5">
        <f>SUMIFS($I$3:$I$518,$A$3:$A$518,A370,$E$3:$E$518,E370)/SUMIFS(Question_Bank!$M$3:$M$14,Question_Bank!$B$3:$B$14,E370)</f>
        <v>0</v>
      </c>
      <c r="M370" t="s">
        <v>324</v>
      </c>
    </row>
    <row r="371" spans="1:13">
      <c r="A371" t="s">
        <v>323</v>
      </c>
      <c r="B371" t="s">
        <v>263</v>
      </c>
      <c r="C371" t="s">
        <v>133</v>
      </c>
      <c r="D371" t="s">
        <v>87</v>
      </c>
      <c r="E371" t="s">
        <v>71</v>
      </c>
      <c r="F371" t="s">
        <v>34</v>
      </c>
      <c r="G371">
        <f>INDEX(Question_Bank!$G$3:$G$14,MATCH(D371,Question_Bank!$A$3:$A$14,0))</f>
        <v>0</v>
      </c>
      <c r="H371">
        <f>IF(F371=G371,1,0)</f>
        <v>0</v>
      </c>
      <c r="I371">
        <f>H371*INDEX(Question_Bank!$M$3:$M$14,MATCH(D371,Question_Bank!$A$3:$A$14,0))</f>
        <v>0</v>
      </c>
      <c r="J371">
        <f>SUMIFS($I$3:$I$518,$A$3:$A$518,A371)</f>
        <v>0</v>
      </c>
      <c r="K371" s="5">
        <f>J371/SUM(Question_Bank!$M$3:$M$14)</f>
        <v>0</v>
      </c>
      <c r="L371" s="5">
        <f>SUMIFS($I$3:$I$518,$A$3:$A$518,A371,$E$3:$E$518,E371)/SUMIFS(Question_Bank!$M$3:$M$14,Question_Bank!$B$3:$B$14,E371)</f>
        <v>0</v>
      </c>
      <c r="M371" t="s">
        <v>324</v>
      </c>
    </row>
    <row r="372" spans="1:13">
      <c r="A372" t="s">
        <v>323</v>
      </c>
      <c r="B372" t="s">
        <v>263</v>
      </c>
      <c r="C372" t="s">
        <v>133</v>
      </c>
      <c r="D372" t="s">
        <v>95</v>
      </c>
      <c r="E372" t="s">
        <v>96</v>
      </c>
      <c r="F372" t="s">
        <v>23</v>
      </c>
      <c r="G372">
        <f>INDEX(Question_Bank!$G$3:$G$14,MATCH(D372,Question_Bank!$A$3:$A$14,0))</f>
        <v>0</v>
      </c>
      <c r="H372">
        <f>IF(F372=G372,1,0)</f>
        <v>0</v>
      </c>
      <c r="I372">
        <f>H372*INDEX(Question_Bank!$M$3:$M$14,MATCH(D372,Question_Bank!$A$3:$A$14,0))</f>
        <v>0</v>
      </c>
      <c r="J372">
        <f>SUMIFS($I$3:$I$518,$A$3:$A$518,A372)</f>
        <v>0</v>
      </c>
      <c r="K372" s="5">
        <f>J372/SUM(Question_Bank!$M$3:$M$14)</f>
        <v>0</v>
      </c>
      <c r="L372" s="5">
        <f>SUMIFS($I$3:$I$518,$A$3:$A$518,A372,$E$3:$E$518,E372)/SUMIFS(Question_Bank!$M$3:$M$14,Question_Bank!$B$3:$B$14,E372)</f>
        <v>0</v>
      </c>
      <c r="M372" t="s">
        <v>324</v>
      </c>
    </row>
    <row r="373" spans="1:13">
      <c r="A373" t="s">
        <v>323</v>
      </c>
      <c r="B373" t="s">
        <v>263</v>
      </c>
      <c r="C373" t="s">
        <v>133</v>
      </c>
      <c r="D373" t="s">
        <v>104</v>
      </c>
      <c r="E373" t="s">
        <v>96</v>
      </c>
      <c r="F373" t="s">
        <v>31</v>
      </c>
      <c r="G373">
        <f>INDEX(Question_Bank!$G$3:$G$14,MATCH(D373,Question_Bank!$A$3:$A$14,0))</f>
        <v>0</v>
      </c>
      <c r="H373">
        <f>IF(F373=G373,1,0)</f>
        <v>0</v>
      </c>
      <c r="I373">
        <f>H373*INDEX(Question_Bank!$M$3:$M$14,MATCH(D373,Question_Bank!$A$3:$A$14,0))</f>
        <v>0</v>
      </c>
      <c r="J373">
        <f>SUMIFS($I$3:$I$518,$A$3:$A$518,A373)</f>
        <v>0</v>
      </c>
      <c r="K373" s="5">
        <f>J373/SUM(Question_Bank!$M$3:$M$14)</f>
        <v>0</v>
      </c>
      <c r="L373" s="5">
        <f>SUMIFS($I$3:$I$518,$A$3:$A$518,A373,$E$3:$E$518,E373)/SUMIFS(Question_Bank!$M$3:$M$14,Question_Bank!$B$3:$B$14,E373)</f>
        <v>0</v>
      </c>
      <c r="M373" t="s">
        <v>324</v>
      </c>
    </row>
    <row r="374" spans="1:13">
      <c r="A374" t="s">
        <v>323</v>
      </c>
      <c r="B374" t="s">
        <v>263</v>
      </c>
      <c r="C374" t="s">
        <v>133</v>
      </c>
      <c r="D374" t="s">
        <v>112</v>
      </c>
      <c r="E374" t="s">
        <v>96</v>
      </c>
      <c r="F374" t="s">
        <v>34</v>
      </c>
      <c r="G374">
        <f>INDEX(Question_Bank!$G$3:$G$14,MATCH(D374,Question_Bank!$A$3:$A$14,0))</f>
        <v>0</v>
      </c>
      <c r="H374">
        <f>IF(F374=G374,1,0)</f>
        <v>0</v>
      </c>
      <c r="I374">
        <f>H374*INDEX(Question_Bank!$M$3:$M$14,MATCH(D374,Question_Bank!$A$3:$A$14,0))</f>
        <v>0</v>
      </c>
      <c r="J374">
        <f>SUMIFS($I$3:$I$518,$A$3:$A$518,A374)</f>
        <v>0</v>
      </c>
      <c r="K374" s="5">
        <f>J374/SUM(Question_Bank!$M$3:$M$14)</f>
        <v>0</v>
      </c>
      <c r="L374" s="5">
        <f>SUMIFS($I$3:$I$518,$A$3:$A$518,A374,$E$3:$E$518,E374)/SUMIFS(Question_Bank!$M$3:$M$14,Question_Bank!$B$3:$B$14,E374)</f>
        <v>0</v>
      </c>
      <c r="M374" t="s">
        <v>324</v>
      </c>
    </row>
    <row r="375" spans="1:13">
      <c r="A375" t="s">
        <v>325</v>
      </c>
      <c r="B375" t="s">
        <v>263</v>
      </c>
      <c r="C375" t="s">
        <v>133</v>
      </c>
      <c r="D375" t="s">
        <v>14</v>
      </c>
      <c r="E375" t="s">
        <v>15</v>
      </c>
      <c r="F375" t="s">
        <v>20</v>
      </c>
      <c r="G375">
        <f>INDEX(Question_Bank!$G$3:$G$14,MATCH(D375,Question_Bank!$A$3:$A$14,0))</f>
        <v>0</v>
      </c>
      <c r="H375">
        <f>IF(F375=G375,1,0)</f>
        <v>0</v>
      </c>
      <c r="I375">
        <f>H375*INDEX(Question_Bank!$M$3:$M$14,MATCH(D375,Question_Bank!$A$3:$A$14,0))</f>
        <v>0</v>
      </c>
      <c r="J375">
        <f>SUMIFS($I$3:$I$518,$A$3:$A$518,A375)</f>
        <v>0</v>
      </c>
      <c r="K375" s="5">
        <f>J375/SUM(Question_Bank!$M$3:$M$14)</f>
        <v>0</v>
      </c>
      <c r="L375" s="5">
        <f>SUMIFS($I$3:$I$518,$A$3:$A$518,A375,$E$3:$E$518,E375)/SUMIFS(Question_Bank!$M$3:$M$14,Question_Bank!$B$3:$B$14,E375)</f>
        <v>0</v>
      </c>
      <c r="M375" t="s">
        <v>326</v>
      </c>
    </row>
    <row r="376" spans="1:13">
      <c r="A376" t="s">
        <v>325</v>
      </c>
      <c r="B376" t="s">
        <v>263</v>
      </c>
      <c r="C376" t="s">
        <v>133</v>
      </c>
      <c r="D376" t="s">
        <v>26</v>
      </c>
      <c r="E376" t="s">
        <v>15</v>
      </c>
      <c r="F376" t="s">
        <v>23</v>
      </c>
      <c r="G376">
        <f>INDEX(Question_Bank!$G$3:$G$14,MATCH(D376,Question_Bank!$A$3:$A$14,0))</f>
        <v>0</v>
      </c>
      <c r="H376">
        <f>IF(F376=G376,1,0)</f>
        <v>0</v>
      </c>
      <c r="I376">
        <f>H376*INDEX(Question_Bank!$M$3:$M$14,MATCH(D376,Question_Bank!$A$3:$A$14,0))</f>
        <v>0</v>
      </c>
      <c r="J376">
        <f>SUMIFS($I$3:$I$518,$A$3:$A$518,A376)</f>
        <v>0</v>
      </c>
      <c r="K376" s="5">
        <f>J376/SUM(Question_Bank!$M$3:$M$14)</f>
        <v>0</v>
      </c>
      <c r="L376" s="5">
        <f>SUMIFS($I$3:$I$518,$A$3:$A$518,A376,$E$3:$E$518,E376)/SUMIFS(Question_Bank!$M$3:$M$14,Question_Bank!$B$3:$B$14,E376)</f>
        <v>0</v>
      </c>
      <c r="M376" t="s">
        <v>326</v>
      </c>
    </row>
    <row r="377" spans="1:13">
      <c r="A377" t="s">
        <v>325</v>
      </c>
      <c r="B377" t="s">
        <v>263</v>
      </c>
      <c r="C377" t="s">
        <v>133</v>
      </c>
      <c r="D377" t="s">
        <v>37</v>
      </c>
      <c r="E377" t="s">
        <v>15</v>
      </c>
      <c r="F377" t="s">
        <v>23</v>
      </c>
      <c r="G377">
        <f>INDEX(Question_Bank!$G$3:$G$14,MATCH(D377,Question_Bank!$A$3:$A$14,0))</f>
        <v>0</v>
      </c>
      <c r="H377">
        <f>IF(F377=G377,1,0)</f>
        <v>0</v>
      </c>
      <c r="I377">
        <f>H377*INDEX(Question_Bank!$M$3:$M$14,MATCH(D377,Question_Bank!$A$3:$A$14,0))</f>
        <v>0</v>
      </c>
      <c r="J377">
        <f>SUMIFS($I$3:$I$518,$A$3:$A$518,A377)</f>
        <v>0</v>
      </c>
      <c r="K377" s="5">
        <f>J377/SUM(Question_Bank!$M$3:$M$14)</f>
        <v>0</v>
      </c>
      <c r="L377" s="5">
        <f>SUMIFS($I$3:$I$518,$A$3:$A$518,A377,$E$3:$E$518,E377)/SUMIFS(Question_Bank!$M$3:$M$14,Question_Bank!$B$3:$B$14,E377)</f>
        <v>0</v>
      </c>
      <c r="M377" t="s">
        <v>326</v>
      </c>
    </row>
    <row r="378" spans="1:13">
      <c r="A378" t="s">
        <v>325</v>
      </c>
      <c r="B378" t="s">
        <v>263</v>
      </c>
      <c r="C378" t="s">
        <v>133</v>
      </c>
      <c r="D378" t="s">
        <v>45</v>
      </c>
      <c r="E378" t="s">
        <v>46</v>
      </c>
      <c r="F378" t="s">
        <v>31</v>
      </c>
      <c r="G378">
        <f>INDEX(Question_Bank!$G$3:$G$14,MATCH(D378,Question_Bank!$A$3:$A$14,0))</f>
        <v>0</v>
      </c>
      <c r="H378">
        <f>IF(F378=G378,1,0)</f>
        <v>0</v>
      </c>
      <c r="I378">
        <f>H378*INDEX(Question_Bank!$M$3:$M$14,MATCH(D378,Question_Bank!$A$3:$A$14,0))</f>
        <v>0</v>
      </c>
      <c r="J378">
        <f>SUMIFS($I$3:$I$518,$A$3:$A$518,A378)</f>
        <v>0</v>
      </c>
      <c r="K378" s="5">
        <f>J378/SUM(Question_Bank!$M$3:$M$14)</f>
        <v>0</v>
      </c>
      <c r="L378" s="5">
        <f>SUMIFS($I$3:$I$518,$A$3:$A$518,A378,$E$3:$E$518,E378)/SUMIFS(Question_Bank!$M$3:$M$14,Question_Bank!$B$3:$B$14,E378)</f>
        <v>0</v>
      </c>
      <c r="M378" t="s">
        <v>326</v>
      </c>
    </row>
    <row r="379" spans="1:13">
      <c r="A379" t="s">
        <v>325</v>
      </c>
      <c r="B379" t="s">
        <v>263</v>
      </c>
      <c r="C379" t="s">
        <v>133</v>
      </c>
      <c r="D379" t="s">
        <v>54</v>
      </c>
      <c r="E379" t="s">
        <v>46</v>
      </c>
      <c r="F379" t="s">
        <v>31</v>
      </c>
      <c r="G379">
        <f>INDEX(Question_Bank!$G$3:$G$14,MATCH(D379,Question_Bank!$A$3:$A$14,0))</f>
        <v>0</v>
      </c>
      <c r="H379">
        <f>IF(F379=G379,1,0)</f>
        <v>0</v>
      </c>
      <c r="I379">
        <f>H379*INDEX(Question_Bank!$M$3:$M$14,MATCH(D379,Question_Bank!$A$3:$A$14,0))</f>
        <v>0</v>
      </c>
      <c r="J379">
        <f>SUMIFS($I$3:$I$518,$A$3:$A$518,A379)</f>
        <v>0</v>
      </c>
      <c r="K379" s="5">
        <f>J379/SUM(Question_Bank!$M$3:$M$14)</f>
        <v>0</v>
      </c>
      <c r="L379" s="5">
        <f>SUMIFS($I$3:$I$518,$A$3:$A$518,A379,$E$3:$E$518,E379)/SUMIFS(Question_Bank!$M$3:$M$14,Question_Bank!$B$3:$B$14,E379)</f>
        <v>0</v>
      </c>
      <c r="M379" t="s">
        <v>326</v>
      </c>
    </row>
    <row r="380" spans="1:13">
      <c r="A380" t="s">
        <v>325</v>
      </c>
      <c r="B380" t="s">
        <v>263</v>
      </c>
      <c r="C380" t="s">
        <v>133</v>
      </c>
      <c r="D380" t="s">
        <v>62</v>
      </c>
      <c r="E380" t="s">
        <v>46</v>
      </c>
      <c r="F380" t="s">
        <v>20</v>
      </c>
      <c r="G380">
        <f>INDEX(Question_Bank!$G$3:$G$14,MATCH(D380,Question_Bank!$A$3:$A$14,0))</f>
        <v>0</v>
      </c>
      <c r="H380">
        <f>IF(F380=G380,1,0)</f>
        <v>0</v>
      </c>
      <c r="I380">
        <f>H380*INDEX(Question_Bank!$M$3:$M$14,MATCH(D380,Question_Bank!$A$3:$A$14,0))</f>
        <v>0</v>
      </c>
      <c r="J380">
        <f>SUMIFS($I$3:$I$518,$A$3:$A$518,A380)</f>
        <v>0</v>
      </c>
      <c r="K380" s="5">
        <f>J380/SUM(Question_Bank!$M$3:$M$14)</f>
        <v>0</v>
      </c>
      <c r="L380" s="5">
        <f>SUMIFS($I$3:$I$518,$A$3:$A$518,A380,$E$3:$E$518,E380)/SUMIFS(Question_Bank!$M$3:$M$14,Question_Bank!$B$3:$B$14,E380)</f>
        <v>0</v>
      </c>
      <c r="M380" t="s">
        <v>326</v>
      </c>
    </row>
    <row r="381" spans="1:13">
      <c r="A381" t="s">
        <v>325</v>
      </c>
      <c r="B381" t="s">
        <v>263</v>
      </c>
      <c r="C381" t="s">
        <v>133</v>
      </c>
      <c r="D381" t="s">
        <v>70</v>
      </c>
      <c r="E381" t="s">
        <v>71</v>
      </c>
      <c r="F381" t="s">
        <v>23</v>
      </c>
      <c r="G381">
        <f>INDEX(Question_Bank!$G$3:$G$14,MATCH(D381,Question_Bank!$A$3:$A$14,0))</f>
        <v>0</v>
      </c>
      <c r="H381">
        <f>IF(F381=G381,1,0)</f>
        <v>0</v>
      </c>
      <c r="I381">
        <f>H381*INDEX(Question_Bank!$M$3:$M$14,MATCH(D381,Question_Bank!$A$3:$A$14,0))</f>
        <v>0</v>
      </c>
      <c r="J381">
        <f>SUMIFS($I$3:$I$518,$A$3:$A$518,A381)</f>
        <v>0</v>
      </c>
      <c r="K381" s="5">
        <f>J381/SUM(Question_Bank!$M$3:$M$14)</f>
        <v>0</v>
      </c>
      <c r="L381" s="5">
        <f>SUMIFS($I$3:$I$518,$A$3:$A$518,A381,$E$3:$E$518,E381)/SUMIFS(Question_Bank!$M$3:$M$14,Question_Bank!$B$3:$B$14,E381)</f>
        <v>0</v>
      </c>
      <c r="M381" t="s">
        <v>326</v>
      </c>
    </row>
    <row r="382" spans="1:13">
      <c r="A382" t="s">
        <v>325</v>
      </c>
      <c r="B382" t="s">
        <v>263</v>
      </c>
      <c r="C382" t="s">
        <v>133</v>
      </c>
      <c r="D382" t="s">
        <v>79</v>
      </c>
      <c r="E382" t="s">
        <v>71</v>
      </c>
      <c r="F382" t="s">
        <v>20</v>
      </c>
      <c r="G382">
        <f>INDEX(Question_Bank!$G$3:$G$14,MATCH(D382,Question_Bank!$A$3:$A$14,0))</f>
        <v>0</v>
      </c>
      <c r="H382">
        <f>IF(F382=G382,1,0)</f>
        <v>0</v>
      </c>
      <c r="I382">
        <f>H382*INDEX(Question_Bank!$M$3:$M$14,MATCH(D382,Question_Bank!$A$3:$A$14,0))</f>
        <v>0</v>
      </c>
      <c r="J382">
        <f>SUMIFS($I$3:$I$518,$A$3:$A$518,A382)</f>
        <v>0</v>
      </c>
      <c r="K382" s="5">
        <f>J382/SUM(Question_Bank!$M$3:$M$14)</f>
        <v>0</v>
      </c>
      <c r="L382" s="5">
        <f>SUMIFS($I$3:$I$518,$A$3:$A$518,A382,$E$3:$E$518,E382)/SUMIFS(Question_Bank!$M$3:$M$14,Question_Bank!$B$3:$B$14,E382)</f>
        <v>0</v>
      </c>
      <c r="M382" t="s">
        <v>326</v>
      </c>
    </row>
    <row r="383" spans="1:13">
      <c r="A383" t="s">
        <v>325</v>
      </c>
      <c r="B383" t="s">
        <v>263</v>
      </c>
      <c r="C383" t="s">
        <v>133</v>
      </c>
      <c r="D383" t="s">
        <v>87</v>
      </c>
      <c r="E383" t="s">
        <v>71</v>
      </c>
      <c r="F383" t="s">
        <v>23</v>
      </c>
      <c r="G383">
        <f>INDEX(Question_Bank!$G$3:$G$14,MATCH(D383,Question_Bank!$A$3:$A$14,0))</f>
        <v>0</v>
      </c>
      <c r="H383">
        <f>IF(F383=G383,1,0)</f>
        <v>0</v>
      </c>
      <c r="I383">
        <f>H383*INDEX(Question_Bank!$M$3:$M$14,MATCH(D383,Question_Bank!$A$3:$A$14,0))</f>
        <v>0</v>
      </c>
      <c r="J383">
        <f>SUMIFS($I$3:$I$518,$A$3:$A$518,A383)</f>
        <v>0</v>
      </c>
      <c r="K383" s="5">
        <f>J383/SUM(Question_Bank!$M$3:$M$14)</f>
        <v>0</v>
      </c>
      <c r="L383" s="5">
        <f>SUMIFS($I$3:$I$518,$A$3:$A$518,A383,$E$3:$E$518,E383)/SUMIFS(Question_Bank!$M$3:$M$14,Question_Bank!$B$3:$B$14,E383)</f>
        <v>0</v>
      </c>
      <c r="M383" t="s">
        <v>326</v>
      </c>
    </row>
    <row r="384" spans="1:13">
      <c r="A384" t="s">
        <v>325</v>
      </c>
      <c r="B384" t="s">
        <v>263</v>
      </c>
      <c r="C384" t="s">
        <v>133</v>
      </c>
      <c r="D384" t="s">
        <v>95</v>
      </c>
      <c r="E384" t="s">
        <v>96</v>
      </c>
      <c r="F384" t="s">
        <v>34</v>
      </c>
      <c r="G384">
        <f>INDEX(Question_Bank!$G$3:$G$14,MATCH(D384,Question_Bank!$A$3:$A$14,0))</f>
        <v>0</v>
      </c>
      <c r="H384">
        <f>IF(F384=G384,1,0)</f>
        <v>0</v>
      </c>
      <c r="I384">
        <f>H384*INDEX(Question_Bank!$M$3:$M$14,MATCH(D384,Question_Bank!$A$3:$A$14,0))</f>
        <v>0</v>
      </c>
      <c r="J384">
        <f>SUMIFS($I$3:$I$518,$A$3:$A$518,A384)</f>
        <v>0</v>
      </c>
      <c r="K384" s="5">
        <f>J384/SUM(Question_Bank!$M$3:$M$14)</f>
        <v>0</v>
      </c>
      <c r="L384" s="5">
        <f>SUMIFS($I$3:$I$518,$A$3:$A$518,A384,$E$3:$E$518,E384)/SUMIFS(Question_Bank!$M$3:$M$14,Question_Bank!$B$3:$B$14,E384)</f>
        <v>0</v>
      </c>
      <c r="M384" t="s">
        <v>326</v>
      </c>
    </row>
    <row r="385" spans="1:13">
      <c r="A385" t="s">
        <v>325</v>
      </c>
      <c r="B385" t="s">
        <v>263</v>
      </c>
      <c r="C385" t="s">
        <v>133</v>
      </c>
      <c r="D385" t="s">
        <v>104</v>
      </c>
      <c r="E385" t="s">
        <v>96</v>
      </c>
      <c r="F385" t="s">
        <v>23</v>
      </c>
      <c r="G385">
        <f>INDEX(Question_Bank!$G$3:$G$14,MATCH(D385,Question_Bank!$A$3:$A$14,0))</f>
        <v>0</v>
      </c>
      <c r="H385">
        <f>IF(F385=G385,1,0)</f>
        <v>0</v>
      </c>
      <c r="I385">
        <f>H385*INDEX(Question_Bank!$M$3:$M$14,MATCH(D385,Question_Bank!$A$3:$A$14,0))</f>
        <v>0</v>
      </c>
      <c r="J385">
        <f>SUMIFS($I$3:$I$518,$A$3:$A$518,A385)</f>
        <v>0</v>
      </c>
      <c r="K385" s="5">
        <f>J385/SUM(Question_Bank!$M$3:$M$14)</f>
        <v>0</v>
      </c>
      <c r="L385" s="5">
        <f>SUMIFS($I$3:$I$518,$A$3:$A$518,A385,$E$3:$E$518,E385)/SUMIFS(Question_Bank!$M$3:$M$14,Question_Bank!$B$3:$B$14,E385)</f>
        <v>0</v>
      </c>
      <c r="M385" t="s">
        <v>326</v>
      </c>
    </row>
    <row r="386" spans="1:13">
      <c r="A386" t="s">
        <v>325</v>
      </c>
      <c r="B386" t="s">
        <v>263</v>
      </c>
      <c r="C386" t="s">
        <v>133</v>
      </c>
      <c r="D386" t="s">
        <v>112</v>
      </c>
      <c r="E386" t="s">
        <v>96</v>
      </c>
      <c r="F386" t="s">
        <v>20</v>
      </c>
      <c r="G386">
        <f>INDEX(Question_Bank!$G$3:$G$14,MATCH(D386,Question_Bank!$A$3:$A$14,0))</f>
        <v>0</v>
      </c>
      <c r="H386">
        <f>IF(F386=G386,1,0)</f>
        <v>0</v>
      </c>
      <c r="I386">
        <f>H386*INDEX(Question_Bank!$M$3:$M$14,MATCH(D386,Question_Bank!$A$3:$A$14,0))</f>
        <v>0</v>
      </c>
      <c r="J386">
        <f>SUMIFS($I$3:$I$518,$A$3:$A$518,A386)</f>
        <v>0</v>
      </c>
      <c r="K386" s="5">
        <f>J386/SUM(Question_Bank!$M$3:$M$14)</f>
        <v>0</v>
      </c>
      <c r="L386" s="5">
        <f>SUMIFS($I$3:$I$518,$A$3:$A$518,A386,$E$3:$E$518,E386)/SUMIFS(Question_Bank!$M$3:$M$14,Question_Bank!$B$3:$B$14,E386)</f>
        <v>0</v>
      </c>
      <c r="M386" t="s">
        <v>326</v>
      </c>
    </row>
    <row r="387" spans="1:13">
      <c r="A387" t="s">
        <v>327</v>
      </c>
      <c r="B387" t="s">
        <v>263</v>
      </c>
      <c r="C387" t="s">
        <v>133</v>
      </c>
      <c r="D387" t="s">
        <v>14</v>
      </c>
      <c r="E387" t="s">
        <v>15</v>
      </c>
      <c r="F387" t="s">
        <v>23</v>
      </c>
      <c r="G387">
        <f>INDEX(Question_Bank!$G$3:$G$14,MATCH(D387,Question_Bank!$A$3:$A$14,0))</f>
        <v>0</v>
      </c>
      <c r="H387">
        <f>IF(F387=G387,1,0)</f>
        <v>0</v>
      </c>
      <c r="I387">
        <f>H387*INDEX(Question_Bank!$M$3:$M$14,MATCH(D387,Question_Bank!$A$3:$A$14,0))</f>
        <v>0</v>
      </c>
      <c r="J387">
        <f>SUMIFS($I$3:$I$518,$A$3:$A$518,A387)</f>
        <v>0</v>
      </c>
      <c r="K387" s="5">
        <f>J387/SUM(Question_Bank!$M$3:$M$14)</f>
        <v>0</v>
      </c>
      <c r="L387" s="5">
        <f>SUMIFS($I$3:$I$518,$A$3:$A$518,A387,$E$3:$E$518,E387)/SUMIFS(Question_Bank!$M$3:$M$14,Question_Bank!$B$3:$B$14,E387)</f>
        <v>0</v>
      </c>
      <c r="M387" t="s">
        <v>328</v>
      </c>
    </row>
    <row r="388" spans="1:13">
      <c r="A388" t="s">
        <v>327</v>
      </c>
      <c r="B388" t="s">
        <v>263</v>
      </c>
      <c r="C388" t="s">
        <v>133</v>
      </c>
      <c r="D388" t="s">
        <v>26</v>
      </c>
      <c r="E388" t="s">
        <v>15</v>
      </c>
      <c r="F388" t="s">
        <v>23</v>
      </c>
      <c r="G388">
        <f>INDEX(Question_Bank!$G$3:$G$14,MATCH(D388,Question_Bank!$A$3:$A$14,0))</f>
        <v>0</v>
      </c>
      <c r="H388">
        <f>IF(F388=G388,1,0)</f>
        <v>0</v>
      </c>
      <c r="I388">
        <f>H388*INDEX(Question_Bank!$M$3:$M$14,MATCH(D388,Question_Bank!$A$3:$A$14,0))</f>
        <v>0</v>
      </c>
      <c r="J388">
        <f>SUMIFS($I$3:$I$518,$A$3:$A$518,A388)</f>
        <v>0</v>
      </c>
      <c r="K388" s="5">
        <f>J388/SUM(Question_Bank!$M$3:$M$14)</f>
        <v>0</v>
      </c>
      <c r="L388" s="5">
        <f>SUMIFS($I$3:$I$518,$A$3:$A$518,A388,$E$3:$E$518,E388)/SUMIFS(Question_Bank!$M$3:$M$14,Question_Bank!$B$3:$B$14,E388)</f>
        <v>0</v>
      </c>
      <c r="M388" t="s">
        <v>328</v>
      </c>
    </row>
    <row r="389" spans="1:13">
      <c r="A389" t="s">
        <v>327</v>
      </c>
      <c r="B389" t="s">
        <v>263</v>
      </c>
      <c r="C389" t="s">
        <v>133</v>
      </c>
      <c r="D389" t="s">
        <v>37</v>
      </c>
      <c r="E389" t="s">
        <v>15</v>
      </c>
      <c r="F389" t="s">
        <v>34</v>
      </c>
      <c r="G389">
        <f>INDEX(Question_Bank!$G$3:$G$14,MATCH(D389,Question_Bank!$A$3:$A$14,0))</f>
        <v>0</v>
      </c>
      <c r="H389">
        <f>IF(F389=G389,1,0)</f>
        <v>0</v>
      </c>
      <c r="I389">
        <f>H389*INDEX(Question_Bank!$M$3:$M$14,MATCH(D389,Question_Bank!$A$3:$A$14,0))</f>
        <v>0</v>
      </c>
      <c r="J389">
        <f>SUMIFS($I$3:$I$518,$A$3:$A$518,A389)</f>
        <v>0</v>
      </c>
      <c r="K389" s="5">
        <f>J389/SUM(Question_Bank!$M$3:$M$14)</f>
        <v>0</v>
      </c>
      <c r="L389" s="5">
        <f>SUMIFS($I$3:$I$518,$A$3:$A$518,A389,$E$3:$E$518,E389)/SUMIFS(Question_Bank!$M$3:$M$14,Question_Bank!$B$3:$B$14,E389)</f>
        <v>0</v>
      </c>
      <c r="M389" t="s">
        <v>328</v>
      </c>
    </row>
    <row r="390" spans="1:13">
      <c r="A390" t="s">
        <v>327</v>
      </c>
      <c r="B390" t="s">
        <v>263</v>
      </c>
      <c r="C390" t="s">
        <v>133</v>
      </c>
      <c r="D390" t="s">
        <v>45</v>
      </c>
      <c r="E390" t="s">
        <v>46</v>
      </c>
      <c r="F390" t="s">
        <v>31</v>
      </c>
      <c r="G390">
        <f>INDEX(Question_Bank!$G$3:$G$14,MATCH(D390,Question_Bank!$A$3:$A$14,0))</f>
        <v>0</v>
      </c>
      <c r="H390">
        <f>IF(F390=G390,1,0)</f>
        <v>0</v>
      </c>
      <c r="I390">
        <f>H390*INDEX(Question_Bank!$M$3:$M$14,MATCH(D390,Question_Bank!$A$3:$A$14,0))</f>
        <v>0</v>
      </c>
      <c r="J390">
        <f>SUMIFS($I$3:$I$518,$A$3:$A$518,A390)</f>
        <v>0</v>
      </c>
      <c r="K390" s="5">
        <f>J390/SUM(Question_Bank!$M$3:$M$14)</f>
        <v>0</v>
      </c>
      <c r="L390" s="5">
        <f>SUMIFS($I$3:$I$518,$A$3:$A$518,A390,$E$3:$E$518,E390)/SUMIFS(Question_Bank!$M$3:$M$14,Question_Bank!$B$3:$B$14,E390)</f>
        <v>0</v>
      </c>
      <c r="M390" t="s">
        <v>328</v>
      </c>
    </row>
    <row r="391" spans="1:13">
      <c r="A391" t="s">
        <v>327</v>
      </c>
      <c r="B391" t="s">
        <v>263</v>
      </c>
      <c r="C391" t="s">
        <v>133</v>
      </c>
      <c r="D391" t="s">
        <v>54</v>
      </c>
      <c r="E391" t="s">
        <v>46</v>
      </c>
      <c r="F391" t="s">
        <v>31</v>
      </c>
      <c r="G391">
        <f>INDEX(Question_Bank!$G$3:$G$14,MATCH(D391,Question_Bank!$A$3:$A$14,0))</f>
        <v>0</v>
      </c>
      <c r="H391">
        <f>IF(F391=G391,1,0)</f>
        <v>0</v>
      </c>
      <c r="I391">
        <f>H391*INDEX(Question_Bank!$M$3:$M$14,MATCH(D391,Question_Bank!$A$3:$A$14,0))</f>
        <v>0</v>
      </c>
      <c r="J391">
        <f>SUMIFS($I$3:$I$518,$A$3:$A$518,A391)</f>
        <v>0</v>
      </c>
      <c r="K391" s="5">
        <f>J391/SUM(Question_Bank!$M$3:$M$14)</f>
        <v>0</v>
      </c>
      <c r="L391" s="5">
        <f>SUMIFS($I$3:$I$518,$A$3:$A$518,A391,$E$3:$E$518,E391)/SUMIFS(Question_Bank!$M$3:$M$14,Question_Bank!$B$3:$B$14,E391)</f>
        <v>0</v>
      </c>
      <c r="M391" t="s">
        <v>328</v>
      </c>
    </row>
    <row r="392" spans="1:13">
      <c r="A392" t="s">
        <v>327</v>
      </c>
      <c r="B392" t="s">
        <v>263</v>
      </c>
      <c r="C392" t="s">
        <v>133</v>
      </c>
      <c r="D392" t="s">
        <v>62</v>
      </c>
      <c r="E392" t="s">
        <v>46</v>
      </c>
      <c r="F392" t="s">
        <v>34</v>
      </c>
      <c r="G392">
        <f>INDEX(Question_Bank!$G$3:$G$14,MATCH(D392,Question_Bank!$A$3:$A$14,0))</f>
        <v>0</v>
      </c>
      <c r="H392">
        <f>IF(F392=G392,1,0)</f>
        <v>0</v>
      </c>
      <c r="I392">
        <f>H392*INDEX(Question_Bank!$M$3:$M$14,MATCH(D392,Question_Bank!$A$3:$A$14,0))</f>
        <v>0</v>
      </c>
      <c r="J392">
        <f>SUMIFS($I$3:$I$518,$A$3:$A$518,A392)</f>
        <v>0</v>
      </c>
      <c r="K392" s="5">
        <f>J392/SUM(Question_Bank!$M$3:$M$14)</f>
        <v>0</v>
      </c>
      <c r="L392" s="5">
        <f>SUMIFS($I$3:$I$518,$A$3:$A$518,A392,$E$3:$E$518,E392)/SUMIFS(Question_Bank!$M$3:$M$14,Question_Bank!$B$3:$B$14,E392)</f>
        <v>0</v>
      </c>
      <c r="M392" t="s">
        <v>328</v>
      </c>
    </row>
    <row r="393" spans="1:13">
      <c r="A393" t="s">
        <v>327</v>
      </c>
      <c r="B393" t="s">
        <v>263</v>
      </c>
      <c r="C393" t="s">
        <v>133</v>
      </c>
      <c r="D393" t="s">
        <v>70</v>
      </c>
      <c r="E393" t="s">
        <v>71</v>
      </c>
      <c r="F393" t="s">
        <v>31</v>
      </c>
      <c r="G393">
        <f>INDEX(Question_Bank!$G$3:$G$14,MATCH(D393,Question_Bank!$A$3:$A$14,0))</f>
        <v>0</v>
      </c>
      <c r="H393">
        <f>IF(F393=G393,1,0)</f>
        <v>0</v>
      </c>
      <c r="I393">
        <f>H393*INDEX(Question_Bank!$M$3:$M$14,MATCH(D393,Question_Bank!$A$3:$A$14,0))</f>
        <v>0</v>
      </c>
      <c r="J393">
        <f>SUMIFS($I$3:$I$518,$A$3:$A$518,A393)</f>
        <v>0</v>
      </c>
      <c r="K393" s="5">
        <f>J393/SUM(Question_Bank!$M$3:$M$14)</f>
        <v>0</v>
      </c>
      <c r="L393" s="5">
        <f>SUMIFS($I$3:$I$518,$A$3:$A$518,A393,$E$3:$E$518,E393)/SUMIFS(Question_Bank!$M$3:$M$14,Question_Bank!$B$3:$B$14,E393)</f>
        <v>0</v>
      </c>
      <c r="M393" t="s">
        <v>328</v>
      </c>
    </row>
    <row r="394" spans="1:13">
      <c r="A394" t="s">
        <v>327</v>
      </c>
      <c r="B394" t="s">
        <v>263</v>
      </c>
      <c r="C394" t="s">
        <v>133</v>
      </c>
      <c r="D394" t="s">
        <v>79</v>
      </c>
      <c r="E394" t="s">
        <v>71</v>
      </c>
      <c r="F394" t="s">
        <v>31</v>
      </c>
      <c r="G394">
        <f>INDEX(Question_Bank!$G$3:$G$14,MATCH(D394,Question_Bank!$A$3:$A$14,0))</f>
        <v>0</v>
      </c>
      <c r="H394">
        <f>IF(F394=G394,1,0)</f>
        <v>0</v>
      </c>
      <c r="I394">
        <f>H394*INDEX(Question_Bank!$M$3:$M$14,MATCH(D394,Question_Bank!$A$3:$A$14,0))</f>
        <v>0</v>
      </c>
      <c r="J394">
        <f>SUMIFS($I$3:$I$518,$A$3:$A$518,A394)</f>
        <v>0</v>
      </c>
      <c r="K394" s="5">
        <f>J394/SUM(Question_Bank!$M$3:$M$14)</f>
        <v>0</v>
      </c>
      <c r="L394" s="5">
        <f>SUMIFS($I$3:$I$518,$A$3:$A$518,A394,$E$3:$E$518,E394)/SUMIFS(Question_Bank!$M$3:$M$14,Question_Bank!$B$3:$B$14,E394)</f>
        <v>0</v>
      </c>
      <c r="M394" t="s">
        <v>328</v>
      </c>
    </row>
    <row r="395" spans="1:13">
      <c r="A395" t="s">
        <v>327</v>
      </c>
      <c r="B395" t="s">
        <v>263</v>
      </c>
      <c r="C395" t="s">
        <v>133</v>
      </c>
      <c r="D395" t="s">
        <v>87</v>
      </c>
      <c r="E395" t="s">
        <v>71</v>
      </c>
      <c r="F395" t="s">
        <v>34</v>
      </c>
      <c r="G395">
        <f>INDEX(Question_Bank!$G$3:$G$14,MATCH(D395,Question_Bank!$A$3:$A$14,0))</f>
        <v>0</v>
      </c>
      <c r="H395">
        <f>IF(F395=G395,1,0)</f>
        <v>0</v>
      </c>
      <c r="I395">
        <f>H395*INDEX(Question_Bank!$M$3:$M$14,MATCH(D395,Question_Bank!$A$3:$A$14,0))</f>
        <v>0</v>
      </c>
      <c r="J395">
        <f>SUMIFS($I$3:$I$518,$A$3:$A$518,A395)</f>
        <v>0</v>
      </c>
      <c r="K395" s="5">
        <f>J395/SUM(Question_Bank!$M$3:$M$14)</f>
        <v>0</v>
      </c>
      <c r="L395" s="5">
        <f>SUMIFS($I$3:$I$518,$A$3:$A$518,A395,$E$3:$E$518,E395)/SUMIFS(Question_Bank!$M$3:$M$14,Question_Bank!$B$3:$B$14,E395)</f>
        <v>0</v>
      </c>
      <c r="M395" t="s">
        <v>328</v>
      </c>
    </row>
    <row r="396" spans="1:13">
      <c r="A396" t="s">
        <v>327</v>
      </c>
      <c r="B396" t="s">
        <v>263</v>
      </c>
      <c r="C396" t="s">
        <v>133</v>
      </c>
      <c r="D396" t="s">
        <v>95</v>
      </c>
      <c r="E396" t="s">
        <v>96</v>
      </c>
      <c r="F396" t="s">
        <v>34</v>
      </c>
      <c r="G396">
        <f>INDEX(Question_Bank!$G$3:$G$14,MATCH(D396,Question_Bank!$A$3:$A$14,0))</f>
        <v>0</v>
      </c>
      <c r="H396">
        <f>IF(F396=G396,1,0)</f>
        <v>0</v>
      </c>
      <c r="I396">
        <f>H396*INDEX(Question_Bank!$M$3:$M$14,MATCH(D396,Question_Bank!$A$3:$A$14,0))</f>
        <v>0</v>
      </c>
      <c r="J396">
        <f>SUMIFS($I$3:$I$518,$A$3:$A$518,A396)</f>
        <v>0</v>
      </c>
      <c r="K396" s="5">
        <f>J396/SUM(Question_Bank!$M$3:$M$14)</f>
        <v>0</v>
      </c>
      <c r="L396" s="5">
        <f>SUMIFS($I$3:$I$518,$A$3:$A$518,A396,$E$3:$E$518,E396)/SUMIFS(Question_Bank!$M$3:$M$14,Question_Bank!$B$3:$B$14,E396)</f>
        <v>0</v>
      </c>
      <c r="M396" t="s">
        <v>328</v>
      </c>
    </row>
    <row r="397" spans="1:13">
      <c r="A397" t="s">
        <v>327</v>
      </c>
      <c r="B397" t="s">
        <v>263</v>
      </c>
      <c r="C397" t="s">
        <v>133</v>
      </c>
      <c r="D397" t="s">
        <v>104</v>
      </c>
      <c r="E397" t="s">
        <v>96</v>
      </c>
      <c r="F397" t="s">
        <v>34</v>
      </c>
      <c r="G397">
        <f>INDEX(Question_Bank!$G$3:$G$14,MATCH(D397,Question_Bank!$A$3:$A$14,0))</f>
        <v>0</v>
      </c>
      <c r="H397">
        <f>IF(F397=G397,1,0)</f>
        <v>0</v>
      </c>
      <c r="I397">
        <f>H397*INDEX(Question_Bank!$M$3:$M$14,MATCH(D397,Question_Bank!$A$3:$A$14,0))</f>
        <v>0</v>
      </c>
      <c r="J397">
        <f>SUMIFS($I$3:$I$518,$A$3:$A$518,A397)</f>
        <v>0</v>
      </c>
      <c r="K397" s="5">
        <f>J397/SUM(Question_Bank!$M$3:$M$14)</f>
        <v>0</v>
      </c>
      <c r="L397" s="5">
        <f>SUMIFS($I$3:$I$518,$A$3:$A$518,A397,$E$3:$E$518,E397)/SUMIFS(Question_Bank!$M$3:$M$14,Question_Bank!$B$3:$B$14,E397)</f>
        <v>0</v>
      </c>
      <c r="M397" t="s">
        <v>328</v>
      </c>
    </row>
    <row r="398" spans="1:13">
      <c r="A398" t="s">
        <v>327</v>
      </c>
      <c r="B398" t="s">
        <v>263</v>
      </c>
      <c r="C398" t="s">
        <v>133</v>
      </c>
      <c r="D398" t="s">
        <v>112</v>
      </c>
      <c r="E398" t="s">
        <v>96</v>
      </c>
      <c r="F398" t="s">
        <v>20</v>
      </c>
      <c r="G398">
        <f>INDEX(Question_Bank!$G$3:$G$14,MATCH(D398,Question_Bank!$A$3:$A$14,0))</f>
        <v>0</v>
      </c>
      <c r="H398">
        <f>IF(F398=G398,1,0)</f>
        <v>0</v>
      </c>
      <c r="I398">
        <f>H398*INDEX(Question_Bank!$M$3:$M$14,MATCH(D398,Question_Bank!$A$3:$A$14,0))</f>
        <v>0</v>
      </c>
      <c r="J398">
        <f>SUMIFS($I$3:$I$518,$A$3:$A$518,A398)</f>
        <v>0</v>
      </c>
      <c r="K398" s="5">
        <f>J398/SUM(Question_Bank!$M$3:$M$14)</f>
        <v>0</v>
      </c>
      <c r="L398" s="5">
        <f>SUMIFS($I$3:$I$518,$A$3:$A$518,A398,$E$3:$E$518,E398)/SUMIFS(Question_Bank!$M$3:$M$14,Question_Bank!$B$3:$B$14,E398)</f>
        <v>0</v>
      </c>
      <c r="M398" t="s">
        <v>328</v>
      </c>
    </row>
    <row r="399" spans="1:13">
      <c r="A399" t="s">
        <v>329</v>
      </c>
      <c r="B399" t="s">
        <v>263</v>
      </c>
      <c r="C399" t="s">
        <v>133</v>
      </c>
      <c r="D399" t="s">
        <v>14</v>
      </c>
      <c r="E399" t="s">
        <v>15</v>
      </c>
      <c r="F399" t="s">
        <v>23</v>
      </c>
      <c r="G399">
        <f>INDEX(Question_Bank!$G$3:$G$14,MATCH(D399,Question_Bank!$A$3:$A$14,0))</f>
        <v>0</v>
      </c>
      <c r="H399">
        <f>IF(F399=G399,1,0)</f>
        <v>0</v>
      </c>
      <c r="I399">
        <f>H399*INDEX(Question_Bank!$M$3:$M$14,MATCH(D399,Question_Bank!$A$3:$A$14,0))</f>
        <v>0</v>
      </c>
      <c r="J399">
        <f>SUMIFS($I$3:$I$518,$A$3:$A$518,A399)</f>
        <v>0</v>
      </c>
      <c r="K399" s="5">
        <f>J399/SUM(Question_Bank!$M$3:$M$14)</f>
        <v>0</v>
      </c>
      <c r="L399" s="5">
        <f>SUMIFS($I$3:$I$518,$A$3:$A$518,A399,$E$3:$E$518,E399)/SUMIFS(Question_Bank!$M$3:$M$14,Question_Bank!$B$3:$B$14,E399)</f>
        <v>0</v>
      </c>
      <c r="M399" t="s">
        <v>330</v>
      </c>
    </row>
    <row r="400" spans="1:13">
      <c r="A400" t="s">
        <v>329</v>
      </c>
      <c r="B400" t="s">
        <v>263</v>
      </c>
      <c r="C400" t="s">
        <v>133</v>
      </c>
      <c r="D400" t="s">
        <v>26</v>
      </c>
      <c r="E400" t="s">
        <v>15</v>
      </c>
      <c r="F400" t="s">
        <v>31</v>
      </c>
      <c r="G400">
        <f>INDEX(Question_Bank!$G$3:$G$14,MATCH(D400,Question_Bank!$A$3:$A$14,0))</f>
        <v>0</v>
      </c>
      <c r="H400">
        <f>IF(F400=G400,1,0)</f>
        <v>0</v>
      </c>
      <c r="I400">
        <f>H400*INDEX(Question_Bank!$M$3:$M$14,MATCH(D400,Question_Bank!$A$3:$A$14,0))</f>
        <v>0</v>
      </c>
      <c r="J400">
        <f>SUMIFS($I$3:$I$518,$A$3:$A$518,A400)</f>
        <v>0</v>
      </c>
      <c r="K400" s="5">
        <f>J400/SUM(Question_Bank!$M$3:$M$14)</f>
        <v>0</v>
      </c>
      <c r="L400" s="5">
        <f>SUMIFS($I$3:$I$518,$A$3:$A$518,A400,$E$3:$E$518,E400)/SUMIFS(Question_Bank!$M$3:$M$14,Question_Bank!$B$3:$B$14,E400)</f>
        <v>0</v>
      </c>
      <c r="M400" t="s">
        <v>330</v>
      </c>
    </row>
    <row r="401" spans="1:13">
      <c r="A401" t="s">
        <v>329</v>
      </c>
      <c r="B401" t="s">
        <v>263</v>
      </c>
      <c r="C401" t="s">
        <v>133</v>
      </c>
      <c r="D401" t="s">
        <v>37</v>
      </c>
      <c r="E401" t="s">
        <v>15</v>
      </c>
      <c r="F401" t="s">
        <v>34</v>
      </c>
      <c r="G401">
        <f>INDEX(Question_Bank!$G$3:$G$14,MATCH(D401,Question_Bank!$A$3:$A$14,0))</f>
        <v>0</v>
      </c>
      <c r="H401">
        <f>IF(F401=G401,1,0)</f>
        <v>0</v>
      </c>
      <c r="I401">
        <f>H401*INDEX(Question_Bank!$M$3:$M$14,MATCH(D401,Question_Bank!$A$3:$A$14,0))</f>
        <v>0</v>
      </c>
      <c r="J401">
        <f>SUMIFS($I$3:$I$518,$A$3:$A$518,A401)</f>
        <v>0</v>
      </c>
      <c r="K401" s="5">
        <f>J401/SUM(Question_Bank!$M$3:$M$14)</f>
        <v>0</v>
      </c>
      <c r="L401" s="5">
        <f>SUMIFS($I$3:$I$518,$A$3:$A$518,A401,$E$3:$E$518,E401)/SUMIFS(Question_Bank!$M$3:$M$14,Question_Bank!$B$3:$B$14,E401)</f>
        <v>0</v>
      </c>
      <c r="M401" t="s">
        <v>330</v>
      </c>
    </row>
    <row r="402" spans="1:13">
      <c r="A402" t="s">
        <v>329</v>
      </c>
      <c r="B402" t="s">
        <v>263</v>
      </c>
      <c r="C402" t="s">
        <v>133</v>
      </c>
      <c r="D402" t="s">
        <v>45</v>
      </c>
      <c r="E402" t="s">
        <v>46</v>
      </c>
      <c r="F402" t="s">
        <v>31</v>
      </c>
      <c r="G402">
        <f>INDEX(Question_Bank!$G$3:$G$14,MATCH(D402,Question_Bank!$A$3:$A$14,0))</f>
        <v>0</v>
      </c>
      <c r="H402">
        <f>IF(F402=G402,1,0)</f>
        <v>0</v>
      </c>
      <c r="I402">
        <f>H402*INDEX(Question_Bank!$M$3:$M$14,MATCH(D402,Question_Bank!$A$3:$A$14,0))</f>
        <v>0</v>
      </c>
      <c r="J402">
        <f>SUMIFS($I$3:$I$518,$A$3:$A$518,A402)</f>
        <v>0</v>
      </c>
      <c r="K402" s="5">
        <f>J402/SUM(Question_Bank!$M$3:$M$14)</f>
        <v>0</v>
      </c>
      <c r="L402" s="5">
        <f>SUMIFS($I$3:$I$518,$A$3:$A$518,A402,$E$3:$E$518,E402)/SUMIFS(Question_Bank!$M$3:$M$14,Question_Bank!$B$3:$B$14,E402)</f>
        <v>0</v>
      </c>
      <c r="M402" t="s">
        <v>330</v>
      </c>
    </row>
    <row r="403" spans="1:13">
      <c r="A403" t="s">
        <v>329</v>
      </c>
      <c r="B403" t="s">
        <v>263</v>
      </c>
      <c r="C403" t="s">
        <v>133</v>
      </c>
      <c r="D403" t="s">
        <v>54</v>
      </c>
      <c r="E403" t="s">
        <v>46</v>
      </c>
      <c r="F403" t="s">
        <v>34</v>
      </c>
      <c r="G403">
        <f>INDEX(Question_Bank!$G$3:$G$14,MATCH(D403,Question_Bank!$A$3:$A$14,0))</f>
        <v>0</v>
      </c>
      <c r="H403">
        <f>IF(F403=G403,1,0)</f>
        <v>0</v>
      </c>
      <c r="I403">
        <f>H403*INDEX(Question_Bank!$M$3:$M$14,MATCH(D403,Question_Bank!$A$3:$A$14,0))</f>
        <v>0</v>
      </c>
      <c r="J403">
        <f>SUMIFS($I$3:$I$518,$A$3:$A$518,A403)</f>
        <v>0</v>
      </c>
      <c r="K403" s="5">
        <f>J403/SUM(Question_Bank!$M$3:$M$14)</f>
        <v>0</v>
      </c>
      <c r="L403" s="5">
        <f>SUMIFS($I$3:$I$518,$A$3:$A$518,A403,$E$3:$E$518,E403)/SUMIFS(Question_Bank!$M$3:$M$14,Question_Bank!$B$3:$B$14,E403)</f>
        <v>0</v>
      </c>
      <c r="M403" t="s">
        <v>330</v>
      </c>
    </row>
    <row r="404" spans="1:13">
      <c r="A404" t="s">
        <v>329</v>
      </c>
      <c r="B404" t="s">
        <v>263</v>
      </c>
      <c r="C404" t="s">
        <v>133</v>
      </c>
      <c r="D404" t="s">
        <v>62</v>
      </c>
      <c r="E404" t="s">
        <v>46</v>
      </c>
      <c r="F404" t="s">
        <v>31</v>
      </c>
      <c r="G404">
        <f>INDEX(Question_Bank!$G$3:$G$14,MATCH(D404,Question_Bank!$A$3:$A$14,0))</f>
        <v>0</v>
      </c>
      <c r="H404">
        <f>IF(F404=G404,1,0)</f>
        <v>0</v>
      </c>
      <c r="I404">
        <f>H404*INDEX(Question_Bank!$M$3:$M$14,MATCH(D404,Question_Bank!$A$3:$A$14,0))</f>
        <v>0</v>
      </c>
      <c r="J404">
        <f>SUMIFS($I$3:$I$518,$A$3:$A$518,A404)</f>
        <v>0</v>
      </c>
      <c r="K404" s="5">
        <f>J404/SUM(Question_Bank!$M$3:$M$14)</f>
        <v>0</v>
      </c>
      <c r="L404" s="5">
        <f>SUMIFS($I$3:$I$518,$A$3:$A$518,A404,$E$3:$E$518,E404)/SUMIFS(Question_Bank!$M$3:$M$14,Question_Bank!$B$3:$B$14,E404)</f>
        <v>0</v>
      </c>
      <c r="M404" t="s">
        <v>330</v>
      </c>
    </row>
    <row r="405" spans="1:13">
      <c r="A405" t="s">
        <v>329</v>
      </c>
      <c r="B405" t="s">
        <v>263</v>
      </c>
      <c r="C405" t="s">
        <v>133</v>
      </c>
      <c r="D405" t="s">
        <v>70</v>
      </c>
      <c r="E405" t="s">
        <v>71</v>
      </c>
      <c r="F405" t="s">
        <v>23</v>
      </c>
      <c r="G405">
        <f>INDEX(Question_Bank!$G$3:$G$14,MATCH(D405,Question_Bank!$A$3:$A$14,0))</f>
        <v>0</v>
      </c>
      <c r="H405">
        <f>IF(F405=G405,1,0)</f>
        <v>0</v>
      </c>
      <c r="I405">
        <f>H405*INDEX(Question_Bank!$M$3:$M$14,MATCH(D405,Question_Bank!$A$3:$A$14,0))</f>
        <v>0</v>
      </c>
      <c r="J405">
        <f>SUMIFS($I$3:$I$518,$A$3:$A$518,A405)</f>
        <v>0</v>
      </c>
      <c r="K405" s="5">
        <f>J405/SUM(Question_Bank!$M$3:$M$14)</f>
        <v>0</v>
      </c>
      <c r="L405" s="5">
        <f>SUMIFS($I$3:$I$518,$A$3:$A$518,A405,$E$3:$E$518,E405)/SUMIFS(Question_Bank!$M$3:$M$14,Question_Bank!$B$3:$B$14,E405)</f>
        <v>0</v>
      </c>
      <c r="M405" t="s">
        <v>330</v>
      </c>
    </row>
    <row r="406" spans="1:13">
      <c r="A406" t="s">
        <v>329</v>
      </c>
      <c r="B406" t="s">
        <v>263</v>
      </c>
      <c r="C406" t="s">
        <v>133</v>
      </c>
      <c r="D406" t="s">
        <v>79</v>
      </c>
      <c r="E406" t="s">
        <v>71</v>
      </c>
      <c r="F406" t="s">
        <v>34</v>
      </c>
      <c r="G406">
        <f>INDEX(Question_Bank!$G$3:$G$14,MATCH(D406,Question_Bank!$A$3:$A$14,0))</f>
        <v>0</v>
      </c>
      <c r="H406">
        <f>IF(F406=G406,1,0)</f>
        <v>0</v>
      </c>
      <c r="I406">
        <f>H406*INDEX(Question_Bank!$M$3:$M$14,MATCH(D406,Question_Bank!$A$3:$A$14,0))</f>
        <v>0</v>
      </c>
      <c r="J406">
        <f>SUMIFS($I$3:$I$518,$A$3:$A$518,A406)</f>
        <v>0</v>
      </c>
      <c r="K406" s="5">
        <f>J406/SUM(Question_Bank!$M$3:$M$14)</f>
        <v>0</v>
      </c>
      <c r="L406" s="5">
        <f>SUMIFS($I$3:$I$518,$A$3:$A$518,A406,$E$3:$E$518,E406)/SUMIFS(Question_Bank!$M$3:$M$14,Question_Bank!$B$3:$B$14,E406)</f>
        <v>0</v>
      </c>
      <c r="M406" t="s">
        <v>330</v>
      </c>
    </row>
    <row r="407" spans="1:13">
      <c r="A407" t="s">
        <v>329</v>
      </c>
      <c r="B407" t="s">
        <v>263</v>
      </c>
      <c r="C407" t="s">
        <v>133</v>
      </c>
      <c r="D407" t="s">
        <v>87</v>
      </c>
      <c r="E407" t="s">
        <v>71</v>
      </c>
      <c r="F407" t="s">
        <v>23</v>
      </c>
      <c r="G407">
        <f>INDEX(Question_Bank!$G$3:$G$14,MATCH(D407,Question_Bank!$A$3:$A$14,0))</f>
        <v>0</v>
      </c>
      <c r="H407">
        <f>IF(F407=G407,1,0)</f>
        <v>0</v>
      </c>
      <c r="I407">
        <f>H407*INDEX(Question_Bank!$M$3:$M$14,MATCH(D407,Question_Bank!$A$3:$A$14,0))</f>
        <v>0</v>
      </c>
      <c r="J407">
        <f>SUMIFS($I$3:$I$518,$A$3:$A$518,A407)</f>
        <v>0</v>
      </c>
      <c r="K407" s="5">
        <f>J407/SUM(Question_Bank!$M$3:$M$14)</f>
        <v>0</v>
      </c>
      <c r="L407" s="5">
        <f>SUMIFS($I$3:$I$518,$A$3:$A$518,A407,$E$3:$E$518,E407)/SUMIFS(Question_Bank!$M$3:$M$14,Question_Bank!$B$3:$B$14,E407)</f>
        <v>0</v>
      </c>
      <c r="M407" t="s">
        <v>330</v>
      </c>
    </row>
    <row r="408" spans="1:13">
      <c r="A408" t="s">
        <v>329</v>
      </c>
      <c r="B408" t="s">
        <v>263</v>
      </c>
      <c r="C408" t="s">
        <v>133</v>
      </c>
      <c r="D408" t="s">
        <v>95</v>
      </c>
      <c r="E408" t="s">
        <v>96</v>
      </c>
      <c r="F408" t="s">
        <v>34</v>
      </c>
      <c r="G408">
        <f>INDEX(Question_Bank!$G$3:$G$14,MATCH(D408,Question_Bank!$A$3:$A$14,0))</f>
        <v>0</v>
      </c>
      <c r="H408">
        <f>IF(F408=G408,1,0)</f>
        <v>0</v>
      </c>
      <c r="I408">
        <f>H408*INDEX(Question_Bank!$M$3:$M$14,MATCH(D408,Question_Bank!$A$3:$A$14,0))</f>
        <v>0</v>
      </c>
      <c r="J408">
        <f>SUMIFS($I$3:$I$518,$A$3:$A$518,A408)</f>
        <v>0</v>
      </c>
      <c r="K408" s="5">
        <f>J408/SUM(Question_Bank!$M$3:$M$14)</f>
        <v>0</v>
      </c>
      <c r="L408" s="5">
        <f>SUMIFS($I$3:$I$518,$A$3:$A$518,A408,$E$3:$E$518,E408)/SUMIFS(Question_Bank!$M$3:$M$14,Question_Bank!$B$3:$B$14,E408)</f>
        <v>0</v>
      </c>
      <c r="M408" t="s">
        <v>330</v>
      </c>
    </row>
    <row r="409" spans="1:13">
      <c r="A409" t="s">
        <v>329</v>
      </c>
      <c r="B409" t="s">
        <v>263</v>
      </c>
      <c r="C409" t="s">
        <v>133</v>
      </c>
      <c r="D409" t="s">
        <v>104</v>
      </c>
      <c r="E409" t="s">
        <v>96</v>
      </c>
      <c r="F409" t="s">
        <v>23</v>
      </c>
      <c r="G409">
        <f>INDEX(Question_Bank!$G$3:$G$14,MATCH(D409,Question_Bank!$A$3:$A$14,0))</f>
        <v>0</v>
      </c>
      <c r="H409">
        <f>IF(F409=G409,1,0)</f>
        <v>0</v>
      </c>
      <c r="I409">
        <f>H409*INDEX(Question_Bank!$M$3:$M$14,MATCH(D409,Question_Bank!$A$3:$A$14,0))</f>
        <v>0</v>
      </c>
      <c r="J409">
        <f>SUMIFS($I$3:$I$518,$A$3:$A$518,A409)</f>
        <v>0</v>
      </c>
      <c r="K409" s="5">
        <f>J409/SUM(Question_Bank!$M$3:$M$14)</f>
        <v>0</v>
      </c>
      <c r="L409" s="5">
        <f>SUMIFS($I$3:$I$518,$A$3:$A$518,A409,$E$3:$E$518,E409)/SUMIFS(Question_Bank!$M$3:$M$14,Question_Bank!$B$3:$B$14,E409)</f>
        <v>0</v>
      </c>
      <c r="M409" t="s">
        <v>330</v>
      </c>
    </row>
    <row r="410" spans="1:13">
      <c r="A410" t="s">
        <v>329</v>
      </c>
      <c r="B410" t="s">
        <v>263</v>
      </c>
      <c r="C410" t="s">
        <v>133</v>
      </c>
      <c r="D410" t="s">
        <v>112</v>
      </c>
      <c r="E410" t="s">
        <v>96</v>
      </c>
      <c r="F410" t="s">
        <v>23</v>
      </c>
      <c r="G410">
        <f>INDEX(Question_Bank!$G$3:$G$14,MATCH(D410,Question_Bank!$A$3:$A$14,0))</f>
        <v>0</v>
      </c>
      <c r="H410">
        <f>IF(F410=G410,1,0)</f>
        <v>0</v>
      </c>
      <c r="I410">
        <f>H410*INDEX(Question_Bank!$M$3:$M$14,MATCH(D410,Question_Bank!$A$3:$A$14,0))</f>
        <v>0</v>
      </c>
      <c r="J410">
        <f>SUMIFS($I$3:$I$518,$A$3:$A$518,A410)</f>
        <v>0</v>
      </c>
      <c r="K410" s="5">
        <f>J410/SUM(Question_Bank!$M$3:$M$14)</f>
        <v>0</v>
      </c>
      <c r="L410" s="5">
        <f>SUMIFS($I$3:$I$518,$A$3:$A$518,A410,$E$3:$E$518,E410)/SUMIFS(Question_Bank!$M$3:$M$14,Question_Bank!$B$3:$B$14,E410)</f>
        <v>0</v>
      </c>
      <c r="M410" t="s">
        <v>330</v>
      </c>
    </row>
    <row r="411" spans="1:13">
      <c r="A411" t="s">
        <v>331</v>
      </c>
      <c r="B411" t="s">
        <v>263</v>
      </c>
      <c r="C411" t="s">
        <v>133</v>
      </c>
      <c r="D411" t="s">
        <v>14</v>
      </c>
      <c r="E411" t="s">
        <v>15</v>
      </c>
      <c r="F411" t="s">
        <v>31</v>
      </c>
      <c r="G411">
        <f>INDEX(Question_Bank!$G$3:$G$14,MATCH(D411,Question_Bank!$A$3:$A$14,0))</f>
        <v>0</v>
      </c>
      <c r="H411">
        <f>IF(F411=G411,1,0)</f>
        <v>0</v>
      </c>
      <c r="I411">
        <f>H411*INDEX(Question_Bank!$M$3:$M$14,MATCH(D411,Question_Bank!$A$3:$A$14,0))</f>
        <v>0</v>
      </c>
      <c r="J411">
        <f>SUMIFS($I$3:$I$518,$A$3:$A$518,A411)</f>
        <v>0</v>
      </c>
      <c r="K411" s="5">
        <f>J411/SUM(Question_Bank!$M$3:$M$14)</f>
        <v>0</v>
      </c>
      <c r="L411" s="5">
        <f>SUMIFS($I$3:$I$518,$A$3:$A$518,A411,$E$3:$E$518,E411)/SUMIFS(Question_Bank!$M$3:$M$14,Question_Bank!$B$3:$B$14,E411)</f>
        <v>0</v>
      </c>
      <c r="M411" t="s">
        <v>332</v>
      </c>
    </row>
    <row r="412" spans="1:13">
      <c r="A412" t="s">
        <v>331</v>
      </c>
      <c r="B412" t="s">
        <v>263</v>
      </c>
      <c r="C412" t="s">
        <v>133</v>
      </c>
      <c r="D412" t="s">
        <v>26</v>
      </c>
      <c r="E412" t="s">
        <v>15</v>
      </c>
      <c r="F412" t="s">
        <v>34</v>
      </c>
      <c r="G412">
        <f>INDEX(Question_Bank!$G$3:$G$14,MATCH(D412,Question_Bank!$A$3:$A$14,0))</f>
        <v>0</v>
      </c>
      <c r="H412">
        <f>IF(F412=G412,1,0)</f>
        <v>0</v>
      </c>
      <c r="I412">
        <f>H412*INDEX(Question_Bank!$M$3:$M$14,MATCH(D412,Question_Bank!$A$3:$A$14,0))</f>
        <v>0</v>
      </c>
      <c r="J412">
        <f>SUMIFS($I$3:$I$518,$A$3:$A$518,A412)</f>
        <v>0</v>
      </c>
      <c r="K412" s="5">
        <f>J412/SUM(Question_Bank!$M$3:$M$14)</f>
        <v>0</v>
      </c>
      <c r="L412" s="5">
        <f>SUMIFS($I$3:$I$518,$A$3:$A$518,A412,$E$3:$E$518,E412)/SUMIFS(Question_Bank!$M$3:$M$14,Question_Bank!$B$3:$B$14,E412)</f>
        <v>0</v>
      </c>
      <c r="M412" t="s">
        <v>332</v>
      </c>
    </row>
    <row r="413" spans="1:13">
      <c r="A413" t="s">
        <v>331</v>
      </c>
      <c r="B413" t="s">
        <v>263</v>
      </c>
      <c r="C413" t="s">
        <v>133</v>
      </c>
      <c r="D413" t="s">
        <v>37</v>
      </c>
      <c r="E413" t="s">
        <v>15</v>
      </c>
      <c r="F413" t="s">
        <v>20</v>
      </c>
      <c r="G413">
        <f>INDEX(Question_Bank!$G$3:$G$14,MATCH(D413,Question_Bank!$A$3:$A$14,0))</f>
        <v>0</v>
      </c>
      <c r="H413">
        <f>IF(F413=G413,1,0)</f>
        <v>0</v>
      </c>
      <c r="I413">
        <f>H413*INDEX(Question_Bank!$M$3:$M$14,MATCH(D413,Question_Bank!$A$3:$A$14,0))</f>
        <v>0</v>
      </c>
      <c r="J413">
        <f>SUMIFS($I$3:$I$518,$A$3:$A$518,A413)</f>
        <v>0</v>
      </c>
      <c r="K413" s="5">
        <f>J413/SUM(Question_Bank!$M$3:$M$14)</f>
        <v>0</v>
      </c>
      <c r="L413" s="5">
        <f>SUMIFS($I$3:$I$518,$A$3:$A$518,A413,$E$3:$E$518,E413)/SUMIFS(Question_Bank!$M$3:$M$14,Question_Bank!$B$3:$B$14,E413)</f>
        <v>0</v>
      </c>
      <c r="M413" t="s">
        <v>332</v>
      </c>
    </row>
    <row r="414" spans="1:13">
      <c r="A414" t="s">
        <v>331</v>
      </c>
      <c r="B414" t="s">
        <v>263</v>
      </c>
      <c r="C414" t="s">
        <v>133</v>
      </c>
      <c r="D414" t="s">
        <v>45</v>
      </c>
      <c r="E414" t="s">
        <v>46</v>
      </c>
      <c r="F414" t="s">
        <v>31</v>
      </c>
      <c r="G414">
        <f>INDEX(Question_Bank!$G$3:$G$14,MATCH(D414,Question_Bank!$A$3:$A$14,0))</f>
        <v>0</v>
      </c>
      <c r="H414">
        <f>IF(F414=G414,1,0)</f>
        <v>0</v>
      </c>
      <c r="I414">
        <f>H414*INDEX(Question_Bank!$M$3:$M$14,MATCH(D414,Question_Bank!$A$3:$A$14,0))</f>
        <v>0</v>
      </c>
      <c r="J414">
        <f>SUMIFS($I$3:$I$518,$A$3:$A$518,A414)</f>
        <v>0</v>
      </c>
      <c r="K414" s="5">
        <f>J414/SUM(Question_Bank!$M$3:$M$14)</f>
        <v>0</v>
      </c>
      <c r="L414" s="5">
        <f>SUMIFS($I$3:$I$518,$A$3:$A$518,A414,$E$3:$E$518,E414)/SUMIFS(Question_Bank!$M$3:$M$14,Question_Bank!$B$3:$B$14,E414)</f>
        <v>0</v>
      </c>
      <c r="M414" t="s">
        <v>332</v>
      </c>
    </row>
    <row r="415" spans="1:13">
      <c r="A415" t="s">
        <v>331</v>
      </c>
      <c r="B415" t="s">
        <v>263</v>
      </c>
      <c r="C415" t="s">
        <v>133</v>
      </c>
      <c r="D415" t="s">
        <v>54</v>
      </c>
      <c r="E415" t="s">
        <v>46</v>
      </c>
      <c r="F415" t="s">
        <v>23</v>
      </c>
      <c r="G415">
        <f>INDEX(Question_Bank!$G$3:$G$14,MATCH(D415,Question_Bank!$A$3:$A$14,0))</f>
        <v>0</v>
      </c>
      <c r="H415">
        <f>IF(F415=G415,1,0)</f>
        <v>0</v>
      </c>
      <c r="I415">
        <f>H415*INDEX(Question_Bank!$M$3:$M$14,MATCH(D415,Question_Bank!$A$3:$A$14,0))</f>
        <v>0</v>
      </c>
      <c r="J415">
        <f>SUMIFS($I$3:$I$518,$A$3:$A$518,A415)</f>
        <v>0</v>
      </c>
      <c r="K415" s="5">
        <f>J415/SUM(Question_Bank!$M$3:$M$14)</f>
        <v>0</v>
      </c>
      <c r="L415" s="5">
        <f>SUMIFS($I$3:$I$518,$A$3:$A$518,A415,$E$3:$E$518,E415)/SUMIFS(Question_Bank!$M$3:$M$14,Question_Bank!$B$3:$B$14,E415)</f>
        <v>0</v>
      </c>
      <c r="M415" t="s">
        <v>332</v>
      </c>
    </row>
    <row r="416" spans="1:13">
      <c r="A416" t="s">
        <v>331</v>
      </c>
      <c r="B416" t="s">
        <v>263</v>
      </c>
      <c r="C416" t="s">
        <v>133</v>
      </c>
      <c r="D416" t="s">
        <v>62</v>
      </c>
      <c r="E416" t="s">
        <v>46</v>
      </c>
      <c r="F416" t="s">
        <v>34</v>
      </c>
      <c r="G416">
        <f>INDEX(Question_Bank!$G$3:$G$14,MATCH(D416,Question_Bank!$A$3:$A$14,0))</f>
        <v>0</v>
      </c>
      <c r="H416">
        <f>IF(F416=G416,1,0)</f>
        <v>0</v>
      </c>
      <c r="I416">
        <f>H416*INDEX(Question_Bank!$M$3:$M$14,MATCH(D416,Question_Bank!$A$3:$A$14,0))</f>
        <v>0</v>
      </c>
      <c r="J416">
        <f>SUMIFS($I$3:$I$518,$A$3:$A$518,A416)</f>
        <v>0</v>
      </c>
      <c r="K416" s="5">
        <f>J416/SUM(Question_Bank!$M$3:$M$14)</f>
        <v>0</v>
      </c>
      <c r="L416" s="5">
        <f>SUMIFS($I$3:$I$518,$A$3:$A$518,A416,$E$3:$E$518,E416)/SUMIFS(Question_Bank!$M$3:$M$14,Question_Bank!$B$3:$B$14,E416)</f>
        <v>0</v>
      </c>
      <c r="M416" t="s">
        <v>332</v>
      </c>
    </row>
    <row r="417" spans="1:13">
      <c r="A417" t="s">
        <v>331</v>
      </c>
      <c r="B417" t="s">
        <v>263</v>
      </c>
      <c r="C417" t="s">
        <v>133</v>
      </c>
      <c r="D417" t="s">
        <v>70</v>
      </c>
      <c r="E417" t="s">
        <v>71</v>
      </c>
      <c r="F417" t="s">
        <v>20</v>
      </c>
      <c r="G417">
        <f>INDEX(Question_Bank!$G$3:$G$14,MATCH(D417,Question_Bank!$A$3:$A$14,0))</f>
        <v>0</v>
      </c>
      <c r="H417">
        <f>IF(F417=G417,1,0)</f>
        <v>0</v>
      </c>
      <c r="I417">
        <f>H417*INDEX(Question_Bank!$M$3:$M$14,MATCH(D417,Question_Bank!$A$3:$A$14,0))</f>
        <v>0</v>
      </c>
      <c r="J417">
        <f>SUMIFS($I$3:$I$518,$A$3:$A$518,A417)</f>
        <v>0</v>
      </c>
      <c r="K417" s="5">
        <f>J417/SUM(Question_Bank!$M$3:$M$14)</f>
        <v>0</v>
      </c>
      <c r="L417" s="5">
        <f>SUMIFS($I$3:$I$518,$A$3:$A$518,A417,$E$3:$E$518,E417)/SUMIFS(Question_Bank!$M$3:$M$14,Question_Bank!$B$3:$B$14,E417)</f>
        <v>0</v>
      </c>
      <c r="M417" t="s">
        <v>332</v>
      </c>
    </row>
    <row r="418" spans="1:13">
      <c r="A418" t="s">
        <v>331</v>
      </c>
      <c r="B418" t="s">
        <v>263</v>
      </c>
      <c r="C418" t="s">
        <v>133</v>
      </c>
      <c r="D418" t="s">
        <v>79</v>
      </c>
      <c r="E418" t="s">
        <v>71</v>
      </c>
      <c r="F418" t="s">
        <v>23</v>
      </c>
      <c r="G418">
        <f>INDEX(Question_Bank!$G$3:$G$14,MATCH(D418,Question_Bank!$A$3:$A$14,0))</f>
        <v>0</v>
      </c>
      <c r="H418">
        <f>IF(F418=G418,1,0)</f>
        <v>0</v>
      </c>
      <c r="I418">
        <f>H418*INDEX(Question_Bank!$M$3:$M$14,MATCH(D418,Question_Bank!$A$3:$A$14,0))</f>
        <v>0</v>
      </c>
      <c r="J418">
        <f>SUMIFS($I$3:$I$518,$A$3:$A$518,A418)</f>
        <v>0</v>
      </c>
      <c r="K418" s="5">
        <f>J418/SUM(Question_Bank!$M$3:$M$14)</f>
        <v>0</v>
      </c>
      <c r="L418" s="5">
        <f>SUMIFS($I$3:$I$518,$A$3:$A$518,A418,$E$3:$E$518,E418)/SUMIFS(Question_Bank!$M$3:$M$14,Question_Bank!$B$3:$B$14,E418)</f>
        <v>0</v>
      </c>
      <c r="M418" t="s">
        <v>332</v>
      </c>
    </row>
    <row r="419" spans="1:13">
      <c r="A419" t="s">
        <v>331</v>
      </c>
      <c r="B419" t="s">
        <v>263</v>
      </c>
      <c r="C419" t="s">
        <v>133</v>
      </c>
      <c r="D419" t="s">
        <v>87</v>
      </c>
      <c r="E419" t="s">
        <v>71</v>
      </c>
      <c r="F419" t="s">
        <v>31</v>
      </c>
      <c r="G419">
        <f>INDEX(Question_Bank!$G$3:$G$14,MATCH(D419,Question_Bank!$A$3:$A$14,0))</f>
        <v>0</v>
      </c>
      <c r="H419">
        <f>IF(F419=G419,1,0)</f>
        <v>0</v>
      </c>
      <c r="I419">
        <f>H419*INDEX(Question_Bank!$M$3:$M$14,MATCH(D419,Question_Bank!$A$3:$A$14,0))</f>
        <v>0</v>
      </c>
      <c r="J419">
        <f>SUMIFS($I$3:$I$518,$A$3:$A$518,A419)</f>
        <v>0</v>
      </c>
      <c r="K419" s="5">
        <f>J419/SUM(Question_Bank!$M$3:$M$14)</f>
        <v>0</v>
      </c>
      <c r="L419" s="5">
        <f>SUMIFS($I$3:$I$518,$A$3:$A$518,A419,$E$3:$E$518,E419)/SUMIFS(Question_Bank!$M$3:$M$14,Question_Bank!$B$3:$B$14,E419)</f>
        <v>0</v>
      </c>
      <c r="M419" t="s">
        <v>332</v>
      </c>
    </row>
    <row r="420" spans="1:13">
      <c r="A420" t="s">
        <v>331</v>
      </c>
      <c r="B420" t="s">
        <v>263</v>
      </c>
      <c r="C420" t="s">
        <v>133</v>
      </c>
      <c r="D420" t="s">
        <v>95</v>
      </c>
      <c r="E420" t="s">
        <v>96</v>
      </c>
      <c r="F420" t="s">
        <v>31</v>
      </c>
      <c r="G420">
        <f>INDEX(Question_Bank!$G$3:$G$14,MATCH(D420,Question_Bank!$A$3:$A$14,0))</f>
        <v>0</v>
      </c>
      <c r="H420">
        <f>IF(F420=G420,1,0)</f>
        <v>0</v>
      </c>
      <c r="I420">
        <f>H420*INDEX(Question_Bank!$M$3:$M$14,MATCH(D420,Question_Bank!$A$3:$A$14,0))</f>
        <v>0</v>
      </c>
      <c r="J420">
        <f>SUMIFS($I$3:$I$518,$A$3:$A$518,A420)</f>
        <v>0</v>
      </c>
      <c r="K420" s="5">
        <f>J420/SUM(Question_Bank!$M$3:$M$14)</f>
        <v>0</v>
      </c>
      <c r="L420" s="5">
        <f>SUMIFS($I$3:$I$518,$A$3:$A$518,A420,$E$3:$E$518,E420)/SUMIFS(Question_Bank!$M$3:$M$14,Question_Bank!$B$3:$B$14,E420)</f>
        <v>0</v>
      </c>
      <c r="M420" t="s">
        <v>332</v>
      </c>
    </row>
    <row r="421" spans="1:13">
      <c r="A421" t="s">
        <v>331</v>
      </c>
      <c r="B421" t="s">
        <v>263</v>
      </c>
      <c r="C421" t="s">
        <v>133</v>
      </c>
      <c r="D421" t="s">
        <v>104</v>
      </c>
      <c r="E421" t="s">
        <v>96</v>
      </c>
      <c r="F421" t="s">
        <v>23</v>
      </c>
      <c r="G421">
        <f>INDEX(Question_Bank!$G$3:$G$14,MATCH(D421,Question_Bank!$A$3:$A$14,0))</f>
        <v>0</v>
      </c>
      <c r="H421">
        <f>IF(F421=G421,1,0)</f>
        <v>0</v>
      </c>
      <c r="I421">
        <f>H421*INDEX(Question_Bank!$M$3:$M$14,MATCH(D421,Question_Bank!$A$3:$A$14,0))</f>
        <v>0</v>
      </c>
      <c r="J421">
        <f>SUMIFS($I$3:$I$518,$A$3:$A$518,A421)</f>
        <v>0</v>
      </c>
      <c r="K421" s="5">
        <f>J421/SUM(Question_Bank!$M$3:$M$14)</f>
        <v>0</v>
      </c>
      <c r="L421" s="5">
        <f>SUMIFS($I$3:$I$518,$A$3:$A$518,A421,$E$3:$E$518,E421)/SUMIFS(Question_Bank!$M$3:$M$14,Question_Bank!$B$3:$B$14,E421)</f>
        <v>0</v>
      </c>
      <c r="M421" t="s">
        <v>332</v>
      </c>
    </row>
    <row r="422" spans="1:13">
      <c r="A422" t="s">
        <v>331</v>
      </c>
      <c r="B422" t="s">
        <v>263</v>
      </c>
      <c r="C422" t="s">
        <v>133</v>
      </c>
      <c r="D422" t="s">
        <v>112</v>
      </c>
      <c r="E422" t="s">
        <v>96</v>
      </c>
      <c r="F422" t="s">
        <v>20</v>
      </c>
      <c r="G422">
        <f>INDEX(Question_Bank!$G$3:$G$14,MATCH(D422,Question_Bank!$A$3:$A$14,0))</f>
        <v>0</v>
      </c>
      <c r="H422">
        <f>IF(F422=G422,1,0)</f>
        <v>0</v>
      </c>
      <c r="I422">
        <f>H422*INDEX(Question_Bank!$M$3:$M$14,MATCH(D422,Question_Bank!$A$3:$A$14,0))</f>
        <v>0</v>
      </c>
      <c r="J422">
        <f>SUMIFS($I$3:$I$518,$A$3:$A$518,A422)</f>
        <v>0</v>
      </c>
      <c r="K422" s="5">
        <f>J422/SUM(Question_Bank!$M$3:$M$14)</f>
        <v>0</v>
      </c>
      <c r="L422" s="5">
        <f>SUMIFS($I$3:$I$518,$A$3:$A$518,A422,$E$3:$E$518,E422)/SUMIFS(Question_Bank!$M$3:$M$14,Question_Bank!$B$3:$B$14,E422)</f>
        <v>0</v>
      </c>
      <c r="M422" t="s">
        <v>332</v>
      </c>
    </row>
    <row r="423" spans="1:13">
      <c r="A423" t="s">
        <v>333</v>
      </c>
      <c r="B423" t="s">
        <v>263</v>
      </c>
      <c r="C423" t="s">
        <v>133</v>
      </c>
      <c r="D423" t="s">
        <v>14</v>
      </c>
      <c r="E423" t="s">
        <v>15</v>
      </c>
      <c r="F423" t="s">
        <v>20</v>
      </c>
      <c r="G423">
        <f>INDEX(Question_Bank!$G$3:$G$14,MATCH(D423,Question_Bank!$A$3:$A$14,0))</f>
        <v>0</v>
      </c>
      <c r="H423">
        <f>IF(F423=G423,1,0)</f>
        <v>0</v>
      </c>
      <c r="I423">
        <f>H423*INDEX(Question_Bank!$M$3:$M$14,MATCH(D423,Question_Bank!$A$3:$A$14,0))</f>
        <v>0</v>
      </c>
      <c r="J423">
        <f>SUMIFS($I$3:$I$518,$A$3:$A$518,A423)</f>
        <v>0</v>
      </c>
      <c r="K423" s="5">
        <f>J423/SUM(Question_Bank!$M$3:$M$14)</f>
        <v>0</v>
      </c>
      <c r="L423" s="5">
        <f>SUMIFS($I$3:$I$518,$A$3:$A$518,A423,$E$3:$E$518,E423)/SUMIFS(Question_Bank!$M$3:$M$14,Question_Bank!$B$3:$B$14,E423)</f>
        <v>0</v>
      </c>
      <c r="M423" t="s">
        <v>334</v>
      </c>
    </row>
    <row r="424" spans="1:13">
      <c r="A424" t="s">
        <v>333</v>
      </c>
      <c r="B424" t="s">
        <v>263</v>
      </c>
      <c r="C424" t="s">
        <v>133</v>
      </c>
      <c r="D424" t="s">
        <v>26</v>
      </c>
      <c r="E424" t="s">
        <v>15</v>
      </c>
      <c r="F424" t="s">
        <v>20</v>
      </c>
      <c r="G424">
        <f>INDEX(Question_Bank!$G$3:$G$14,MATCH(D424,Question_Bank!$A$3:$A$14,0))</f>
        <v>0</v>
      </c>
      <c r="H424">
        <f>IF(F424=G424,1,0)</f>
        <v>0</v>
      </c>
      <c r="I424">
        <f>H424*INDEX(Question_Bank!$M$3:$M$14,MATCH(D424,Question_Bank!$A$3:$A$14,0))</f>
        <v>0</v>
      </c>
      <c r="J424">
        <f>SUMIFS($I$3:$I$518,$A$3:$A$518,A424)</f>
        <v>0</v>
      </c>
      <c r="K424" s="5">
        <f>J424/SUM(Question_Bank!$M$3:$M$14)</f>
        <v>0</v>
      </c>
      <c r="L424" s="5">
        <f>SUMIFS($I$3:$I$518,$A$3:$A$518,A424,$E$3:$E$518,E424)/SUMIFS(Question_Bank!$M$3:$M$14,Question_Bank!$B$3:$B$14,E424)</f>
        <v>0</v>
      </c>
      <c r="M424" t="s">
        <v>334</v>
      </c>
    </row>
    <row r="425" spans="1:13">
      <c r="A425" t="s">
        <v>333</v>
      </c>
      <c r="B425" t="s">
        <v>263</v>
      </c>
      <c r="C425" t="s">
        <v>133</v>
      </c>
      <c r="D425" t="s">
        <v>37</v>
      </c>
      <c r="E425" t="s">
        <v>15</v>
      </c>
      <c r="F425" t="s">
        <v>20</v>
      </c>
      <c r="G425">
        <f>INDEX(Question_Bank!$G$3:$G$14,MATCH(D425,Question_Bank!$A$3:$A$14,0))</f>
        <v>0</v>
      </c>
      <c r="H425">
        <f>IF(F425=G425,1,0)</f>
        <v>0</v>
      </c>
      <c r="I425">
        <f>H425*INDEX(Question_Bank!$M$3:$M$14,MATCH(D425,Question_Bank!$A$3:$A$14,0))</f>
        <v>0</v>
      </c>
      <c r="J425">
        <f>SUMIFS($I$3:$I$518,$A$3:$A$518,A425)</f>
        <v>0</v>
      </c>
      <c r="K425" s="5">
        <f>J425/SUM(Question_Bank!$M$3:$M$14)</f>
        <v>0</v>
      </c>
      <c r="L425" s="5">
        <f>SUMIFS($I$3:$I$518,$A$3:$A$518,A425,$E$3:$E$518,E425)/SUMIFS(Question_Bank!$M$3:$M$14,Question_Bank!$B$3:$B$14,E425)</f>
        <v>0</v>
      </c>
      <c r="M425" t="s">
        <v>334</v>
      </c>
    </row>
    <row r="426" spans="1:13">
      <c r="A426" t="s">
        <v>333</v>
      </c>
      <c r="B426" t="s">
        <v>263</v>
      </c>
      <c r="C426" t="s">
        <v>133</v>
      </c>
      <c r="D426" t="s">
        <v>45</v>
      </c>
      <c r="E426" t="s">
        <v>46</v>
      </c>
      <c r="F426" t="s">
        <v>20</v>
      </c>
      <c r="G426">
        <f>INDEX(Question_Bank!$G$3:$G$14,MATCH(D426,Question_Bank!$A$3:$A$14,0))</f>
        <v>0</v>
      </c>
      <c r="H426">
        <f>IF(F426=G426,1,0)</f>
        <v>0</v>
      </c>
      <c r="I426">
        <f>H426*INDEX(Question_Bank!$M$3:$M$14,MATCH(D426,Question_Bank!$A$3:$A$14,0))</f>
        <v>0</v>
      </c>
      <c r="J426">
        <f>SUMIFS($I$3:$I$518,$A$3:$A$518,A426)</f>
        <v>0</v>
      </c>
      <c r="K426" s="5">
        <f>J426/SUM(Question_Bank!$M$3:$M$14)</f>
        <v>0</v>
      </c>
      <c r="L426" s="5">
        <f>SUMIFS($I$3:$I$518,$A$3:$A$518,A426,$E$3:$E$518,E426)/SUMIFS(Question_Bank!$M$3:$M$14,Question_Bank!$B$3:$B$14,E426)</f>
        <v>0</v>
      </c>
      <c r="M426" t="s">
        <v>334</v>
      </c>
    </row>
    <row r="427" spans="1:13">
      <c r="A427" t="s">
        <v>333</v>
      </c>
      <c r="B427" t="s">
        <v>263</v>
      </c>
      <c r="C427" t="s">
        <v>133</v>
      </c>
      <c r="D427" t="s">
        <v>54</v>
      </c>
      <c r="E427" t="s">
        <v>46</v>
      </c>
      <c r="F427" t="s">
        <v>20</v>
      </c>
      <c r="G427">
        <f>INDEX(Question_Bank!$G$3:$G$14,MATCH(D427,Question_Bank!$A$3:$A$14,0))</f>
        <v>0</v>
      </c>
      <c r="H427">
        <f>IF(F427=G427,1,0)</f>
        <v>0</v>
      </c>
      <c r="I427">
        <f>H427*INDEX(Question_Bank!$M$3:$M$14,MATCH(D427,Question_Bank!$A$3:$A$14,0))</f>
        <v>0</v>
      </c>
      <c r="J427">
        <f>SUMIFS($I$3:$I$518,$A$3:$A$518,A427)</f>
        <v>0</v>
      </c>
      <c r="K427" s="5">
        <f>J427/SUM(Question_Bank!$M$3:$M$14)</f>
        <v>0</v>
      </c>
      <c r="L427" s="5">
        <f>SUMIFS($I$3:$I$518,$A$3:$A$518,A427,$E$3:$E$518,E427)/SUMIFS(Question_Bank!$M$3:$M$14,Question_Bank!$B$3:$B$14,E427)</f>
        <v>0</v>
      </c>
      <c r="M427" t="s">
        <v>334</v>
      </c>
    </row>
    <row r="428" spans="1:13">
      <c r="A428" t="s">
        <v>333</v>
      </c>
      <c r="B428" t="s">
        <v>263</v>
      </c>
      <c r="C428" t="s">
        <v>133</v>
      </c>
      <c r="D428" t="s">
        <v>62</v>
      </c>
      <c r="E428" t="s">
        <v>46</v>
      </c>
      <c r="F428" t="s">
        <v>31</v>
      </c>
      <c r="G428">
        <f>INDEX(Question_Bank!$G$3:$G$14,MATCH(D428,Question_Bank!$A$3:$A$14,0))</f>
        <v>0</v>
      </c>
      <c r="H428">
        <f>IF(F428=G428,1,0)</f>
        <v>0</v>
      </c>
      <c r="I428">
        <f>H428*INDEX(Question_Bank!$M$3:$M$14,MATCH(D428,Question_Bank!$A$3:$A$14,0))</f>
        <v>0</v>
      </c>
      <c r="J428">
        <f>SUMIFS($I$3:$I$518,$A$3:$A$518,A428)</f>
        <v>0</v>
      </c>
      <c r="K428" s="5">
        <f>J428/SUM(Question_Bank!$M$3:$M$14)</f>
        <v>0</v>
      </c>
      <c r="L428" s="5">
        <f>SUMIFS($I$3:$I$518,$A$3:$A$518,A428,$E$3:$E$518,E428)/SUMIFS(Question_Bank!$M$3:$M$14,Question_Bank!$B$3:$B$14,E428)</f>
        <v>0</v>
      </c>
      <c r="M428" t="s">
        <v>334</v>
      </c>
    </row>
    <row r="429" spans="1:13">
      <c r="A429" t="s">
        <v>333</v>
      </c>
      <c r="B429" t="s">
        <v>263</v>
      </c>
      <c r="C429" t="s">
        <v>133</v>
      </c>
      <c r="D429" t="s">
        <v>70</v>
      </c>
      <c r="E429" t="s">
        <v>71</v>
      </c>
      <c r="F429" t="s">
        <v>31</v>
      </c>
      <c r="G429">
        <f>INDEX(Question_Bank!$G$3:$G$14,MATCH(D429,Question_Bank!$A$3:$A$14,0))</f>
        <v>0</v>
      </c>
      <c r="H429">
        <f>IF(F429=G429,1,0)</f>
        <v>0</v>
      </c>
      <c r="I429">
        <f>H429*INDEX(Question_Bank!$M$3:$M$14,MATCH(D429,Question_Bank!$A$3:$A$14,0))</f>
        <v>0</v>
      </c>
      <c r="J429">
        <f>SUMIFS($I$3:$I$518,$A$3:$A$518,A429)</f>
        <v>0</v>
      </c>
      <c r="K429" s="5">
        <f>J429/SUM(Question_Bank!$M$3:$M$14)</f>
        <v>0</v>
      </c>
      <c r="L429" s="5">
        <f>SUMIFS($I$3:$I$518,$A$3:$A$518,A429,$E$3:$E$518,E429)/SUMIFS(Question_Bank!$M$3:$M$14,Question_Bank!$B$3:$B$14,E429)</f>
        <v>0</v>
      </c>
      <c r="M429" t="s">
        <v>334</v>
      </c>
    </row>
    <row r="430" spans="1:13">
      <c r="A430" t="s">
        <v>333</v>
      </c>
      <c r="B430" t="s">
        <v>263</v>
      </c>
      <c r="C430" t="s">
        <v>133</v>
      </c>
      <c r="D430" t="s">
        <v>79</v>
      </c>
      <c r="E430" t="s">
        <v>71</v>
      </c>
      <c r="F430" t="s">
        <v>31</v>
      </c>
      <c r="G430">
        <f>INDEX(Question_Bank!$G$3:$G$14,MATCH(D430,Question_Bank!$A$3:$A$14,0))</f>
        <v>0</v>
      </c>
      <c r="H430">
        <f>IF(F430=G430,1,0)</f>
        <v>0</v>
      </c>
      <c r="I430">
        <f>H430*INDEX(Question_Bank!$M$3:$M$14,MATCH(D430,Question_Bank!$A$3:$A$14,0))</f>
        <v>0</v>
      </c>
      <c r="J430">
        <f>SUMIFS($I$3:$I$518,$A$3:$A$518,A430)</f>
        <v>0</v>
      </c>
      <c r="K430" s="5">
        <f>J430/SUM(Question_Bank!$M$3:$M$14)</f>
        <v>0</v>
      </c>
      <c r="L430" s="5">
        <f>SUMIFS($I$3:$I$518,$A$3:$A$518,A430,$E$3:$E$518,E430)/SUMIFS(Question_Bank!$M$3:$M$14,Question_Bank!$B$3:$B$14,E430)</f>
        <v>0</v>
      </c>
      <c r="M430" t="s">
        <v>334</v>
      </c>
    </row>
    <row r="431" spans="1:13">
      <c r="A431" t="s">
        <v>333</v>
      </c>
      <c r="B431" t="s">
        <v>263</v>
      </c>
      <c r="C431" t="s">
        <v>133</v>
      </c>
      <c r="D431" t="s">
        <v>87</v>
      </c>
      <c r="E431" t="s">
        <v>71</v>
      </c>
      <c r="F431" t="s">
        <v>34</v>
      </c>
      <c r="G431">
        <f>INDEX(Question_Bank!$G$3:$G$14,MATCH(D431,Question_Bank!$A$3:$A$14,0))</f>
        <v>0</v>
      </c>
      <c r="H431">
        <f>IF(F431=G431,1,0)</f>
        <v>0</v>
      </c>
      <c r="I431">
        <f>H431*INDEX(Question_Bank!$M$3:$M$14,MATCH(D431,Question_Bank!$A$3:$A$14,0))</f>
        <v>0</v>
      </c>
      <c r="J431">
        <f>SUMIFS($I$3:$I$518,$A$3:$A$518,A431)</f>
        <v>0</v>
      </c>
      <c r="K431" s="5">
        <f>J431/SUM(Question_Bank!$M$3:$M$14)</f>
        <v>0</v>
      </c>
      <c r="L431" s="5">
        <f>SUMIFS($I$3:$I$518,$A$3:$A$518,A431,$E$3:$E$518,E431)/SUMIFS(Question_Bank!$M$3:$M$14,Question_Bank!$B$3:$B$14,E431)</f>
        <v>0</v>
      </c>
      <c r="M431" t="s">
        <v>334</v>
      </c>
    </row>
    <row r="432" spans="1:13">
      <c r="A432" t="s">
        <v>333</v>
      </c>
      <c r="B432" t="s">
        <v>263</v>
      </c>
      <c r="C432" t="s">
        <v>133</v>
      </c>
      <c r="D432" t="s">
        <v>95</v>
      </c>
      <c r="E432" t="s">
        <v>96</v>
      </c>
      <c r="F432" t="s">
        <v>20</v>
      </c>
      <c r="G432">
        <f>INDEX(Question_Bank!$G$3:$G$14,MATCH(D432,Question_Bank!$A$3:$A$14,0))</f>
        <v>0</v>
      </c>
      <c r="H432">
        <f>IF(F432=G432,1,0)</f>
        <v>0</v>
      </c>
      <c r="I432">
        <f>H432*INDEX(Question_Bank!$M$3:$M$14,MATCH(D432,Question_Bank!$A$3:$A$14,0))</f>
        <v>0</v>
      </c>
      <c r="J432">
        <f>SUMIFS($I$3:$I$518,$A$3:$A$518,A432)</f>
        <v>0</v>
      </c>
      <c r="K432" s="5">
        <f>J432/SUM(Question_Bank!$M$3:$M$14)</f>
        <v>0</v>
      </c>
      <c r="L432" s="5">
        <f>SUMIFS($I$3:$I$518,$A$3:$A$518,A432,$E$3:$E$518,E432)/SUMIFS(Question_Bank!$M$3:$M$14,Question_Bank!$B$3:$B$14,E432)</f>
        <v>0</v>
      </c>
      <c r="M432" t="s">
        <v>334</v>
      </c>
    </row>
    <row r="433" spans="1:13">
      <c r="A433" t="s">
        <v>333</v>
      </c>
      <c r="B433" t="s">
        <v>263</v>
      </c>
      <c r="C433" t="s">
        <v>133</v>
      </c>
      <c r="D433" t="s">
        <v>104</v>
      </c>
      <c r="E433" t="s">
        <v>96</v>
      </c>
      <c r="F433" t="s">
        <v>23</v>
      </c>
      <c r="G433">
        <f>INDEX(Question_Bank!$G$3:$G$14,MATCH(D433,Question_Bank!$A$3:$A$14,0))</f>
        <v>0</v>
      </c>
      <c r="H433">
        <f>IF(F433=G433,1,0)</f>
        <v>0</v>
      </c>
      <c r="I433">
        <f>H433*INDEX(Question_Bank!$M$3:$M$14,MATCH(D433,Question_Bank!$A$3:$A$14,0))</f>
        <v>0</v>
      </c>
      <c r="J433">
        <f>SUMIFS($I$3:$I$518,$A$3:$A$518,A433)</f>
        <v>0</v>
      </c>
      <c r="K433" s="5">
        <f>J433/SUM(Question_Bank!$M$3:$M$14)</f>
        <v>0</v>
      </c>
      <c r="L433" s="5">
        <f>SUMIFS($I$3:$I$518,$A$3:$A$518,A433,$E$3:$E$518,E433)/SUMIFS(Question_Bank!$M$3:$M$14,Question_Bank!$B$3:$B$14,E433)</f>
        <v>0</v>
      </c>
      <c r="M433" t="s">
        <v>334</v>
      </c>
    </row>
    <row r="434" spans="1:13">
      <c r="A434" t="s">
        <v>333</v>
      </c>
      <c r="B434" t="s">
        <v>263</v>
      </c>
      <c r="C434" t="s">
        <v>133</v>
      </c>
      <c r="D434" t="s">
        <v>112</v>
      </c>
      <c r="E434" t="s">
        <v>96</v>
      </c>
      <c r="F434" t="s">
        <v>20</v>
      </c>
      <c r="G434">
        <f>INDEX(Question_Bank!$G$3:$G$14,MATCH(D434,Question_Bank!$A$3:$A$14,0))</f>
        <v>0</v>
      </c>
      <c r="H434">
        <f>IF(F434=G434,1,0)</f>
        <v>0</v>
      </c>
      <c r="I434">
        <f>H434*INDEX(Question_Bank!$M$3:$M$14,MATCH(D434,Question_Bank!$A$3:$A$14,0))</f>
        <v>0</v>
      </c>
      <c r="J434">
        <f>SUMIFS($I$3:$I$518,$A$3:$A$518,A434)</f>
        <v>0</v>
      </c>
      <c r="K434" s="5">
        <f>J434/SUM(Question_Bank!$M$3:$M$14)</f>
        <v>0</v>
      </c>
      <c r="L434" s="5">
        <f>SUMIFS($I$3:$I$518,$A$3:$A$518,A434,$E$3:$E$518,E434)/SUMIFS(Question_Bank!$M$3:$M$14,Question_Bank!$B$3:$B$14,E434)</f>
        <v>0</v>
      </c>
      <c r="M434" t="s">
        <v>334</v>
      </c>
    </row>
    <row r="435" spans="1:13">
      <c r="A435" t="s">
        <v>335</v>
      </c>
      <c r="B435" t="s">
        <v>263</v>
      </c>
      <c r="C435" t="s">
        <v>133</v>
      </c>
      <c r="D435" t="s">
        <v>14</v>
      </c>
      <c r="E435" t="s">
        <v>15</v>
      </c>
      <c r="F435" t="s">
        <v>20</v>
      </c>
      <c r="G435">
        <f>INDEX(Question_Bank!$G$3:$G$14,MATCH(D435,Question_Bank!$A$3:$A$14,0))</f>
        <v>0</v>
      </c>
      <c r="H435">
        <f>IF(F435=G435,1,0)</f>
        <v>0</v>
      </c>
      <c r="I435">
        <f>H435*INDEX(Question_Bank!$M$3:$M$14,MATCH(D435,Question_Bank!$A$3:$A$14,0))</f>
        <v>0</v>
      </c>
      <c r="J435">
        <f>SUMIFS($I$3:$I$518,$A$3:$A$518,A435)</f>
        <v>0</v>
      </c>
      <c r="K435" s="5">
        <f>J435/SUM(Question_Bank!$M$3:$M$14)</f>
        <v>0</v>
      </c>
      <c r="L435" s="5">
        <f>SUMIFS($I$3:$I$518,$A$3:$A$518,A435,$E$3:$E$518,E435)/SUMIFS(Question_Bank!$M$3:$M$14,Question_Bank!$B$3:$B$14,E435)</f>
        <v>0</v>
      </c>
      <c r="M435" t="s">
        <v>336</v>
      </c>
    </row>
    <row r="436" spans="1:13">
      <c r="A436" t="s">
        <v>335</v>
      </c>
      <c r="B436" t="s">
        <v>263</v>
      </c>
      <c r="C436" t="s">
        <v>133</v>
      </c>
      <c r="D436" t="s">
        <v>26</v>
      </c>
      <c r="E436" t="s">
        <v>15</v>
      </c>
      <c r="F436" t="s">
        <v>34</v>
      </c>
      <c r="G436">
        <f>INDEX(Question_Bank!$G$3:$G$14,MATCH(D436,Question_Bank!$A$3:$A$14,0))</f>
        <v>0</v>
      </c>
      <c r="H436">
        <f>IF(F436=G436,1,0)</f>
        <v>0</v>
      </c>
      <c r="I436">
        <f>H436*INDEX(Question_Bank!$M$3:$M$14,MATCH(D436,Question_Bank!$A$3:$A$14,0))</f>
        <v>0</v>
      </c>
      <c r="J436">
        <f>SUMIFS($I$3:$I$518,$A$3:$A$518,A436)</f>
        <v>0</v>
      </c>
      <c r="K436" s="5">
        <f>J436/SUM(Question_Bank!$M$3:$M$14)</f>
        <v>0</v>
      </c>
      <c r="L436" s="5">
        <f>SUMIFS($I$3:$I$518,$A$3:$A$518,A436,$E$3:$E$518,E436)/SUMIFS(Question_Bank!$M$3:$M$14,Question_Bank!$B$3:$B$14,E436)</f>
        <v>0</v>
      </c>
      <c r="M436" t="s">
        <v>336</v>
      </c>
    </row>
    <row r="437" spans="1:13">
      <c r="A437" t="s">
        <v>335</v>
      </c>
      <c r="B437" t="s">
        <v>263</v>
      </c>
      <c r="C437" t="s">
        <v>133</v>
      </c>
      <c r="D437" t="s">
        <v>37</v>
      </c>
      <c r="E437" t="s">
        <v>15</v>
      </c>
      <c r="F437" t="s">
        <v>23</v>
      </c>
      <c r="G437">
        <f>INDEX(Question_Bank!$G$3:$G$14,MATCH(D437,Question_Bank!$A$3:$A$14,0))</f>
        <v>0</v>
      </c>
      <c r="H437">
        <f>IF(F437=G437,1,0)</f>
        <v>0</v>
      </c>
      <c r="I437">
        <f>H437*INDEX(Question_Bank!$M$3:$M$14,MATCH(D437,Question_Bank!$A$3:$A$14,0))</f>
        <v>0</v>
      </c>
      <c r="J437">
        <f>SUMIFS($I$3:$I$518,$A$3:$A$518,A437)</f>
        <v>0</v>
      </c>
      <c r="K437" s="5">
        <f>J437/SUM(Question_Bank!$M$3:$M$14)</f>
        <v>0</v>
      </c>
      <c r="L437" s="5">
        <f>SUMIFS($I$3:$I$518,$A$3:$A$518,A437,$E$3:$E$518,E437)/SUMIFS(Question_Bank!$M$3:$M$14,Question_Bank!$B$3:$B$14,E437)</f>
        <v>0</v>
      </c>
      <c r="M437" t="s">
        <v>336</v>
      </c>
    </row>
    <row r="438" spans="1:13">
      <c r="A438" t="s">
        <v>335</v>
      </c>
      <c r="B438" t="s">
        <v>263</v>
      </c>
      <c r="C438" t="s">
        <v>133</v>
      </c>
      <c r="D438" t="s">
        <v>45</v>
      </c>
      <c r="E438" t="s">
        <v>46</v>
      </c>
      <c r="F438" t="s">
        <v>31</v>
      </c>
      <c r="G438">
        <f>INDEX(Question_Bank!$G$3:$G$14,MATCH(D438,Question_Bank!$A$3:$A$14,0))</f>
        <v>0</v>
      </c>
      <c r="H438">
        <f>IF(F438=G438,1,0)</f>
        <v>0</v>
      </c>
      <c r="I438">
        <f>H438*INDEX(Question_Bank!$M$3:$M$14,MATCH(D438,Question_Bank!$A$3:$A$14,0))</f>
        <v>0</v>
      </c>
      <c r="J438">
        <f>SUMIFS($I$3:$I$518,$A$3:$A$518,A438)</f>
        <v>0</v>
      </c>
      <c r="K438" s="5">
        <f>J438/SUM(Question_Bank!$M$3:$M$14)</f>
        <v>0</v>
      </c>
      <c r="L438" s="5">
        <f>SUMIFS($I$3:$I$518,$A$3:$A$518,A438,$E$3:$E$518,E438)/SUMIFS(Question_Bank!$M$3:$M$14,Question_Bank!$B$3:$B$14,E438)</f>
        <v>0</v>
      </c>
      <c r="M438" t="s">
        <v>336</v>
      </c>
    </row>
    <row r="439" spans="1:13">
      <c r="A439" t="s">
        <v>335</v>
      </c>
      <c r="B439" t="s">
        <v>263</v>
      </c>
      <c r="C439" t="s">
        <v>133</v>
      </c>
      <c r="D439" t="s">
        <v>54</v>
      </c>
      <c r="E439" t="s">
        <v>46</v>
      </c>
      <c r="F439" t="s">
        <v>31</v>
      </c>
      <c r="G439">
        <f>INDEX(Question_Bank!$G$3:$G$14,MATCH(D439,Question_Bank!$A$3:$A$14,0))</f>
        <v>0</v>
      </c>
      <c r="H439">
        <f>IF(F439=G439,1,0)</f>
        <v>0</v>
      </c>
      <c r="I439">
        <f>H439*INDEX(Question_Bank!$M$3:$M$14,MATCH(D439,Question_Bank!$A$3:$A$14,0))</f>
        <v>0</v>
      </c>
      <c r="J439">
        <f>SUMIFS($I$3:$I$518,$A$3:$A$518,A439)</f>
        <v>0</v>
      </c>
      <c r="K439" s="5">
        <f>J439/SUM(Question_Bank!$M$3:$M$14)</f>
        <v>0</v>
      </c>
      <c r="L439" s="5">
        <f>SUMIFS($I$3:$I$518,$A$3:$A$518,A439,$E$3:$E$518,E439)/SUMIFS(Question_Bank!$M$3:$M$14,Question_Bank!$B$3:$B$14,E439)</f>
        <v>0</v>
      </c>
      <c r="M439" t="s">
        <v>336</v>
      </c>
    </row>
    <row r="440" spans="1:13">
      <c r="A440" t="s">
        <v>335</v>
      </c>
      <c r="B440" t="s">
        <v>263</v>
      </c>
      <c r="C440" t="s">
        <v>133</v>
      </c>
      <c r="D440" t="s">
        <v>62</v>
      </c>
      <c r="E440" t="s">
        <v>46</v>
      </c>
      <c r="F440" t="s">
        <v>34</v>
      </c>
      <c r="G440">
        <f>INDEX(Question_Bank!$G$3:$G$14,MATCH(D440,Question_Bank!$A$3:$A$14,0))</f>
        <v>0</v>
      </c>
      <c r="H440">
        <f>IF(F440=G440,1,0)</f>
        <v>0</v>
      </c>
      <c r="I440">
        <f>H440*INDEX(Question_Bank!$M$3:$M$14,MATCH(D440,Question_Bank!$A$3:$A$14,0))</f>
        <v>0</v>
      </c>
      <c r="J440">
        <f>SUMIFS($I$3:$I$518,$A$3:$A$518,A440)</f>
        <v>0</v>
      </c>
      <c r="K440" s="5">
        <f>J440/SUM(Question_Bank!$M$3:$M$14)</f>
        <v>0</v>
      </c>
      <c r="L440" s="5">
        <f>SUMIFS($I$3:$I$518,$A$3:$A$518,A440,$E$3:$E$518,E440)/SUMIFS(Question_Bank!$M$3:$M$14,Question_Bank!$B$3:$B$14,E440)</f>
        <v>0</v>
      </c>
      <c r="M440" t="s">
        <v>336</v>
      </c>
    </row>
    <row r="441" spans="1:13">
      <c r="A441" t="s">
        <v>335</v>
      </c>
      <c r="B441" t="s">
        <v>263</v>
      </c>
      <c r="C441" t="s">
        <v>133</v>
      </c>
      <c r="D441" t="s">
        <v>70</v>
      </c>
      <c r="E441" t="s">
        <v>71</v>
      </c>
      <c r="F441" t="s">
        <v>34</v>
      </c>
      <c r="G441">
        <f>INDEX(Question_Bank!$G$3:$G$14,MATCH(D441,Question_Bank!$A$3:$A$14,0))</f>
        <v>0</v>
      </c>
      <c r="H441">
        <f>IF(F441=G441,1,0)</f>
        <v>0</v>
      </c>
      <c r="I441">
        <f>H441*INDEX(Question_Bank!$M$3:$M$14,MATCH(D441,Question_Bank!$A$3:$A$14,0))</f>
        <v>0</v>
      </c>
      <c r="J441">
        <f>SUMIFS($I$3:$I$518,$A$3:$A$518,A441)</f>
        <v>0</v>
      </c>
      <c r="K441" s="5">
        <f>J441/SUM(Question_Bank!$M$3:$M$14)</f>
        <v>0</v>
      </c>
      <c r="L441" s="5">
        <f>SUMIFS($I$3:$I$518,$A$3:$A$518,A441,$E$3:$E$518,E441)/SUMIFS(Question_Bank!$M$3:$M$14,Question_Bank!$B$3:$B$14,E441)</f>
        <v>0</v>
      </c>
      <c r="M441" t="s">
        <v>336</v>
      </c>
    </row>
    <row r="442" spans="1:13">
      <c r="A442" t="s">
        <v>335</v>
      </c>
      <c r="B442" t="s">
        <v>263</v>
      </c>
      <c r="C442" t="s">
        <v>133</v>
      </c>
      <c r="D442" t="s">
        <v>79</v>
      </c>
      <c r="E442" t="s">
        <v>71</v>
      </c>
      <c r="F442" t="s">
        <v>31</v>
      </c>
      <c r="G442">
        <f>INDEX(Question_Bank!$G$3:$G$14,MATCH(D442,Question_Bank!$A$3:$A$14,0))</f>
        <v>0</v>
      </c>
      <c r="H442">
        <f>IF(F442=G442,1,0)</f>
        <v>0</v>
      </c>
      <c r="I442">
        <f>H442*INDEX(Question_Bank!$M$3:$M$14,MATCH(D442,Question_Bank!$A$3:$A$14,0))</f>
        <v>0</v>
      </c>
      <c r="J442">
        <f>SUMIFS($I$3:$I$518,$A$3:$A$518,A442)</f>
        <v>0</v>
      </c>
      <c r="K442" s="5">
        <f>J442/SUM(Question_Bank!$M$3:$M$14)</f>
        <v>0</v>
      </c>
      <c r="L442" s="5">
        <f>SUMIFS($I$3:$I$518,$A$3:$A$518,A442,$E$3:$E$518,E442)/SUMIFS(Question_Bank!$M$3:$M$14,Question_Bank!$B$3:$B$14,E442)</f>
        <v>0</v>
      </c>
      <c r="M442" t="s">
        <v>336</v>
      </c>
    </row>
    <row r="443" spans="1:13">
      <c r="A443" t="s">
        <v>335</v>
      </c>
      <c r="B443" t="s">
        <v>263</v>
      </c>
      <c r="C443" t="s">
        <v>133</v>
      </c>
      <c r="D443" t="s">
        <v>87</v>
      </c>
      <c r="E443" t="s">
        <v>71</v>
      </c>
      <c r="F443" t="s">
        <v>23</v>
      </c>
      <c r="G443">
        <f>INDEX(Question_Bank!$G$3:$G$14,MATCH(D443,Question_Bank!$A$3:$A$14,0))</f>
        <v>0</v>
      </c>
      <c r="H443">
        <f>IF(F443=G443,1,0)</f>
        <v>0</v>
      </c>
      <c r="I443">
        <f>H443*INDEX(Question_Bank!$M$3:$M$14,MATCH(D443,Question_Bank!$A$3:$A$14,0))</f>
        <v>0</v>
      </c>
      <c r="J443">
        <f>SUMIFS($I$3:$I$518,$A$3:$A$518,A443)</f>
        <v>0</v>
      </c>
      <c r="K443" s="5">
        <f>J443/SUM(Question_Bank!$M$3:$M$14)</f>
        <v>0</v>
      </c>
      <c r="L443" s="5">
        <f>SUMIFS($I$3:$I$518,$A$3:$A$518,A443,$E$3:$E$518,E443)/SUMIFS(Question_Bank!$M$3:$M$14,Question_Bank!$B$3:$B$14,E443)</f>
        <v>0</v>
      </c>
      <c r="M443" t="s">
        <v>336</v>
      </c>
    </row>
    <row r="444" spans="1:13">
      <c r="A444" t="s">
        <v>335</v>
      </c>
      <c r="B444" t="s">
        <v>263</v>
      </c>
      <c r="C444" t="s">
        <v>133</v>
      </c>
      <c r="D444" t="s">
        <v>95</v>
      </c>
      <c r="E444" t="s">
        <v>96</v>
      </c>
      <c r="F444" t="s">
        <v>31</v>
      </c>
      <c r="G444">
        <f>INDEX(Question_Bank!$G$3:$G$14,MATCH(D444,Question_Bank!$A$3:$A$14,0))</f>
        <v>0</v>
      </c>
      <c r="H444">
        <f>IF(F444=G444,1,0)</f>
        <v>0</v>
      </c>
      <c r="I444">
        <f>H444*INDEX(Question_Bank!$M$3:$M$14,MATCH(D444,Question_Bank!$A$3:$A$14,0))</f>
        <v>0</v>
      </c>
      <c r="J444">
        <f>SUMIFS($I$3:$I$518,$A$3:$A$518,A444)</f>
        <v>0</v>
      </c>
      <c r="K444" s="5">
        <f>J444/SUM(Question_Bank!$M$3:$M$14)</f>
        <v>0</v>
      </c>
      <c r="L444" s="5">
        <f>SUMIFS($I$3:$I$518,$A$3:$A$518,A444,$E$3:$E$518,E444)/SUMIFS(Question_Bank!$M$3:$M$14,Question_Bank!$B$3:$B$14,E444)</f>
        <v>0</v>
      </c>
      <c r="M444" t="s">
        <v>336</v>
      </c>
    </row>
    <row r="445" spans="1:13">
      <c r="A445" t="s">
        <v>335</v>
      </c>
      <c r="B445" t="s">
        <v>263</v>
      </c>
      <c r="C445" t="s">
        <v>133</v>
      </c>
      <c r="D445" t="s">
        <v>104</v>
      </c>
      <c r="E445" t="s">
        <v>96</v>
      </c>
      <c r="F445" t="s">
        <v>34</v>
      </c>
      <c r="G445">
        <f>INDEX(Question_Bank!$G$3:$G$14,MATCH(D445,Question_Bank!$A$3:$A$14,0))</f>
        <v>0</v>
      </c>
      <c r="H445">
        <f>IF(F445=G445,1,0)</f>
        <v>0</v>
      </c>
      <c r="I445">
        <f>H445*INDEX(Question_Bank!$M$3:$M$14,MATCH(D445,Question_Bank!$A$3:$A$14,0))</f>
        <v>0</v>
      </c>
      <c r="J445">
        <f>SUMIFS($I$3:$I$518,$A$3:$A$518,A445)</f>
        <v>0</v>
      </c>
      <c r="K445" s="5">
        <f>J445/SUM(Question_Bank!$M$3:$M$14)</f>
        <v>0</v>
      </c>
      <c r="L445" s="5">
        <f>SUMIFS($I$3:$I$518,$A$3:$A$518,A445,$E$3:$E$518,E445)/SUMIFS(Question_Bank!$M$3:$M$14,Question_Bank!$B$3:$B$14,E445)</f>
        <v>0</v>
      </c>
      <c r="M445" t="s">
        <v>336</v>
      </c>
    </row>
    <row r="446" spans="1:13">
      <c r="A446" t="s">
        <v>335</v>
      </c>
      <c r="B446" t="s">
        <v>263</v>
      </c>
      <c r="C446" t="s">
        <v>133</v>
      </c>
      <c r="D446" t="s">
        <v>112</v>
      </c>
      <c r="E446" t="s">
        <v>96</v>
      </c>
      <c r="F446" t="s">
        <v>20</v>
      </c>
      <c r="G446">
        <f>INDEX(Question_Bank!$G$3:$G$14,MATCH(D446,Question_Bank!$A$3:$A$14,0))</f>
        <v>0</v>
      </c>
      <c r="H446">
        <f>IF(F446=G446,1,0)</f>
        <v>0</v>
      </c>
      <c r="I446">
        <f>H446*INDEX(Question_Bank!$M$3:$M$14,MATCH(D446,Question_Bank!$A$3:$A$14,0))</f>
        <v>0</v>
      </c>
      <c r="J446">
        <f>SUMIFS($I$3:$I$518,$A$3:$A$518,A446)</f>
        <v>0</v>
      </c>
      <c r="K446" s="5">
        <f>J446/SUM(Question_Bank!$M$3:$M$14)</f>
        <v>0</v>
      </c>
      <c r="L446" s="5">
        <f>SUMIFS($I$3:$I$518,$A$3:$A$518,A446,$E$3:$E$518,E446)/SUMIFS(Question_Bank!$M$3:$M$14,Question_Bank!$B$3:$B$14,E446)</f>
        <v>0</v>
      </c>
      <c r="M446" t="s">
        <v>336</v>
      </c>
    </row>
    <row r="447" spans="1:13">
      <c r="A447" t="s">
        <v>337</v>
      </c>
      <c r="B447" t="s">
        <v>263</v>
      </c>
      <c r="C447" t="s">
        <v>133</v>
      </c>
      <c r="D447" t="s">
        <v>14</v>
      </c>
      <c r="E447" t="s">
        <v>15</v>
      </c>
      <c r="F447" t="s">
        <v>31</v>
      </c>
      <c r="G447">
        <f>INDEX(Question_Bank!$G$3:$G$14,MATCH(D447,Question_Bank!$A$3:$A$14,0))</f>
        <v>0</v>
      </c>
      <c r="H447">
        <f>IF(F447=G447,1,0)</f>
        <v>0</v>
      </c>
      <c r="I447">
        <f>H447*INDEX(Question_Bank!$M$3:$M$14,MATCH(D447,Question_Bank!$A$3:$A$14,0))</f>
        <v>0</v>
      </c>
      <c r="J447">
        <f>SUMIFS($I$3:$I$518,$A$3:$A$518,A447)</f>
        <v>0</v>
      </c>
      <c r="K447" s="5">
        <f>J447/SUM(Question_Bank!$M$3:$M$14)</f>
        <v>0</v>
      </c>
      <c r="L447" s="5">
        <f>SUMIFS($I$3:$I$518,$A$3:$A$518,A447,$E$3:$E$518,E447)/SUMIFS(Question_Bank!$M$3:$M$14,Question_Bank!$B$3:$B$14,E447)</f>
        <v>0</v>
      </c>
      <c r="M447" t="s">
        <v>338</v>
      </c>
    </row>
    <row r="448" spans="1:13">
      <c r="A448" t="s">
        <v>337</v>
      </c>
      <c r="B448" t="s">
        <v>263</v>
      </c>
      <c r="C448" t="s">
        <v>133</v>
      </c>
      <c r="D448" t="s">
        <v>26</v>
      </c>
      <c r="E448" t="s">
        <v>15</v>
      </c>
      <c r="F448" t="s">
        <v>31</v>
      </c>
      <c r="G448">
        <f>INDEX(Question_Bank!$G$3:$G$14,MATCH(D448,Question_Bank!$A$3:$A$14,0))</f>
        <v>0</v>
      </c>
      <c r="H448">
        <f>IF(F448=G448,1,0)</f>
        <v>0</v>
      </c>
      <c r="I448">
        <f>H448*INDEX(Question_Bank!$M$3:$M$14,MATCH(D448,Question_Bank!$A$3:$A$14,0))</f>
        <v>0</v>
      </c>
      <c r="J448">
        <f>SUMIFS($I$3:$I$518,$A$3:$A$518,A448)</f>
        <v>0</v>
      </c>
      <c r="K448" s="5">
        <f>J448/SUM(Question_Bank!$M$3:$M$14)</f>
        <v>0</v>
      </c>
      <c r="L448" s="5">
        <f>SUMIFS($I$3:$I$518,$A$3:$A$518,A448,$E$3:$E$518,E448)/SUMIFS(Question_Bank!$M$3:$M$14,Question_Bank!$B$3:$B$14,E448)</f>
        <v>0</v>
      </c>
      <c r="M448" t="s">
        <v>338</v>
      </c>
    </row>
    <row r="449" spans="1:13">
      <c r="A449" t="s">
        <v>337</v>
      </c>
      <c r="B449" t="s">
        <v>263</v>
      </c>
      <c r="C449" t="s">
        <v>133</v>
      </c>
      <c r="D449" t="s">
        <v>37</v>
      </c>
      <c r="E449" t="s">
        <v>15</v>
      </c>
      <c r="F449" t="s">
        <v>23</v>
      </c>
      <c r="G449">
        <f>INDEX(Question_Bank!$G$3:$G$14,MATCH(D449,Question_Bank!$A$3:$A$14,0))</f>
        <v>0</v>
      </c>
      <c r="H449">
        <f>IF(F449=G449,1,0)</f>
        <v>0</v>
      </c>
      <c r="I449">
        <f>H449*INDEX(Question_Bank!$M$3:$M$14,MATCH(D449,Question_Bank!$A$3:$A$14,0))</f>
        <v>0</v>
      </c>
      <c r="J449">
        <f>SUMIFS($I$3:$I$518,$A$3:$A$518,A449)</f>
        <v>0</v>
      </c>
      <c r="K449" s="5">
        <f>J449/SUM(Question_Bank!$M$3:$M$14)</f>
        <v>0</v>
      </c>
      <c r="L449" s="5">
        <f>SUMIFS($I$3:$I$518,$A$3:$A$518,A449,$E$3:$E$518,E449)/SUMIFS(Question_Bank!$M$3:$M$14,Question_Bank!$B$3:$B$14,E449)</f>
        <v>0</v>
      </c>
      <c r="M449" t="s">
        <v>338</v>
      </c>
    </row>
    <row r="450" spans="1:13">
      <c r="A450" t="s">
        <v>337</v>
      </c>
      <c r="B450" t="s">
        <v>263</v>
      </c>
      <c r="C450" t="s">
        <v>133</v>
      </c>
      <c r="D450" t="s">
        <v>45</v>
      </c>
      <c r="E450" t="s">
        <v>46</v>
      </c>
      <c r="F450" t="s">
        <v>31</v>
      </c>
      <c r="G450">
        <f>INDEX(Question_Bank!$G$3:$G$14,MATCH(D450,Question_Bank!$A$3:$A$14,0))</f>
        <v>0</v>
      </c>
      <c r="H450">
        <f>IF(F450=G450,1,0)</f>
        <v>0</v>
      </c>
      <c r="I450">
        <f>H450*INDEX(Question_Bank!$M$3:$M$14,MATCH(D450,Question_Bank!$A$3:$A$14,0))</f>
        <v>0</v>
      </c>
      <c r="J450">
        <f>SUMIFS($I$3:$I$518,$A$3:$A$518,A450)</f>
        <v>0</v>
      </c>
      <c r="K450" s="5">
        <f>J450/SUM(Question_Bank!$M$3:$M$14)</f>
        <v>0</v>
      </c>
      <c r="L450" s="5">
        <f>SUMIFS($I$3:$I$518,$A$3:$A$518,A450,$E$3:$E$518,E450)/SUMIFS(Question_Bank!$M$3:$M$14,Question_Bank!$B$3:$B$14,E450)</f>
        <v>0</v>
      </c>
      <c r="M450" t="s">
        <v>338</v>
      </c>
    </row>
    <row r="451" spans="1:13">
      <c r="A451" t="s">
        <v>337</v>
      </c>
      <c r="B451" t="s">
        <v>263</v>
      </c>
      <c r="C451" t="s">
        <v>133</v>
      </c>
      <c r="D451" t="s">
        <v>54</v>
      </c>
      <c r="E451" t="s">
        <v>46</v>
      </c>
      <c r="F451" t="s">
        <v>31</v>
      </c>
      <c r="G451">
        <f>INDEX(Question_Bank!$G$3:$G$14,MATCH(D451,Question_Bank!$A$3:$A$14,0))</f>
        <v>0</v>
      </c>
      <c r="H451">
        <f>IF(F451=G451,1,0)</f>
        <v>0</v>
      </c>
      <c r="I451">
        <f>H451*INDEX(Question_Bank!$M$3:$M$14,MATCH(D451,Question_Bank!$A$3:$A$14,0))</f>
        <v>0</v>
      </c>
      <c r="J451">
        <f>SUMIFS($I$3:$I$518,$A$3:$A$518,A451)</f>
        <v>0</v>
      </c>
      <c r="K451" s="5">
        <f>J451/SUM(Question_Bank!$M$3:$M$14)</f>
        <v>0</v>
      </c>
      <c r="L451" s="5">
        <f>SUMIFS($I$3:$I$518,$A$3:$A$518,A451,$E$3:$E$518,E451)/SUMIFS(Question_Bank!$M$3:$M$14,Question_Bank!$B$3:$B$14,E451)</f>
        <v>0</v>
      </c>
      <c r="M451" t="s">
        <v>338</v>
      </c>
    </row>
    <row r="452" spans="1:13">
      <c r="A452" t="s">
        <v>337</v>
      </c>
      <c r="B452" t="s">
        <v>263</v>
      </c>
      <c r="C452" t="s">
        <v>133</v>
      </c>
      <c r="D452" t="s">
        <v>62</v>
      </c>
      <c r="E452" t="s">
        <v>46</v>
      </c>
      <c r="F452" t="s">
        <v>20</v>
      </c>
      <c r="G452">
        <f>INDEX(Question_Bank!$G$3:$G$14,MATCH(D452,Question_Bank!$A$3:$A$14,0))</f>
        <v>0</v>
      </c>
      <c r="H452">
        <f>IF(F452=G452,1,0)</f>
        <v>0</v>
      </c>
      <c r="I452">
        <f>H452*INDEX(Question_Bank!$M$3:$M$14,MATCH(D452,Question_Bank!$A$3:$A$14,0))</f>
        <v>0</v>
      </c>
      <c r="J452">
        <f>SUMIFS($I$3:$I$518,$A$3:$A$518,A452)</f>
        <v>0</v>
      </c>
      <c r="K452" s="5">
        <f>J452/SUM(Question_Bank!$M$3:$M$14)</f>
        <v>0</v>
      </c>
      <c r="L452" s="5">
        <f>SUMIFS($I$3:$I$518,$A$3:$A$518,A452,$E$3:$E$518,E452)/SUMIFS(Question_Bank!$M$3:$M$14,Question_Bank!$B$3:$B$14,E452)</f>
        <v>0</v>
      </c>
      <c r="M452" t="s">
        <v>338</v>
      </c>
    </row>
    <row r="453" spans="1:13">
      <c r="A453" t="s">
        <v>337</v>
      </c>
      <c r="B453" t="s">
        <v>263</v>
      </c>
      <c r="C453" t="s">
        <v>133</v>
      </c>
      <c r="D453" t="s">
        <v>70</v>
      </c>
      <c r="E453" t="s">
        <v>71</v>
      </c>
      <c r="F453" t="s">
        <v>20</v>
      </c>
      <c r="G453">
        <f>INDEX(Question_Bank!$G$3:$G$14,MATCH(D453,Question_Bank!$A$3:$A$14,0))</f>
        <v>0</v>
      </c>
      <c r="H453">
        <f>IF(F453=G453,1,0)</f>
        <v>0</v>
      </c>
      <c r="I453">
        <f>H453*INDEX(Question_Bank!$M$3:$M$14,MATCH(D453,Question_Bank!$A$3:$A$14,0))</f>
        <v>0</v>
      </c>
      <c r="J453">
        <f>SUMIFS($I$3:$I$518,$A$3:$A$518,A453)</f>
        <v>0</v>
      </c>
      <c r="K453" s="5">
        <f>J453/SUM(Question_Bank!$M$3:$M$14)</f>
        <v>0</v>
      </c>
      <c r="L453" s="5">
        <f>SUMIFS($I$3:$I$518,$A$3:$A$518,A453,$E$3:$E$518,E453)/SUMIFS(Question_Bank!$M$3:$M$14,Question_Bank!$B$3:$B$14,E453)</f>
        <v>0</v>
      </c>
      <c r="M453" t="s">
        <v>338</v>
      </c>
    </row>
    <row r="454" spans="1:13">
      <c r="A454" t="s">
        <v>337</v>
      </c>
      <c r="B454" t="s">
        <v>263</v>
      </c>
      <c r="C454" t="s">
        <v>133</v>
      </c>
      <c r="D454" t="s">
        <v>79</v>
      </c>
      <c r="E454" t="s">
        <v>71</v>
      </c>
      <c r="F454" t="s">
        <v>20</v>
      </c>
      <c r="G454">
        <f>INDEX(Question_Bank!$G$3:$G$14,MATCH(D454,Question_Bank!$A$3:$A$14,0))</f>
        <v>0</v>
      </c>
      <c r="H454">
        <f>IF(F454=G454,1,0)</f>
        <v>0</v>
      </c>
      <c r="I454">
        <f>H454*INDEX(Question_Bank!$M$3:$M$14,MATCH(D454,Question_Bank!$A$3:$A$14,0))</f>
        <v>0</v>
      </c>
      <c r="J454">
        <f>SUMIFS($I$3:$I$518,$A$3:$A$518,A454)</f>
        <v>0</v>
      </c>
      <c r="K454" s="5">
        <f>J454/SUM(Question_Bank!$M$3:$M$14)</f>
        <v>0</v>
      </c>
      <c r="L454" s="5">
        <f>SUMIFS($I$3:$I$518,$A$3:$A$518,A454,$E$3:$E$518,E454)/SUMIFS(Question_Bank!$M$3:$M$14,Question_Bank!$B$3:$B$14,E454)</f>
        <v>0</v>
      </c>
      <c r="M454" t="s">
        <v>338</v>
      </c>
    </row>
    <row r="455" spans="1:13">
      <c r="A455" t="s">
        <v>337</v>
      </c>
      <c r="B455" t="s">
        <v>263</v>
      </c>
      <c r="C455" t="s">
        <v>133</v>
      </c>
      <c r="D455" t="s">
        <v>87</v>
      </c>
      <c r="E455" t="s">
        <v>71</v>
      </c>
      <c r="F455" t="s">
        <v>20</v>
      </c>
      <c r="G455">
        <f>INDEX(Question_Bank!$G$3:$G$14,MATCH(D455,Question_Bank!$A$3:$A$14,0))</f>
        <v>0</v>
      </c>
      <c r="H455">
        <f>IF(F455=G455,1,0)</f>
        <v>0</v>
      </c>
      <c r="I455">
        <f>H455*INDEX(Question_Bank!$M$3:$M$14,MATCH(D455,Question_Bank!$A$3:$A$14,0))</f>
        <v>0</v>
      </c>
      <c r="J455">
        <f>SUMIFS($I$3:$I$518,$A$3:$A$518,A455)</f>
        <v>0</v>
      </c>
      <c r="K455" s="5">
        <f>J455/SUM(Question_Bank!$M$3:$M$14)</f>
        <v>0</v>
      </c>
      <c r="L455" s="5">
        <f>SUMIFS($I$3:$I$518,$A$3:$A$518,A455,$E$3:$E$518,E455)/SUMIFS(Question_Bank!$M$3:$M$14,Question_Bank!$B$3:$B$14,E455)</f>
        <v>0</v>
      </c>
      <c r="M455" t="s">
        <v>338</v>
      </c>
    </row>
    <row r="456" spans="1:13">
      <c r="A456" t="s">
        <v>337</v>
      </c>
      <c r="B456" t="s">
        <v>263</v>
      </c>
      <c r="C456" t="s">
        <v>133</v>
      </c>
      <c r="D456" t="s">
        <v>95</v>
      </c>
      <c r="E456" t="s">
        <v>96</v>
      </c>
      <c r="F456" t="s">
        <v>31</v>
      </c>
      <c r="G456">
        <f>INDEX(Question_Bank!$G$3:$G$14,MATCH(D456,Question_Bank!$A$3:$A$14,0))</f>
        <v>0</v>
      </c>
      <c r="H456">
        <f>IF(F456=G456,1,0)</f>
        <v>0</v>
      </c>
      <c r="I456">
        <f>H456*INDEX(Question_Bank!$M$3:$M$14,MATCH(D456,Question_Bank!$A$3:$A$14,0))</f>
        <v>0</v>
      </c>
      <c r="J456">
        <f>SUMIFS($I$3:$I$518,$A$3:$A$518,A456)</f>
        <v>0</v>
      </c>
      <c r="K456" s="5">
        <f>J456/SUM(Question_Bank!$M$3:$M$14)</f>
        <v>0</v>
      </c>
      <c r="L456" s="5">
        <f>SUMIFS($I$3:$I$518,$A$3:$A$518,A456,$E$3:$E$518,E456)/SUMIFS(Question_Bank!$M$3:$M$14,Question_Bank!$B$3:$B$14,E456)</f>
        <v>0</v>
      </c>
      <c r="M456" t="s">
        <v>338</v>
      </c>
    </row>
    <row r="457" spans="1:13">
      <c r="A457" t="s">
        <v>337</v>
      </c>
      <c r="B457" t="s">
        <v>263</v>
      </c>
      <c r="C457" t="s">
        <v>133</v>
      </c>
      <c r="D457" t="s">
        <v>104</v>
      </c>
      <c r="E457" t="s">
        <v>96</v>
      </c>
      <c r="F457" t="s">
        <v>23</v>
      </c>
      <c r="G457">
        <f>INDEX(Question_Bank!$G$3:$G$14,MATCH(D457,Question_Bank!$A$3:$A$14,0))</f>
        <v>0</v>
      </c>
      <c r="H457">
        <f>IF(F457=G457,1,0)</f>
        <v>0</v>
      </c>
      <c r="I457">
        <f>H457*INDEX(Question_Bank!$M$3:$M$14,MATCH(D457,Question_Bank!$A$3:$A$14,0))</f>
        <v>0</v>
      </c>
      <c r="J457">
        <f>SUMIFS($I$3:$I$518,$A$3:$A$518,A457)</f>
        <v>0</v>
      </c>
      <c r="K457" s="5">
        <f>J457/SUM(Question_Bank!$M$3:$M$14)</f>
        <v>0</v>
      </c>
      <c r="L457" s="5">
        <f>SUMIFS($I$3:$I$518,$A$3:$A$518,A457,$E$3:$E$518,E457)/SUMIFS(Question_Bank!$M$3:$M$14,Question_Bank!$B$3:$B$14,E457)</f>
        <v>0</v>
      </c>
      <c r="M457" t="s">
        <v>338</v>
      </c>
    </row>
    <row r="458" spans="1:13">
      <c r="A458" t="s">
        <v>337</v>
      </c>
      <c r="B458" t="s">
        <v>263</v>
      </c>
      <c r="C458" t="s">
        <v>133</v>
      </c>
      <c r="D458" t="s">
        <v>112</v>
      </c>
      <c r="E458" t="s">
        <v>96</v>
      </c>
      <c r="F458" t="s">
        <v>34</v>
      </c>
      <c r="G458">
        <f>INDEX(Question_Bank!$G$3:$G$14,MATCH(D458,Question_Bank!$A$3:$A$14,0))</f>
        <v>0</v>
      </c>
      <c r="H458">
        <f>IF(F458=G458,1,0)</f>
        <v>0</v>
      </c>
      <c r="I458">
        <f>H458*INDEX(Question_Bank!$M$3:$M$14,MATCH(D458,Question_Bank!$A$3:$A$14,0))</f>
        <v>0</v>
      </c>
      <c r="J458">
        <f>SUMIFS($I$3:$I$518,$A$3:$A$518,A458)</f>
        <v>0</v>
      </c>
      <c r="K458" s="5">
        <f>J458/SUM(Question_Bank!$M$3:$M$14)</f>
        <v>0</v>
      </c>
      <c r="L458" s="5">
        <f>SUMIFS($I$3:$I$518,$A$3:$A$518,A458,$E$3:$E$518,E458)/SUMIFS(Question_Bank!$M$3:$M$14,Question_Bank!$B$3:$B$14,E458)</f>
        <v>0</v>
      </c>
      <c r="M458" t="s">
        <v>338</v>
      </c>
    </row>
    <row r="459" spans="1:13">
      <c r="A459" t="s">
        <v>339</v>
      </c>
      <c r="B459" t="s">
        <v>263</v>
      </c>
      <c r="C459" t="s">
        <v>133</v>
      </c>
      <c r="D459" t="s">
        <v>14</v>
      </c>
      <c r="E459" t="s">
        <v>15</v>
      </c>
      <c r="F459" t="s">
        <v>20</v>
      </c>
      <c r="G459">
        <f>INDEX(Question_Bank!$G$3:$G$14,MATCH(D459,Question_Bank!$A$3:$A$14,0))</f>
        <v>0</v>
      </c>
      <c r="H459">
        <f>IF(F459=G459,1,0)</f>
        <v>0</v>
      </c>
      <c r="I459">
        <f>H459*INDEX(Question_Bank!$M$3:$M$14,MATCH(D459,Question_Bank!$A$3:$A$14,0))</f>
        <v>0</v>
      </c>
      <c r="J459">
        <f>SUMIFS($I$3:$I$518,$A$3:$A$518,A459)</f>
        <v>0</v>
      </c>
      <c r="K459" s="5">
        <f>J459/SUM(Question_Bank!$M$3:$M$14)</f>
        <v>0</v>
      </c>
      <c r="L459" s="5">
        <f>SUMIFS($I$3:$I$518,$A$3:$A$518,A459,$E$3:$E$518,E459)/SUMIFS(Question_Bank!$M$3:$M$14,Question_Bank!$B$3:$B$14,E459)</f>
        <v>0</v>
      </c>
      <c r="M459" t="s">
        <v>340</v>
      </c>
    </row>
    <row r="460" spans="1:13">
      <c r="A460" t="s">
        <v>339</v>
      </c>
      <c r="B460" t="s">
        <v>263</v>
      </c>
      <c r="C460" t="s">
        <v>133</v>
      </c>
      <c r="D460" t="s">
        <v>26</v>
      </c>
      <c r="E460" t="s">
        <v>15</v>
      </c>
      <c r="F460" t="s">
        <v>23</v>
      </c>
      <c r="G460">
        <f>INDEX(Question_Bank!$G$3:$G$14,MATCH(D460,Question_Bank!$A$3:$A$14,0))</f>
        <v>0</v>
      </c>
      <c r="H460">
        <f>IF(F460=G460,1,0)</f>
        <v>0</v>
      </c>
      <c r="I460">
        <f>H460*INDEX(Question_Bank!$M$3:$M$14,MATCH(D460,Question_Bank!$A$3:$A$14,0))</f>
        <v>0</v>
      </c>
      <c r="J460">
        <f>SUMIFS($I$3:$I$518,$A$3:$A$518,A460)</f>
        <v>0</v>
      </c>
      <c r="K460" s="5">
        <f>J460/SUM(Question_Bank!$M$3:$M$14)</f>
        <v>0</v>
      </c>
      <c r="L460" s="5">
        <f>SUMIFS($I$3:$I$518,$A$3:$A$518,A460,$E$3:$E$518,E460)/SUMIFS(Question_Bank!$M$3:$M$14,Question_Bank!$B$3:$B$14,E460)</f>
        <v>0</v>
      </c>
      <c r="M460" t="s">
        <v>340</v>
      </c>
    </row>
    <row r="461" spans="1:13">
      <c r="A461" t="s">
        <v>339</v>
      </c>
      <c r="B461" t="s">
        <v>263</v>
      </c>
      <c r="C461" t="s">
        <v>133</v>
      </c>
      <c r="D461" t="s">
        <v>37</v>
      </c>
      <c r="E461" t="s">
        <v>15</v>
      </c>
      <c r="F461" t="s">
        <v>20</v>
      </c>
      <c r="G461">
        <f>INDEX(Question_Bank!$G$3:$G$14,MATCH(D461,Question_Bank!$A$3:$A$14,0))</f>
        <v>0</v>
      </c>
      <c r="H461">
        <f>IF(F461=G461,1,0)</f>
        <v>0</v>
      </c>
      <c r="I461">
        <f>H461*INDEX(Question_Bank!$M$3:$M$14,MATCH(D461,Question_Bank!$A$3:$A$14,0))</f>
        <v>0</v>
      </c>
      <c r="J461">
        <f>SUMIFS($I$3:$I$518,$A$3:$A$518,A461)</f>
        <v>0</v>
      </c>
      <c r="K461" s="5">
        <f>J461/SUM(Question_Bank!$M$3:$M$14)</f>
        <v>0</v>
      </c>
      <c r="L461" s="5">
        <f>SUMIFS($I$3:$I$518,$A$3:$A$518,A461,$E$3:$E$518,E461)/SUMIFS(Question_Bank!$M$3:$M$14,Question_Bank!$B$3:$B$14,E461)</f>
        <v>0</v>
      </c>
      <c r="M461" t="s">
        <v>340</v>
      </c>
    </row>
    <row r="462" spans="1:13">
      <c r="A462" t="s">
        <v>339</v>
      </c>
      <c r="B462" t="s">
        <v>263</v>
      </c>
      <c r="C462" t="s">
        <v>133</v>
      </c>
      <c r="D462" t="s">
        <v>45</v>
      </c>
      <c r="E462" t="s">
        <v>46</v>
      </c>
      <c r="F462" t="s">
        <v>23</v>
      </c>
      <c r="G462">
        <f>INDEX(Question_Bank!$G$3:$G$14,MATCH(D462,Question_Bank!$A$3:$A$14,0))</f>
        <v>0</v>
      </c>
      <c r="H462">
        <f>IF(F462=G462,1,0)</f>
        <v>0</v>
      </c>
      <c r="I462">
        <f>H462*INDEX(Question_Bank!$M$3:$M$14,MATCH(D462,Question_Bank!$A$3:$A$14,0))</f>
        <v>0</v>
      </c>
      <c r="J462">
        <f>SUMIFS($I$3:$I$518,$A$3:$A$518,A462)</f>
        <v>0</v>
      </c>
      <c r="K462" s="5">
        <f>J462/SUM(Question_Bank!$M$3:$M$14)</f>
        <v>0</v>
      </c>
      <c r="L462" s="5">
        <f>SUMIFS($I$3:$I$518,$A$3:$A$518,A462,$E$3:$E$518,E462)/SUMIFS(Question_Bank!$M$3:$M$14,Question_Bank!$B$3:$B$14,E462)</f>
        <v>0</v>
      </c>
      <c r="M462" t="s">
        <v>340</v>
      </c>
    </row>
    <row r="463" spans="1:13">
      <c r="A463" t="s">
        <v>339</v>
      </c>
      <c r="B463" t="s">
        <v>263</v>
      </c>
      <c r="C463" t="s">
        <v>133</v>
      </c>
      <c r="D463" t="s">
        <v>54</v>
      </c>
      <c r="E463" t="s">
        <v>46</v>
      </c>
      <c r="F463" t="s">
        <v>23</v>
      </c>
      <c r="G463">
        <f>INDEX(Question_Bank!$G$3:$G$14,MATCH(D463,Question_Bank!$A$3:$A$14,0))</f>
        <v>0</v>
      </c>
      <c r="H463">
        <f>IF(F463=G463,1,0)</f>
        <v>0</v>
      </c>
      <c r="I463">
        <f>H463*INDEX(Question_Bank!$M$3:$M$14,MATCH(D463,Question_Bank!$A$3:$A$14,0))</f>
        <v>0</v>
      </c>
      <c r="J463">
        <f>SUMIFS($I$3:$I$518,$A$3:$A$518,A463)</f>
        <v>0</v>
      </c>
      <c r="K463" s="5">
        <f>J463/SUM(Question_Bank!$M$3:$M$14)</f>
        <v>0</v>
      </c>
      <c r="L463" s="5">
        <f>SUMIFS($I$3:$I$518,$A$3:$A$518,A463,$E$3:$E$518,E463)/SUMIFS(Question_Bank!$M$3:$M$14,Question_Bank!$B$3:$B$14,E463)</f>
        <v>0</v>
      </c>
      <c r="M463" t="s">
        <v>340</v>
      </c>
    </row>
    <row r="464" spans="1:13">
      <c r="A464" t="s">
        <v>339</v>
      </c>
      <c r="B464" t="s">
        <v>263</v>
      </c>
      <c r="C464" t="s">
        <v>133</v>
      </c>
      <c r="D464" t="s">
        <v>62</v>
      </c>
      <c r="E464" t="s">
        <v>46</v>
      </c>
      <c r="F464" t="s">
        <v>23</v>
      </c>
      <c r="G464">
        <f>INDEX(Question_Bank!$G$3:$G$14,MATCH(D464,Question_Bank!$A$3:$A$14,0))</f>
        <v>0</v>
      </c>
      <c r="H464">
        <f>IF(F464=G464,1,0)</f>
        <v>0</v>
      </c>
      <c r="I464">
        <f>H464*INDEX(Question_Bank!$M$3:$M$14,MATCH(D464,Question_Bank!$A$3:$A$14,0))</f>
        <v>0</v>
      </c>
      <c r="J464">
        <f>SUMIFS($I$3:$I$518,$A$3:$A$518,A464)</f>
        <v>0</v>
      </c>
      <c r="K464" s="5">
        <f>J464/SUM(Question_Bank!$M$3:$M$14)</f>
        <v>0</v>
      </c>
      <c r="L464" s="5">
        <f>SUMIFS($I$3:$I$518,$A$3:$A$518,A464,$E$3:$E$518,E464)/SUMIFS(Question_Bank!$M$3:$M$14,Question_Bank!$B$3:$B$14,E464)</f>
        <v>0</v>
      </c>
      <c r="M464" t="s">
        <v>340</v>
      </c>
    </row>
    <row r="465" spans="1:13">
      <c r="A465" t="s">
        <v>339</v>
      </c>
      <c r="B465" t="s">
        <v>263</v>
      </c>
      <c r="C465" t="s">
        <v>133</v>
      </c>
      <c r="D465" t="s">
        <v>70</v>
      </c>
      <c r="E465" t="s">
        <v>71</v>
      </c>
      <c r="F465" t="s">
        <v>31</v>
      </c>
      <c r="G465">
        <f>INDEX(Question_Bank!$G$3:$G$14,MATCH(D465,Question_Bank!$A$3:$A$14,0))</f>
        <v>0</v>
      </c>
      <c r="H465">
        <f>IF(F465=G465,1,0)</f>
        <v>0</v>
      </c>
      <c r="I465">
        <f>H465*INDEX(Question_Bank!$M$3:$M$14,MATCH(D465,Question_Bank!$A$3:$A$14,0))</f>
        <v>0</v>
      </c>
      <c r="J465">
        <f>SUMIFS($I$3:$I$518,$A$3:$A$518,A465)</f>
        <v>0</v>
      </c>
      <c r="K465" s="5">
        <f>J465/SUM(Question_Bank!$M$3:$M$14)</f>
        <v>0</v>
      </c>
      <c r="L465" s="5">
        <f>SUMIFS($I$3:$I$518,$A$3:$A$518,A465,$E$3:$E$518,E465)/SUMIFS(Question_Bank!$M$3:$M$14,Question_Bank!$B$3:$B$14,E465)</f>
        <v>0</v>
      </c>
      <c r="M465" t="s">
        <v>340</v>
      </c>
    </row>
    <row r="466" spans="1:13">
      <c r="A466" t="s">
        <v>339</v>
      </c>
      <c r="B466" t="s">
        <v>263</v>
      </c>
      <c r="C466" t="s">
        <v>133</v>
      </c>
      <c r="D466" t="s">
        <v>79</v>
      </c>
      <c r="E466" t="s">
        <v>71</v>
      </c>
      <c r="F466" t="s">
        <v>31</v>
      </c>
      <c r="G466">
        <f>INDEX(Question_Bank!$G$3:$G$14,MATCH(D466,Question_Bank!$A$3:$A$14,0))</f>
        <v>0</v>
      </c>
      <c r="H466">
        <f>IF(F466=G466,1,0)</f>
        <v>0</v>
      </c>
      <c r="I466">
        <f>H466*INDEX(Question_Bank!$M$3:$M$14,MATCH(D466,Question_Bank!$A$3:$A$14,0))</f>
        <v>0</v>
      </c>
      <c r="J466">
        <f>SUMIFS($I$3:$I$518,$A$3:$A$518,A466)</f>
        <v>0</v>
      </c>
      <c r="K466" s="5">
        <f>J466/SUM(Question_Bank!$M$3:$M$14)</f>
        <v>0</v>
      </c>
      <c r="L466" s="5">
        <f>SUMIFS($I$3:$I$518,$A$3:$A$518,A466,$E$3:$E$518,E466)/SUMIFS(Question_Bank!$M$3:$M$14,Question_Bank!$B$3:$B$14,E466)</f>
        <v>0</v>
      </c>
      <c r="M466" t="s">
        <v>340</v>
      </c>
    </row>
    <row r="467" spans="1:13">
      <c r="A467" t="s">
        <v>339</v>
      </c>
      <c r="B467" t="s">
        <v>263</v>
      </c>
      <c r="C467" t="s">
        <v>133</v>
      </c>
      <c r="D467" t="s">
        <v>87</v>
      </c>
      <c r="E467" t="s">
        <v>71</v>
      </c>
      <c r="F467" t="s">
        <v>20</v>
      </c>
      <c r="G467">
        <f>INDEX(Question_Bank!$G$3:$G$14,MATCH(D467,Question_Bank!$A$3:$A$14,0))</f>
        <v>0</v>
      </c>
      <c r="H467">
        <f>IF(F467=G467,1,0)</f>
        <v>0</v>
      </c>
      <c r="I467">
        <f>H467*INDEX(Question_Bank!$M$3:$M$14,MATCH(D467,Question_Bank!$A$3:$A$14,0))</f>
        <v>0</v>
      </c>
      <c r="J467">
        <f>SUMIFS($I$3:$I$518,$A$3:$A$518,A467)</f>
        <v>0</v>
      </c>
      <c r="K467" s="5">
        <f>J467/SUM(Question_Bank!$M$3:$M$14)</f>
        <v>0</v>
      </c>
      <c r="L467" s="5">
        <f>SUMIFS($I$3:$I$518,$A$3:$A$518,A467,$E$3:$E$518,E467)/SUMIFS(Question_Bank!$M$3:$M$14,Question_Bank!$B$3:$B$14,E467)</f>
        <v>0</v>
      </c>
      <c r="M467" t="s">
        <v>340</v>
      </c>
    </row>
    <row r="468" spans="1:13">
      <c r="A468" t="s">
        <v>339</v>
      </c>
      <c r="B468" t="s">
        <v>263</v>
      </c>
      <c r="C468" t="s">
        <v>133</v>
      </c>
      <c r="D468" t="s">
        <v>95</v>
      </c>
      <c r="E468" t="s">
        <v>96</v>
      </c>
      <c r="F468" t="s">
        <v>31</v>
      </c>
      <c r="G468">
        <f>INDEX(Question_Bank!$G$3:$G$14,MATCH(D468,Question_Bank!$A$3:$A$14,0))</f>
        <v>0</v>
      </c>
      <c r="H468">
        <f>IF(F468=G468,1,0)</f>
        <v>0</v>
      </c>
      <c r="I468">
        <f>H468*INDEX(Question_Bank!$M$3:$M$14,MATCH(D468,Question_Bank!$A$3:$A$14,0))</f>
        <v>0</v>
      </c>
      <c r="J468">
        <f>SUMIFS($I$3:$I$518,$A$3:$A$518,A468)</f>
        <v>0</v>
      </c>
      <c r="K468" s="5">
        <f>J468/SUM(Question_Bank!$M$3:$M$14)</f>
        <v>0</v>
      </c>
      <c r="L468" s="5">
        <f>SUMIFS($I$3:$I$518,$A$3:$A$518,A468,$E$3:$E$518,E468)/SUMIFS(Question_Bank!$M$3:$M$14,Question_Bank!$B$3:$B$14,E468)</f>
        <v>0</v>
      </c>
      <c r="M468" t="s">
        <v>340</v>
      </c>
    </row>
    <row r="469" spans="1:13">
      <c r="A469" t="s">
        <v>339</v>
      </c>
      <c r="B469" t="s">
        <v>263</v>
      </c>
      <c r="C469" t="s">
        <v>133</v>
      </c>
      <c r="D469" t="s">
        <v>104</v>
      </c>
      <c r="E469" t="s">
        <v>96</v>
      </c>
      <c r="F469" t="s">
        <v>23</v>
      </c>
      <c r="G469">
        <f>INDEX(Question_Bank!$G$3:$G$14,MATCH(D469,Question_Bank!$A$3:$A$14,0))</f>
        <v>0</v>
      </c>
      <c r="H469">
        <f>IF(F469=G469,1,0)</f>
        <v>0</v>
      </c>
      <c r="I469">
        <f>H469*INDEX(Question_Bank!$M$3:$M$14,MATCH(D469,Question_Bank!$A$3:$A$14,0))</f>
        <v>0</v>
      </c>
      <c r="J469">
        <f>SUMIFS($I$3:$I$518,$A$3:$A$518,A469)</f>
        <v>0</v>
      </c>
      <c r="K469" s="5">
        <f>J469/SUM(Question_Bank!$M$3:$M$14)</f>
        <v>0</v>
      </c>
      <c r="L469" s="5">
        <f>SUMIFS($I$3:$I$518,$A$3:$A$518,A469,$E$3:$E$518,E469)/SUMIFS(Question_Bank!$M$3:$M$14,Question_Bank!$B$3:$B$14,E469)</f>
        <v>0</v>
      </c>
      <c r="M469" t="s">
        <v>340</v>
      </c>
    </row>
    <row r="470" spans="1:13">
      <c r="A470" t="s">
        <v>339</v>
      </c>
      <c r="B470" t="s">
        <v>263</v>
      </c>
      <c r="C470" t="s">
        <v>133</v>
      </c>
      <c r="D470" t="s">
        <v>112</v>
      </c>
      <c r="E470" t="s">
        <v>96</v>
      </c>
      <c r="F470" t="s">
        <v>34</v>
      </c>
      <c r="G470">
        <f>INDEX(Question_Bank!$G$3:$G$14,MATCH(D470,Question_Bank!$A$3:$A$14,0))</f>
        <v>0</v>
      </c>
      <c r="H470">
        <f>IF(F470=G470,1,0)</f>
        <v>0</v>
      </c>
      <c r="I470">
        <f>H470*INDEX(Question_Bank!$M$3:$M$14,MATCH(D470,Question_Bank!$A$3:$A$14,0))</f>
        <v>0</v>
      </c>
      <c r="J470">
        <f>SUMIFS($I$3:$I$518,$A$3:$A$518,A470)</f>
        <v>0</v>
      </c>
      <c r="K470" s="5">
        <f>J470/SUM(Question_Bank!$M$3:$M$14)</f>
        <v>0</v>
      </c>
      <c r="L470" s="5">
        <f>SUMIFS($I$3:$I$518,$A$3:$A$518,A470,$E$3:$E$518,E470)/SUMIFS(Question_Bank!$M$3:$M$14,Question_Bank!$B$3:$B$14,E470)</f>
        <v>0</v>
      </c>
      <c r="M470" t="s">
        <v>340</v>
      </c>
    </row>
    <row r="471" spans="1:13">
      <c r="A471" t="s">
        <v>341</v>
      </c>
      <c r="B471" t="s">
        <v>263</v>
      </c>
      <c r="C471" t="s">
        <v>133</v>
      </c>
      <c r="D471" t="s">
        <v>14</v>
      </c>
      <c r="E471" t="s">
        <v>15</v>
      </c>
      <c r="F471" t="s">
        <v>20</v>
      </c>
      <c r="G471">
        <f>INDEX(Question_Bank!$G$3:$G$14,MATCH(D471,Question_Bank!$A$3:$A$14,0))</f>
        <v>0</v>
      </c>
      <c r="H471">
        <f>IF(F471=G471,1,0)</f>
        <v>0</v>
      </c>
      <c r="I471">
        <f>H471*INDEX(Question_Bank!$M$3:$M$14,MATCH(D471,Question_Bank!$A$3:$A$14,0))</f>
        <v>0</v>
      </c>
      <c r="J471">
        <f>SUMIFS($I$3:$I$518,$A$3:$A$518,A471)</f>
        <v>0</v>
      </c>
      <c r="K471" s="5">
        <f>J471/SUM(Question_Bank!$M$3:$M$14)</f>
        <v>0</v>
      </c>
      <c r="L471" s="5">
        <f>SUMIFS($I$3:$I$518,$A$3:$A$518,A471,$E$3:$E$518,E471)/SUMIFS(Question_Bank!$M$3:$M$14,Question_Bank!$B$3:$B$14,E471)</f>
        <v>0</v>
      </c>
      <c r="M471" t="s">
        <v>342</v>
      </c>
    </row>
    <row r="472" spans="1:13">
      <c r="A472" t="s">
        <v>341</v>
      </c>
      <c r="B472" t="s">
        <v>263</v>
      </c>
      <c r="C472" t="s">
        <v>133</v>
      </c>
      <c r="D472" t="s">
        <v>26</v>
      </c>
      <c r="E472" t="s">
        <v>15</v>
      </c>
      <c r="F472" t="s">
        <v>31</v>
      </c>
      <c r="G472">
        <f>INDEX(Question_Bank!$G$3:$G$14,MATCH(D472,Question_Bank!$A$3:$A$14,0))</f>
        <v>0</v>
      </c>
      <c r="H472">
        <f>IF(F472=G472,1,0)</f>
        <v>0</v>
      </c>
      <c r="I472">
        <f>H472*INDEX(Question_Bank!$M$3:$M$14,MATCH(D472,Question_Bank!$A$3:$A$14,0))</f>
        <v>0</v>
      </c>
      <c r="J472">
        <f>SUMIFS($I$3:$I$518,$A$3:$A$518,A472)</f>
        <v>0</v>
      </c>
      <c r="K472" s="5">
        <f>J472/SUM(Question_Bank!$M$3:$M$14)</f>
        <v>0</v>
      </c>
      <c r="L472" s="5">
        <f>SUMIFS($I$3:$I$518,$A$3:$A$518,A472,$E$3:$E$518,E472)/SUMIFS(Question_Bank!$M$3:$M$14,Question_Bank!$B$3:$B$14,E472)</f>
        <v>0</v>
      </c>
      <c r="M472" t="s">
        <v>342</v>
      </c>
    </row>
    <row r="473" spans="1:13">
      <c r="A473" t="s">
        <v>341</v>
      </c>
      <c r="B473" t="s">
        <v>263</v>
      </c>
      <c r="C473" t="s">
        <v>133</v>
      </c>
      <c r="D473" t="s">
        <v>37</v>
      </c>
      <c r="E473" t="s">
        <v>15</v>
      </c>
      <c r="F473" t="s">
        <v>23</v>
      </c>
      <c r="G473">
        <f>INDEX(Question_Bank!$G$3:$G$14,MATCH(D473,Question_Bank!$A$3:$A$14,0))</f>
        <v>0</v>
      </c>
      <c r="H473">
        <f>IF(F473=G473,1,0)</f>
        <v>0</v>
      </c>
      <c r="I473">
        <f>H473*INDEX(Question_Bank!$M$3:$M$14,MATCH(D473,Question_Bank!$A$3:$A$14,0))</f>
        <v>0</v>
      </c>
      <c r="J473">
        <f>SUMIFS($I$3:$I$518,$A$3:$A$518,A473)</f>
        <v>0</v>
      </c>
      <c r="K473" s="5">
        <f>J473/SUM(Question_Bank!$M$3:$M$14)</f>
        <v>0</v>
      </c>
      <c r="L473" s="5">
        <f>SUMIFS($I$3:$I$518,$A$3:$A$518,A473,$E$3:$E$518,E473)/SUMIFS(Question_Bank!$M$3:$M$14,Question_Bank!$B$3:$B$14,E473)</f>
        <v>0</v>
      </c>
      <c r="M473" t="s">
        <v>342</v>
      </c>
    </row>
    <row r="474" spans="1:13">
      <c r="A474" t="s">
        <v>341</v>
      </c>
      <c r="B474" t="s">
        <v>263</v>
      </c>
      <c r="C474" t="s">
        <v>133</v>
      </c>
      <c r="D474" t="s">
        <v>45</v>
      </c>
      <c r="E474" t="s">
        <v>46</v>
      </c>
      <c r="F474" t="s">
        <v>34</v>
      </c>
      <c r="G474">
        <f>INDEX(Question_Bank!$G$3:$G$14,MATCH(D474,Question_Bank!$A$3:$A$14,0))</f>
        <v>0</v>
      </c>
      <c r="H474">
        <f>IF(F474=G474,1,0)</f>
        <v>0</v>
      </c>
      <c r="I474">
        <f>H474*INDEX(Question_Bank!$M$3:$M$14,MATCH(D474,Question_Bank!$A$3:$A$14,0))</f>
        <v>0</v>
      </c>
      <c r="J474">
        <f>SUMIFS($I$3:$I$518,$A$3:$A$518,A474)</f>
        <v>0</v>
      </c>
      <c r="K474" s="5">
        <f>J474/SUM(Question_Bank!$M$3:$M$14)</f>
        <v>0</v>
      </c>
      <c r="L474" s="5">
        <f>SUMIFS($I$3:$I$518,$A$3:$A$518,A474,$E$3:$E$518,E474)/SUMIFS(Question_Bank!$M$3:$M$14,Question_Bank!$B$3:$B$14,E474)</f>
        <v>0</v>
      </c>
      <c r="M474" t="s">
        <v>342</v>
      </c>
    </row>
    <row r="475" spans="1:13">
      <c r="A475" t="s">
        <v>341</v>
      </c>
      <c r="B475" t="s">
        <v>263</v>
      </c>
      <c r="C475" t="s">
        <v>133</v>
      </c>
      <c r="D475" t="s">
        <v>54</v>
      </c>
      <c r="E475" t="s">
        <v>46</v>
      </c>
      <c r="F475" t="s">
        <v>20</v>
      </c>
      <c r="G475">
        <f>INDEX(Question_Bank!$G$3:$G$14,MATCH(D475,Question_Bank!$A$3:$A$14,0))</f>
        <v>0</v>
      </c>
      <c r="H475">
        <f>IF(F475=G475,1,0)</f>
        <v>0</v>
      </c>
      <c r="I475">
        <f>H475*INDEX(Question_Bank!$M$3:$M$14,MATCH(D475,Question_Bank!$A$3:$A$14,0))</f>
        <v>0</v>
      </c>
      <c r="J475">
        <f>SUMIFS($I$3:$I$518,$A$3:$A$518,A475)</f>
        <v>0</v>
      </c>
      <c r="K475" s="5">
        <f>J475/SUM(Question_Bank!$M$3:$M$14)</f>
        <v>0</v>
      </c>
      <c r="L475" s="5">
        <f>SUMIFS($I$3:$I$518,$A$3:$A$518,A475,$E$3:$E$518,E475)/SUMIFS(Question_Bank!$M$3:$M$14,Question_Bank!$B$3:$B$14,E475)</f>
        <v>0</v>
      </c>
      <c r="M475" t="s">
        <v>342</v>
      </c>
    </row>
    <row r="476" spans="1:13">
      <c r="A476" t="s">
        <v>341</v>
      </c>
      <c r="B476" t="s">
        <v>263</v>
      </c>
      <c r="C476" t="s">
        <v>133</v>
      </c>
      <c r="D476" t="s">
        <v>62</v>
      </c>
      <c r="E476" t="s">
        <v>46</v>
      </c>
      <c r="F476" t="s">
        <v>31</v>
      </c>
      <c r="G476">
        <f>INDEX(Question_Bank!$G$3:$G$14,MATCH(D476,Question_Bank!$A$3:$A$14,0))</f>
        <v>0</v>
      </c>
      <c r="H476">
        <f>IF(F476=G476,1,0)</f>
        <v>0</v>
      </c>
      <c r="I476">
        <f>H476*INDEX(Question_Bank!$M$3:$M$14,MATCH(D476,Question_Bank!$A$3:$A$14,0))</f>
        <v>0</v>
      </c>
      <c r="J476">
        <f>SUMIFS($I$3:$I$518,$A$3:$A$518,A476)</f>
        <v>0</v>
      </c>
      <c r="K476" s="5">
        <f>J476/SUM(Question_Bank!$M$3:$M$14)</f>
        <v>0</v>
      </c>
      <c r="L476" s="5">
        <f>SUMIFS($I$3:$I$518,$A$3:$A$518,A476,$E$3:$E$518,E476)/SUMIFS(Question_Bank!$M$3:$M$14,Question_Bank!$B$3:$B$14,E476)</f>
        <v>0</v>
      </c>
      <c r="M476" t="s">
        <v>342</v>
      </c>
    </row>
    <row r="477" spans="1:13">
      <c r="A477" t="s">
        <v>341</v>
      </c>
      <c r="B477" t="s">
        <v>263</v>
      </c>
      <c r="C477" t="s">
        <v>133</v>
      </c>
      <c r="D477" t="s">
        <v>70</v>
      </c>
      <c r="E477" t="s">
        <v>71</v>
      </c>
      <c r="F477" t="s">
        <v>23</v>
      </c>
      <c r="G477">
        <f>INDEX(Question_Bank!$G$3:$G$14,MATCH(D477,Question_Bank!$A$3:$A$14,0))</f>
        <v>0</v>
      </c>
      <c r="H477">
        <f>IF(F477=G477,1,0)</f>
        <v>0</v>
      </c>
      <c r="I477">
        <f>H477*INDEX(Question_Bank!$M$3:$M$14,MATCH(D477,Question_Bank!$A$3:$A$14,0))</f>
        <v>0</v>
      </c>
      <c r="J477">
        <f>SUMIFS($I$3:$I$518,$A$3:$A$518,A477)</f>
        <v>0</v>
      </c>
      <c r="K477" s="5">
        <f>J477/SUM(Question_Bank!$M$3:$M$14)</f>
        <v>0</v>
      </c>
      <c r="L477" s="5">
        <f>SUMIFS($I$3:$I$518,$A$3:$A$518,A477,$E$3:$E$518,E477)/SUMIFS(Question_Bank!$M$3:$M$14,Question_Bank!$B$3:$B$14,E477)</f>
        <v>0</v>
      </c>
      <c r="M477" t="s">
        <v>342</v>
      </c>
    </row>
    <row r="478" spans="1:13">
      <c r="A478" t="s">
        <v>341</v>
      </c>
      <c r="B478" t="s">
        <v>263</v>
      </c>
      <c r="C478" t="s">
        <v>133</v>
      </c>
      <c r="D478" t="s">
        <v>79</v>
      </c>
      <c r="E478" t="s">
        <v>71</v>
      </c>
      <c r="F478" t="s">
        <v>34</v>
      </c>
      <c r="G478">
        <f>INDEX(Question_Bank!$G$3:$G$14,MATCH(D478,Question_Bank!$A$3:$A$14,0))</f>
        <v>0</v>
      </c>
      <c r="H478">
        <f>IF(F478=G478,1,0)</f>
        <v>0</v>
      </c>
      <c r="I478">
        <f>H478*INDEX(Question_Bank!$M$3:$M$14,MATCH(D478,Question_Bank!$A$3:$A$14,0))</f>
        <v>0</v>
      </c>
      <c r="J478">
        <f>SUMIFS($I$3:$I$518,$A$3:$A$518,A478)</f>
        <v>0</v>
      </c>
      <c r="K478" s="5">
        <f>J478/SUM(Question_Bank!$M$3:$M$14)</f>
        <v>0</v>
      </c>
      <c r="L478" s="5">
        <f>SUMIFS($I$3:$I$518,$A$3:$A$518,A478,$E$3:$E$518,E478)/SUMIFS(Question_Bank!$M$3:$M$14,Question_Bank!$B$3:$B$14,E478)</f>
        <v>0</v>
      </c>
      <c r="M478" t="s">
        <v>342</v>
      </c>
    </row>
    <row r="479" spans="1:13">
      <c r="A479" t="s">
        <v>341</v>
      </c>
      <c r="B479" t="s">
        <v>263</v>
      </c>
      <c r="C479" t="s">
        <v>133</v>
      </c>
      <c r="D479" t="s">
        <v>87</v>
      </c>
      <c r="E479" t="s">
        <v>71</v>
      </c>
      <c r="F479" t="s">
        <v>20</v>
      </c>
      <c r="G479">
        <f>INDEX(Question_Bank!$G$3:$G$14,MATCH(D479,Question_Bank!$A$3:$A$14,0))</f>
        <v>0</v>
      </c>
      <c r="H479">
        <f>IF(F479=G479,1,0)</f>
        <v>0</v>
      </c>
      <c r="I479">
        <f>H479*INDEX(Question_Bank!$M$3:$M$14,MATCH(D479,Question_Bank!$A$3:$A$14,0))</f>
        <v>0</v>
      </c>
      <c r="J479">
        <f>SUMIFS($I$3:$I$518,$A$3:$A$518,A479)</f>
        <v>0</v>
      </c>
      <c r="K479" s="5">
        <f>J479/SUM(Question_Bank!$M$3:$M$14)</f>
        <v>0</v>
      </c>
      <c r="L479" s="5">
        <f>SUMIFS($I$3:$I$518,$A$3:$A$518,A479,$E$3:$E$518,E479)/SUMIFS(Question_Bank!$M$3:$M$14,Question_Bank!$B$3:$B$14,E479)</f>
        <v>0</v>
      </c>
      <c r="M479" t="s">
        <v>342</v>
      </c>
    </row>
    <row r="480" spans="1:13">
      <c r="A480" t="s">
        <v>341</v>
      </c>
      <c r="B480" t="s">
        <v>263</v>
      </c>
      <c r="C480" t="s">
        <v>133</v>
      </c>
      <c r="D480" t="s">
        <v>95</v>
      </c>
      <c r="E480" t="s">
        <v>96</v>
      </c>
      <c r="F480" t="s">
        <v>31</v>
      </c>
      <c r="G480">
        <f>INDEX(Question_Bank!$G$3:$G$14,MATCH(D480,Question_Bank!$A$3:$A$14,0))</f>
        <v>0</v>
      </c>
      <c r="H480">
        <f>IF(F480=G480,1,0)</f>
        <v>0</v>
      </c>
      <c r="I480">
        <f>H480*INDEX(Question_Bank!$M$3:$M$14,MATCH(D480,Question_Bank!$A$3:$A$14,0))</f>
        <v>0</v>
      </c>
      <c r="J480">
        <f>SUMIFS($I$3:$I$518,$A$3:$A$518,A480)</f>
        <v>0</v>
      </c>
      <c r="K480" s="5">
        <f>J480/SUM(Question_Bank!$M$3:$M$14)</f>
        <v>0</v>
      </c>
      <c r="L480" s="5">
        <f>SUMIFS($I$3:$I$518,$A$3:$A$518,A480,$E$3:$E$518,E480)/SUMIFS(Question_Bank!$M$3:$M$14,Question_Bank!$B$3:$B$14,E480)</f>
        <v>0</v>
      </c>
      <c r="M480" t="s">
        <v>342</v>
      </c>
    </row>
    <row r="481" spans="1:13">
      <c r="A481" t="s">
        <v>341</v>
      </c>
      <c r="B481" t="s">
        <v>263</v>
      </c>
      <c r="C481" t="s">
        <v>133</v>
      </c>
      <c r="D481" t="s">
        <v>104</v>
      </c>
      <c r="E481" t="s">
        <v>96</v>
      </c>
      <c r="F481" t="s">
        <v>23</v>
      </c>
      <c r="G481">
        <f>INDEX(Question_Bank!$G$3:$G$14,MATCH(D481,Question_Bank!$A$3:$A$14,0))</f>
        <v>0</v>
      </c>
      <c r="H481">
        <f>IF(F481=G481,1,0)</f>
        <v>0</v>
      </c>
      <c r="I481">
        <f>H481*INDEX(Question_Bank!$M$3:$M$14,MATCH(D481,Question_Bank!$A$3:$A$14,0))</f>
        <v>0</v>
      </c>
      <c r="J481">
        <f>SUMIFS($I$3:$I$518,$A$3:$A$518,A481)</f>
        <v>0</v>
      </c>
      <c r="K481" s="5">
        <f>J481/SUM(Question_Bank!$M$3:$M$14)</f>
        <v>0</v>
      </c>
      <c r="L481" s="5">
        <f>SUMIFS($I$3:$I$518,$A$3:$A$518,A481,$E$3:$E$518,E481)/SUMIFS(Question_Bank!$M$3:$M$14,Question_Bank!$B$3:$B$14,E481)</f>
        <v>0</v>
      </c>
      <c r="M481" t="s">
        <v>342</v>
      </c>
    </row>
    <row r="482" spans="1:13">
      <c r="A482" t="s">
        <v>341</v>
      </c>
      <c r="B482" t="s">
        <v>263</v>
      </c>
      <c r="C482" t="s">
        <v>133</v>
      </c>
      <c r="D482" t="s">
        <v>112</v>
      </c>
      <c r="E482" t="s">
        <v>96</v>
      </c>
      <c r="F482" t="s">
        <v>34</v>
      </c>
      <c r="G482">
        <f>INDEX(Question_Bank!$G$3:$G$14,MATCH(D482,Question_Bank!$A$3:$A$14,0))</f>
        <v>0</v>
      </c>
      <c r="H482">
        <f>IF(F482=G482,1,0)</f>
        <v>0</v>
      </c>
      <c r="I482">
        <f>H482*INDEX(Question_Bank!$M$3:$M$14,MATCH(D482,Question_Bank!$A$3:$A$14,0))</f>
        <v>0</v>
      </c>
      <c r="J482">
        <f>SUMIFS($I$3:$I$518,$A$3:$A$518,A482)</f>
        <v>0</v>
      </c>
      <c r="K482" s="5">
        <f>J482/SUM(Question_Bank!$M$3:$M$14)</f>
        <v>0</v>
      </c>
      <c r="L482" s="5">
        <f>SUMIFS($I$3:$I$518,$A$3:$A$518,A482,$E$3:$E$518,E482)/SUMIFS(Question_Bank!$M$3:$M$14,Question_Bank!$B$3:$B$14,E482)</f>
        <v>0</v>
      </c>
      <c r="M482" t="s">
        <v>342</v>
      </c>
    </row>
    <row r="483" spans="1:13">
      <c r="A483" t="s">
        <v>343</v>
      </c>
      <c r="B483" t="s">
        <v>263</v>
      </c>
      <c r="C483" t="s">
        <v>133</v>
      </c>
      <c r="D483" t="s">
        <v>14</v>
      </c>
      <c r="E483" t="s">
        <v>15</v>
      </c>
      <c r="F483" t="s">
        <v>20</v>
      </c>
      <c r="G483">
        <f>INDEX(Question_Bank!$G$3:$G$14,MATCH(D483,Question_Bank!$A$3:$A$14,0))</f>
        <v>0</v>
      </c>
      <c r="H483">
        <f>IF(F483=G483,1,0)</f>
        <v>0</v>
      </c>
      <c r="I483">
        <f>H483*INDEX(Question_Bank!$M$3:$M$14,MATCH(D483,Question_Bank!$A$3:$A$14,0))</f>
        <v>0</v>
      </c>
      <c r="J483">
        <f>SUMIFS($I$3:$I$518,$A$3:$A$518,A483)</f>
        <v>0</v>
      </c>
      <c r="K483" s="5">
        <f>J483/SUM(Question_Bank!$M$3:$M$14)</f>
        <v>0</v>
      </c>
      <c r="L483" s="5">
        <f>SUMIFS($I$3:$I$518,$A$3:$A$518,A483,$E$3:$E$518,E483)/SUMIFS(Question_Bank!$M$3:$M$14,Question_Bank!$B$3:$B$14,E483)</f>
        <v>0</v>
      </c>
      <c r="M483" t="s">
        <v>344</v>
      </c>
    </row>
    <row r="484" spans="1:13">
      <c r="A484" t="s">
        <v>343</v>
      </c>
      <c r="B484" t="s">
        <v>263</v>
      </c>
      <c r="C484" t="s">
        <v>133</v>
      </c>
      <c r="D484" t="s">
        <v>26</v>
      </c>
      <c r="E484" t="s">
        <v>15</v>
      </c>
      <c r="F484" t="s">
        <v>31</v>
      </c>
      <c r="G484">
        <f>INDEX(Question_Bank!$G$3:$G$14,MATCH(D484,Question_Bank!$A$3:$A$14,0))</f>
        <v>0</v>
      </c>
      <c r="H484">
        <f>IF(F484=G484,1,0)</f>
        <v>0</v>
      </c>
      <c r="I484">
        <f>H484*INDEX(Question_Bank!$M$3:$M$14,MATCH(D484,Question_Bank!$A$3:$A$14,0))</f>
        <v>0</v>
      </c>
      <c r="J484">
        <f>SUMIFS($I$3:$I$518,$A$3:$A$518,A484)</f>
        <v>0</v>
      </c>
      <c r="K484" s="5">
        <f>J484/SUM(Question_Bank!$M$3:$M$14)</f>
        <v>0</v>
      </c>
      <c r="L484" s="5">
        <f>SUMIFS($I$3:$I$518,$A$3:$A$518,A484,$E$3:$E$518,E484)/SUMIFS(Question_Bank!$M$3:$M$14,Question_Bank!$B$3:$B$14,E484)</f>
        <v>0</v>
      </c>
      <c r="M484" t="s">
        <v>344</v>
      </c>
    </row>
    <row r="485" spans="1:13">
      <c r="A485" t="s">
        <v>343</v>
      </c>
      <c r="B485" t="s">
        <v>263</v>
      </c>
      <c r="C485" t="s">
        <v>133</v>
      </c>
      <c r="D485" t="s">
        <v>37</v>
      </c>
      <c r="E485" t="s">
        <v>15</v>
      </c>
      <c r="F485" t="s">
        <v>34</v>
      </c>
      <c r="G485">
        <f>INDEX(Question_Bank!$G$3:$G$14,MATCH(D485,Question_Bank!$A$3:$A$14,0))</f>
        <v>0</v>
      </c>
      <c r="H485">
        <f>IF(F485=G485,1,0)</f>
        <v>0</v>
      </c>
      <c r="I485">
        <f>H485*INDEX(Question_Bank!$M$3:$M$14,MATCH(D485,Question_Bank!$A$3:$A$14,0))</f>
        <v>0</v>
      </c>
      <c r="J485">
        <f>SUMIFS($I$3:$I$518,$A$3:$A$518,A485)</f>
        <v>0</v>
      </c>
      <c r="K485" s="5">
        <f>J485/SUM(Question_Bank!$M$3:$M$14)</f>
        <v>0</v>
      </c>
      <c r="L485" s="5">
        <f>SUMIFS($I$3:$I$518,$A$3:$A$518,A485,$E$3:$E$518,E485)/SUMIFS(Question_Bank!$M$3:$M$14,Question_Bank!$B$3:$B$14,E485)</f>
        <v>0</v>
      </c>
      <c r="M485" t="s">
        <v>344</v>
      </c>
    </row>
    <row r="486" spans="1:13">
      <c r="A486" t="s">
        <v>343</v>
      </c>
      <c r="B486" t="s">
        <v>263</v>
      </c>
      <c r="C486" t="s">
        <v>133</v>
      </c>
      <c r="D486" t="s">
        <v>45</v>
      </c>
      <c r="E486" t="s">
        <v>46</v>
      </c>
      <c r="F486" t="s">
        <v>34</v>
      </c>
      <c r="G486">
        <f>INDEX(Question_Bank!$G$3:$G$14,MATCH(D486,Question_Bank!$A$3:$A$14,0))</f>
        <v>0</v>
      </c>
      <c r="H486">
        <f>IF(F486=G486,1,0)</f>
        <v>0</v>
      </c>
      <c r="I486">
        <f>H486*INDEX(Question_Bank!$M$3:$M$14,MATCH(D486,Question_Bank!$A$3:$A$14,0))</f>
        <v>0</v>
      </c>
      <c r="J486">
        <f>SUMIFS($I$3:$I$518,$A$3:$A$518,A486)</f>
        <v>0</v>
      </c>
      <c r="K486" s="5">
        <f>J486/SUM(Question_Bank!$M$3:$M$14)</f>
        <v>0</v>
      </c>
      <c r="L486" s="5">
        <f>SUMIFS($I$3:$I$518,$A$3:$A$518,A486,$E$3:$E$518,E486)/SUMIFS(Question_Bank!$M$3:$M$14,Question_Bank!$B$3:$B$14,E486)</f>
        <v>0</v>
      </c>
      <c r="M486" t="s">
        <v>344</v>
      </c>
    </row>
    <row r="487" spans="1:13">
      <c r="A487" t="s">
        <v>343</v>
      </c>
      <c r="B487" t="s">
        <v>263</v>
      </c>
      <c r="C487" t="s">
        <v>133</v>
      </c>
      <c r="D487" t="s">
        <v>54</v>
      </c>
      <c r="E487" t="s">
        <v>46</v>
      </c>
      <c r="F487" t="s">
        <v>23</v>
      </c>
      <c r="G487">
        <f>INDEX(Question_Bank!$G$3:$G$14,MATCH(D487,Question_Bank!$A$3:$A$14,0))</f>
        <v>0</v>
      </c>
      <c r="H487">
        <f>IF(F487=G487,1,0)</f>
        <v>0</v>
      </c>
      <c r="I487">
        <f>H487*INDEX(Question_Bank!$M$3:$M$14,MATCH(D487,Question_Bank!$A$3:$A$14,0))</f>
        <v>0</v>
      </c>
      <c r="J487">
        <f>SUMIFS($I$3:$I$518,$A$3:$A$518,A487)</f>
        <v>0</v>
      </c>
      <c r="K487" s="5">
        <f>J487/SUM(Question_Bank!$M$3:$M$14)</f>
        <v>0</v>
      </c>
      <c r="L487" s="5">
        <f>SUMIFS($I$3:$I$518,$A$3:$A$518,A487,$E$3:$E$518,E487)/SUMIFS(Question_Bank!$M$3:$M$14,Question_Bank!$B$3:$B$14,E487)</f>
        <v>0</v>
      </c>
      <c r="M487" t="s">
        <v>344</v>
      </c>
    </row>
    <row r="488" spans="1:13">
      <c r="A488" t="s">
        <v>343</v>
      </c>
      <c r="B488" t="s">
        <v>263</v>
      </c>
      <c r="C488" t="s">
        <v>133</v>
      </c>
      <c r="D488" t="s">
        <v>62</v>
      </c>
      <c r="E488" t="s">
        <v>46</v>
      </c>
      <c r="F488" t="s">
        <v>31</v>
      </c>
      <c r="G488">
        <f>INDEX(Question_Bank!$G$3:$G$14,MATCH(D488,Question_Bank!$A$3:$A$14,0))</f>
        <v>0</v>
      </c>
      <c r="H488">
        <f>IF(F488=G488,1,0)</f>
        <v>0</v>
      </c>
      <c r="I488">
        <f>H488*INDEX(Question_Bank!$M$3:$M$14,MATCH(D488,Question_Bank!$A$3:$A$14,0))</f>
        <v>0</v>
      </c>
      <c r="J488">
        <f>SUMIFS($I$3:$I$518,$A$3:$A$518,A488)</f>
        <v>0</v>
      </c>
      <c r="K488" s="5">
        <f>J488/SUM(Question_Bank!$M$3:$M$14)</f>
        <v>0</v>
      </c>
      <c r="L488" s="5">
        <f>SUMIFS($I$3:$I$518,$A$3:$A$518,A488,$E$3:$E$518,E488)/SUMIFS(Question_Bank!$M$3:$M$14,Question_Bank!$B$3:$B$14,E488)</f>
        <v>0</v>
      </c>
      <c r="M488" t="s">
        <v>344</v>
      </c>
    </row>
    <row r="489" spans="1:13">
      <c r="A489" t="s">
        <v>343</v>
      </c>
      <c r="B489" t="s">
        <v>263</v>
      </c>
      <c r="C489" t="s">
        <v>133</v>
      </c>
      <c r="D489" t="s">
        <v>70</v>
      </c>
      <c r="E489" t="s">
        <v>71</v>
      </c>
      <c r="F489" t="s">
        <v>23</v>
      </c>
      <c r="G489">
        <f>INDEX(Question_Bank!$G$3:$G$14,MATCH(D489,Question_Bank!$A$3:$A$14,0))</f>
        <v>0</v>
      </c>
      <c r="H489">
        <f>IF(F489=G489,1,0)</f>
        <v>0</v>
      </c>
      <c r="I489">
        <f>H489*INDEX(Question_Bank!$M$3:$M$14,MATCH(D489,Question_Bank!$A$3:$A$14,0))</f>
        <v>0</v>
      </c>
      <c r="J489">
        <f>SUMIFS($I$3:$I$518,$A$3:$A$518,A489)</f>
        <v>0</v>
      </c>
      <c r="K489" s="5">
        <f>J489/SUM(Question_Bank!$M$3:$M$14)</f>
        <v>0</v>
      </c>
      <c r="L489" s="5">
        <f>SUMIFS($I$3:$I$518,$A$3:$A$518,A489,$E$3:$E$518,E489)/SUMIFS(Question_Bank!$M$3:$M$14,Question_Bank!$B$3:$B$14,E489)</f>
        <v>0</v>
      </c>
      <c r="M489" t="s">
        <v>344</v>
      </c>
    </row>
    <row r="490" spans="1:13">
      <c r="A490" t="s">
        <v>343</v>
      </c>
      <c r="B490" t="s">
        <v>263</v>
      </c>
      <c r="C490" t="s">
        <v>133</v>
      </c>
      <c r="D490" t="s">
        <v>79</v>
      </c>
      <c r="E490" t="s">
        <v>71</v>
      </c>
      <c r="F490" t="s">
        <v>20</v>
      </c>
      <c r="G490">
        <f>INDEX(Question_Bank!$G$3:$G$14,MATCH(D490,Question_Bank!$A$3:$A$14,0))</f>
        <v>0</v>
      </c>
      <c r="H490">
        <f>IF(F490=G490,1,0)</f>
        <v>0</v>
      </c>
      <c r="I490">
        <f>H490*INDEX(Question_Bank!$M$3:$M$14,MATCH(D490,Question_Bank!$A$3:$A$14,0))</f>
        <v>0</v>
      </c>
      <c r="J490">
        <f>SUMIFS($I$3:$I$518,$A$3:$A$518,A490)</f>
        <v>0</v>
      </c>
      <c r="K490" s="5">
        <f>J490/SUM(Question_Bank!$M$3:$M$14)</f>
        <v>0</v>
      </c>
      <c r="L490" s="5">
        <f>SUMIFS($I$3:$I$518,$A$3:$A$518,A490,$E$3:$E$518,E490)/SUMIFS(Question_Bank!$M$3:$M$14,Question_Bank!$B$3:$B$14,E490)</f>
        <v>0</v>
      </c>
      <c r="M490" t="s">
        <v>344</v>
      </c>
    </row>
    <row r="491" spans="1:13">
      <c r="A491" t="s">
        <v>343</v>
      </c>
      <c r="B491" t="s">
        <v>263</v>
      </c>
      <c r="C491" t="s">
        <v>133</v>
      </c>
      <c r="D491" t="s">
        <v>87</v>
      </c>
      <c r="E491" t="s">
        <v>71</v>
      </c>
      <c r="F491" t="s">
        <v>31</v>
      </c>
      <c r="G491">
        <f>INDEX(Question_Bank!$G$3:$G$14,MATCH(D491,Question_Bank!$A$3:$A$14,0))</f>
        <v>0</v>
      </c>
      <c r="H491">
        <f>IF(F491=G491,1,0)</f>
        <v>0</v>
      </c>
      <c r="I491">
        <f>H491*INDEX(Question_Bank!$M$3:$M$14,MATCH(D491,Question_Bank!$A$3:$A$14,0))</f>
        <v>0</v>
      </c>
      <c r="J491">
        <f>SUMIFS($I$3:$I$518,$A$3:$A$518,A491)</f>
        <v>0</v>
      </c>
      <c r="K491" s="5">
        <f>J491/SUM(Question_Bank!$M$3:$M$14)</f>
        <v>0</v>
      </c>
      <c r="L491" s="5">
        <f>SUMIFS($I$3:$I$518,$A$3:$A$518,A491,$E$3:$E$518,E491)/SUMIFS(Question_Bank!$M$3:$M$14,Question_Bank!$B$3:$B$14,E491)</f>
        <v>0</v>
      </c>
      <c r="M491" t="s">
        <v>344</v>
      </c>
    </row>
    <row r="492" spans="1:13">
      <c r="A492" t="s">
        <v>343</v>
      </c>
      <c r="B492" t="s">
        <v>263</v>
      </c>
      <c r="C492" t="s">
        <v>133</v>
      </c>
      <c r="D492" t="s">
        <v>95</v>
      </c>
      <c r="E492" t="s">
        <v>96</v>
      </c>
      <c r="F492" t="s">
        <v>31</v>
      </c>
      <c r="G492">
        <f>INDEX(Question_Bank!$G$3:$G$14,MATCH(D492,Question_Bank!$A$3:$A$14,0))</f>
        <v>0</v>
      </c>
      <c r="H492">
        <f>IF(F492=G492,1,0)</f>
        <v>0</v>
      </c>
      <c r="I492">
        <f>H492*INDEX(Question_Bank!$M$3:$M$14,MATCH(D492,Question_Bank!$A$3:$A$14,0))</f>
        <v>0</v>
      </c>
      <c r="J492">
        <f>SUMIFS($I$3:$I$518,$A$3:$A$518,A492)</f>
        <v>0</v>
      </c>
      <c r="K492" s="5">
        <f>J492/SUM(Question_Bank!$M$3:$M$14)</f>
        <v>0</v>
      </c>
      <c r="L492" s="5">
        <f>SUMIFS($I$3:$I$518,$A$3:$A$518,A492,$E$3:$E$518,E492)/SUMIFS(Question_Bank!$M$3:$M$14,Question_Bank!$B$3:$B$14,E492)</f>
        <v>0</v>
      </c>
      <c r="M492" t="s">
        <v>344</v>
      </c>
    </row>
    <row r="493" spans="1:13">
      <c r="A493" t="s">
        <v>343</v>
      </c>
      <c r="B493" t="s">
        <v>263</v>
      </c>
      <c r="C493" t="s">
        <v>133</v>
      </c>
      <c r="D493" t="s">
        <v>104</v>
      </c>
      <c r="E493" t="s">
        <v>96</v>
      </c>
      <c r="F493" t="s">
        <v>23</v>
      </c>
      <c r="G493">
        <f>INDEX(Question_Bank!$G$3:$G$14,MATCH(D493,Question_Bank!$A$3:$A$14,0))</f>
        <v>0</v>
      </c>
      <c r="H493">
        <f>IF(F493=G493,1,0)</f>
        <v>0</v>
      </c>
      <c r="I493">
        <f>H493*INDEX(Question_Bank!$M$3:$M$14,MATCH(D493,Question_Bank!$A$3:$A$14,0))</f>
        <v>0</v>
      </c>
      <c r="J493">
        <f>SUMIFS($I$3:$I$518,$A$3:$A$518,A493)</f>
        <v>0</v>
      </c>
      <c r="K493" s="5">
        <f>J493/SUM(Question_Bank!$M$3:$M$14)</f>
        <v>0</v>
      </c>
      <c r="L493" s="5">
        <f>SUMIFS($I$3:$I$518,$A$3:$A$518,A493,$E$3:$E$518,E493)/SUMIFS(Question_Bank!$M$3:$M$14,Question_Bank!$B$3:$B$14,E493)</f>
        <v>0</v>
      </c>
      <c r="M493" t="s">
        <v>344</v>
      </c>
    </row>
    <row r="494" spans="1:13">
      <c r="A494" t="s">
        <v>343</v>
      </c>
      <c r="B494" t="s">
        <v>263</v>
      </c>
      <c r="C494" t="s">
        <v>133</v>
      </c>
      <c r="D494" t="s">
        <v>112</v>
      </c>
      <c r="E494" t="s">
        <v>96</v>
      </c>
      <c r="F494" t="s">
        <v>20</v>
      </c>
      <c r="G494">
        <f>INDEX(Question_Bank!$G$3:$G$14,MATCH(D494,Question_Bank!$A$3:$A$14,0))</f>
        <v>0</v>
      </c>
      <c r="H494">
        <f>IF(F494=G494,1,0)</f>
        <v>0</v>
      </c>
      <c r="I494">
        <f>H494*INDEX(Question_Bank!$M$3:$M$14,MATCH(D494,Question_Bank!$A$3:$A$14,0))</f>
        <v>0</v>
      </c>
      <c r="J494">
        <f>SUMIFS($I$3:$I$518,$A$3:$A$518,A494)</f>
        <v>0</v>
      </c>
      <c r="K494" s="5">
        <f>J494/SUM(Question_Bank!$M$3:$M$14)</f>
        <v>0</v>
      </c>
      <c r="L494" s="5">
        <f>SUMIFS($I$3:$I$518,$A$3:$A$518,A494,$E$3:$E$518,E494)/SUMIFS(Question_Bank!$M$3:$M$14,Question_Bank!$B$3:$B$14,E494)</f>
        <v>0</v>
      </c>
      <c r="M494" t="s">
        <v>344</v>
      </c>
    </row>
    <row r="495" spans="1:13">
      <c r="A495" t="s">
        <v>345</v>
      </c>
      <c r="B495" t="s">
        <v>263</v>
      </c>
      <c r="C495" t="s">
        <v>133</v>
      </c>
      <c r="D495" t="s">
        <v>14</v>
      </c>
      <c r="E495" t="s">
        <v>15</v>
      </c>
      <c r="F495" t="s">
        <v>20</v>
      </c>
      <c r="G495">
        <f>INDEX(Question_Bank!$G$3:$G$14,MATCH(D495,Question_Bank!$A$3:$A$14,0))</f>
        <v>0</v>
      </c>
      <c r="H495">
        <f>IF(F495=G495,1,0)</f>
        <v>0</v>
      </c>
      <c r="I495">
        <f>H495*INDEX(Question_Bank!$M$3:$M$14,MATCH(D495,Question_Bank!$A$3:$A$14,0))</f>
        <v>0</v>
      </c>
      <c r="J495">
        <f>SUMIFS($I$3:$I$518,$A$3:$A$518,A495)</f>
        <v>0</v>
      </c>
      <c r="K495" s="5">
        <f>J495/SUM(Question_Bank!$M$3:$M$14)</f>
        <v>0</v>
      </c>
      <c r="L495" s="5">
        <f>SUMIFS($I$3:$I$518,$A$3:$A$518,A495,$E$3:$E$518,E495)/SUMIFS(Question_Bank!$M$3:$M$14,Question_Bank!$B$3:$B$14,E495)</f>
        <v>0</v>
      </c>
      <c r="M495" t="s">
        <v>346</v>
      </c>
    </row>
    <row r="496" spans="1:13">
      <c r="A496" t="s">
        <v>345</v>
      </c>
      <c r="B496" t="s">
        <v>263</v>
      </c>
      <c r="C496" t="s">
        <v>133</v>
      </c>
      <c r="D496" t="s">
        <v>26</v>
      </c>
      <c r="E496" t="s">
        <v>15</v>
      </c>
      <c r="F496" t="s">
        <v>20</v>
      </c>
      <c r="G496">
        <f>INDEX(Question_Bank!$G$3:$G$14,MATCH(D496,Question_Bank!$A$3:$A$14,0))</f>
        <v>0</v>
      </c>
      <c r="H496">
        <f>IF(F496=G496,1,0)</f>
        <v>0</v>
      </c>
      <c r="I496">
        <f>H496*INDEX(Question_Bank!$M$3:$M$14,MATCH(D496,Question_Bank!$A$3:$A$14,0))</f>
        <v>0</v>
      </c>
      <c r="J496">
        <f>SUMIFS($I$3:$I$518,$A$3:$A$518,A496)</f>
        <v>0</v>
      </c>
      <c r="K496" s="5">
        <f>J496/SUM(Question_Bank!$M$3:$M$14)</f>
        <v>0</v>
      </c>
      <c r="L496" s="5">
        <f>SUMIFS($I$3:$I$518,$A$3:$A$518,A496,$E$3:$E$518,E496)/SUMIFS(Question_Bank!$M$3:$M$14,Question_Bank!$B$3:$B$14,E496)</f>
        <v>0</v>
      </c>
      <c r="M496" t="s">
        <v>346</v>
      </c>
    </row>
    <row r="497" spans="1:13">
      <c r="A497" t="s">
        <v>345</v>
      </c>
      <c r="B497" t="s">
        <v>263</v>
      </c>
      <c r="C497" t="s">
        <v>133</v>
      </c>
      <c r="D497" t="s">
        <v>37</v>
      </c>
      <c r="E497" t="s">
        <v>15</v>
      </c>
      <c r="F497" t="s">
        <v>23</v>
      </c>
      <c r="G497">
        <f>INDEX(Question_Bank!$G$3:$G$14,MATCH(D497,Question_Bank!$A$3:$A$14,0))</f>
        <v>0</v>
      </c>
      <c r="H497">
        <f>IF(F497=G497,1,0)</f>
        <v>0</v>
      </c>
      <c r="I497">
        <f>H497*INDEX(Question_Bank!$M$3:$M$14,MATCH(D497,Question_Bank!$A$3:$A$14,0))</f>
        <v>0</v>
      </c>
      <c r="J497">
        <f>SUMIFS($I$3:$I$518,$A$3:$A$518,A497)</f>
        <v>0</v>
      </c>
      <c r="K497" s="5">
        <f>J497/SUM(Question_Bank!$M$3:$M$14)</f>
        <v>0</v>
      </c>
      <c r="L497" s="5">
        <f>SUMIFS($I$3:$I$518,$A$3:$A$518,A497,$E$3:$E$518,E497)/SUMIFS(Question_Bank!$M$3:$M$14,Question_Bank!$B$3:$B$14,E497)</f>
        <v>0</v>
      </c>
      <c r="M497" t="s">
        <v>346</v>
      </c>
    </row>
    <row r="498" spans="1:13">
      <c r="A498" t="s">
        <v>345</v>
      </c>
      <c r="B498" t="s">
        <v>263</v>
      </c>
      <c r="C498" t="s">
        <v>133</v>
      </c>
      <c r="D498" t="s">
        <v>45</v>
      </c>
      <c r="E498" t="s">
        <v>46</v>
      </c>
      <c r="F498" t="s">
        <v>23</v>
      </c>
      <c r="G498">
        <f>INDEX(Question_Bank!$G$3:$G$14,MATCH(D498,Question_Bank!$A$3:$A$14,0))</f>
        <v>0</v>
      </c>
      <c r="H498">
        <f>IF(F498=G498,1,0)</f>
        <v>0</v>
      </c>
      <c r="I498">
        <f>H498*INDEX(Question_Bank!$M$3:$M$14,MATCH(D498,Question_Bank!$A$3:$A$14,0))</f>
        <v>0</v>
      </c>
      <c r="J498">
        <f>SUMIFS($I$3:$I$518,$A$3:$A$518,A498)</f>
        <v>0</v>
      </c>
      <c r="K498" s="5">
        <f>J498/SUM(Question_Bank!$M$3:$M$14)</f>
        <v>0</v>
      </c>
      <c r="L498" s="5">
        <f>SUMIFS($I$3:$I$518,$A$3:$A$518,A498,$E$3:$E$518,E498)/SUMIFS(Question_Bank!$M$3:$M$14,Question_Bank!$B$3:$B$14,E498)</f>
        <v>0</v>
      </c>
      <c r="M498" t="s">
        <v>346</v>
      </c>
    </row>
    <row r="499" spans="1:13">
      <c r="A499" t="s">
        <v>345</v>
      </c>
      <c r="B499" t="s">
        <v>263</v>
      </c>
      <c r="C499" t="s">
        <v>133</v>
      </c>
      <c r="D499" t="s">
        <v>54</v>
      </c>
      <c r="E499" t="s">
        <v>46</v>
      </c>
      <c r="F499" t="s">
        <v>31</v>
      </c>
      <c r="G499">
        <f>INDEX(Question_Bank!$G$3:$G$14,MATCH(D499,Question_Bank!$A$3:$A$14,0))</f>
        <v>0</v>
      </c>
      <c r="H499">
        <f>IF(F499=G499,1,0)</f>
        <v>0</v>
      </c>
      <c r="I499">
        <f>H499*INDEX(Question_Bank!$M$3:$M$14,MATCH(D499,Question_Bank!$A$3:$A$14,0))</f>
        <v>0</v>
      </c>
      <c r="J499">
        <f>SUMIFS($I$3:$I$518,$A$3:$A$518,A499)</f>
        <v>0</v>
      </c>
      <c r="K499" s="5">
        <f>J499/SUM(Question_Bank!$M$3:$M$14)</f>
        <v>0</v>
      </c>
      <c r="L499" s="5">
        <f>SUMIFS($I$3:$I$518,$A$3:$A$518,A499,$E$3:$E$518,E499)/SUMIFS(Question_Bank!$M$3:$M$14,Question_Bank!$B$3:$B$14,E499)</f>
        <v>0</v>
      </c>
      <c r="M499" t="s">
        <v>346</v>
      </c>
    </row>
    <row r="500" spans="1:13">
      <c r="A500" t="s">
        <v>345</v>
      </c>
      <c r="B500" t="s">
        <v>263</v>
      </c>
      <c r="C500" t="s">
        <v>133</v>
      </c>
      <c r="D500" t="s">
        <v>62</v>
      </c>
      <c r="E500" t="s">
        <v>46</v>
      </c>
      <c r="F500" t="s">
        <v>31</v>
      </c>
      <c r="G500">
        <f>INDEX(Question_Bank!$G$3:$G$14,MATCH(D500,Question_Bank!$A$3:$A$14,0))</f>
        <v>0</v>
      </c>
      <c r="H500">
        <f>IF(F500=G500,1,0)</f>
        <v>0</v>
      </c>
      <c r="I500">
        <f>H500*INDEX(Question_Bank!$M$3:$M$14,MATCH(D500,Question_Bank!$A$3:$A$14,0))</f>
        <v>0</v>
      </c>
      <c r="J500">
        <f>SUMIFS($I$3:$I$518,$A$3:$A$518,A500)</f>
        <v>0</v>
      </c>
      <c r="K500" s="5">
        <f>J500/SUM(Question_Bank!$M$3:$M$14)</f>
        <v>0</v>
      </c>
      <c r="L500" s="5">
        <f>SUMIFS($I$3:$I$518,$A$3:$A$518,A500,$E$3:$E$518,E500)/SUMIFS(Question_Bank!$M$3:$M$14,Question_Bank!$B$3:$B$14,E500)</f>
        <v>0</v>
      </c>
      <c r="M500" t="s">
        <v>346</v>
      </c>
    </row>
    <row r="501" spans="1:13">
      <c r="A501" t="s">
        <v>345</v>
      </c>
      <c r="B501" t="s">
        <v>263</v>
      </c>
      <c r="C501" t="s">
        <v>133</v>
      </c>
      <c r="D501" t="s">
        <v>70</v>
      </c>
      <c r="E501" t="s">
        <v>71</v>
      </c>
      <c r="F501" t="s">
        <v>20</v>
      </c>
      <c r="G501">
        <f>INDEX(Question_Bank!$G$3:$G$14,MATCH(D501,Question_Bank!$A$3:$A$14,0))</f>
        <v>0</v>
      </c>
      <c r="H501">
        <f>IF(F501=G501,1,0)</f>
        <v>0</v>
      </c>
      <c r="I501">
        <f>H501*INDEX(Question_Bank!$M$3:$M$14,MATCH(D501,Question_Bank!$A$3:$A$14,0))</f>
        <v>0</v>
      </c>
      <c r="J501">
        <f>SUMIFS($I$3:$I$518,$A$3:$A$518,A501)</f>
        <v>0</v>
      </c>
      <c r="K501" s="5">
        <f>J501/SUM(Question_Bank!$M$3:$M$14)</f>
        <v>0</v>
      </c>
      <c r="L501" s="5">
        <f>SUMIFS($I$3:$I$518,$A$3:$A$518,A501,$E$3:$E$518,E501)/SUMIFS(Question_Bank!$M$3:$M$14,Question_Bank!$B$3:$B$14,E501)</f>
        <v>0</v>
      </c>
      <c r="M501" t="s">
        <v>346</v>
      </c>
    </row>
    <row r="502" spans="1:13">
      <c r="A502" t="s">
        <v>345</v>
      </c>
      <c r="B502" t="s">
        <v>263</v>
      </c>
      <c r="C502" t="s">
        <v>133</v>
      </c>
      <c r="D502" t="s">
        <v>79</v>
      </c>
      <c r="E502" t="s">
        <v>71</v>
      </c>
      <c r="F502" t="s">
        <v>31</v>
      </c>
      <c r="G502">
        <f>INDEX(Question_Bank!$G$3:$G$14,MATCH(D502,Question_Bank!$A$3:$A$14,0))</f>
        <v>0</v>
      </c>
      <c r="H502">
        <f>IF(F502=G502,1,0)</f>
        <v>0</v>
      </c>
      <c r="I502">
        <f>H502*INDEX(Question_Bank!$M$3:$M$14,MATCH(D502,Question_Bank!$A$3:$A$14,0))</f>
        <v>0</v>
      </c>
      <c r="J502">
        <f>SUMIFS($I$3:$I$518,$A$3:$A$518,A502)</f>
        <v>0</v>
      </c>
      <c r="K502" s="5">
        <f>J502/SUM(Question_Bank!$M$3:$M$14)</f>
        <v>0</v>
      </c>
      <c r="L502" s="5">
        <f>SUMIFS($I$3:$I$518,$A$3:$A$518,A502,$E$3:$E$518,E502)/SUMIFS(Question_Bank!$M$3:$M$14,Question_Bank!$B$3:$B$14,E502)</f>
        <v>0</v>
      </c>
      <c r="M502" t="s">
        <v>346</v>
      </c>
    </row>
    <row r="503" spans="1:13">
      <c r="A503" t="s">
        <v>345</v>
      </c>
      <c r="B503" t="s">
        <v>263</v>
      </c>
      <c r="C503" t="s">
        <v>133</v>
      </c>
      <c r="D503" t="s">
        <v>87</v>
      </c>
      <c r="E503" t="s">
        <v>71</v>
      </c>
      <c r="F503" t="s">
        <v>20</v>
      </c>
      <c r="G503">
        <f>INDEX(Question_Bank!$G$3:$G$14,MATCH(D503,Question_Bank!$A$3:$A$14,0))</f>
        <v>0</v>
      </c>
      <c r="H503">
        <f>IF(F503=G503,1,0)</f>
        <v>0</v>
      </c>
      <c r="I503">
        <f>H503*INDEX(Question_Bank!$M$3:$M$14,MATCH(D503,Question_Bank!$A$3:$A$14,0))</f>
        <v>0</v>
      </c>
      <c r="J503">
        <f>SUMIFS($I$3:$I$518,$A$3:$A$518,A503)</f>
        <v>0</v>
      </c>
      <c r="K503" s="5">
        <f>J503/SUM(Question_Bank!$M$3:$M$14)</f>
        <v>0</v>
      </c>
      <c r="L503" s="5">
        <f>SUMIFS($I$3:$I$518,$A$3:$A$518,A503,$E$3:$E$518,E503)/SUMIFS(Question_Bank!$M$3:$M$14,Question_Bank!$B$3:$B$14,E503)</f>
        <v>0</v>
      </c>
      <c r="M503" t="s">
        <v>346</v>
      </c>
    </row>
    <row r="504" spans="1:13">
      <c r="A504" t="s">
        <v>345</v>
      </c>
      <c r="B504" t="s">
        <v>263</v>
      </c>
      <c r="C504" t="s">
        <v>133</v>
      </c>
      <c r="D504" t="s">
        <v>95</v>
      </c>
      <c r="E504" t="s">
        <v>96</v>
      </c>
      <c r="F504" t="s">
        <v>31</v>
      </c>
      <c r="G504">
        <f>INDEX(Question_Bank!$G$3:$G$14,MATCH(D504,Question_Bank!$A$3:$A$14,0))</f>
        <v>0</v>
      </c>
      <c r="H504">
        <f>IF(F504=G504,1,0)</f>
        <v>0</v>
      </c>
      <c r="I504">
        <f>H504*INDEX(Question_Bank!$M$3:$M$14,MATCH(D504,Question_Bank!$A$3:$A$14,0))</f>
        <v>0</v>
      </c>
      <c r="J504">
        <f>SUMIFS($I$3:$I$518,$A$3:$A$518,A504)</f>
        <v>0</v>
      </c>
      <c r="K504" s="5">
        <f>J504/SUM(Question_Bank!$M$3:$M$14)</f>
        <v>0</v>
      </c>
      <c r="L504" s="5">
        <f>SUMIFS($I$3:$I$518,$A$3:$A$518,A504,$E$3:$E$518,E504)/SUMIFS(Question_Bank!$M$3:$M$14,Question_Bank!$B$3:$B$14,E504)</f>
        <v>0</v>
      </c>
      <c r="M504" t="s">
        <v>346</v>
      </c>
    </row>
    <row r="505" spans="1:13">
      <c r="A505" t="s">
        <v>345</v>
      </c>
      <c r="B505" t="s">
        <v>263</v>
      </c>
      <c r="C505" t="s">
        <v>133</v>
      </c>
      <c r="D505" t="s">
        <v>104</v>
      </c>
      <c r="E505" t="s">
        <v>96</v>
      </c>
      <c r="F505" t="s">
        <v>23</v>
      </c>
      <c r="G505">
        <f>INDEX(Question_Bank!$G$3:$G$14,MATCH(D505,Question_Bank!$A$3:$A$14,0))</f>
        <v>0</v>
      </c>
      <c r="H505">
        <f>IF(F505=G505,1,0)</f>
        <v>0</v>
      </c>
      <c r="I505">
        <f>H505*INDEX(Question_Bank!$M$3:$M$14,MATCH(D505,Question_Bank!$A$3:$A$14,0))</f>
        <v>0</v>
      </c>
      <c r="J505">
        <f>SUMIFS($I$3:$I$518,$A$3:$A$518,A505)</f>
        <v>0</v>
      </c>
      <c r="K505" s="5">
        <f>J505/SUM(Question_Bank!$M$3:$M$14)</f>
        <v>0</v>
      </c>
      <c r="L505" s="5">
        <f>SUMIFS($I$3:$I$518,$A$3:$A$518,A505,$E$3:$E$518,E505)/SUMIFS(Question_Bank!$M$3:$M$14,Question_Bank!$B$3:$B$14,E505)</f>
        <v>0</v>
      </c>
      <c r="M505" t="s">
        <v>346</v>
      </c>
    </row>
    <row r="506" spans="1:13">
      <c r="A506" t="s">
        <v>345</v>
      </c>
      <c r="B506" t="s">
        <v>263</v>
      </c>
      <c r="C506" t="s">
        <v>133</v>
      </c>
      <c r="D506" t="s">
        <v>112</v>
      </c>
      <c r="E506" t="s">
        <v>96</v>
      </c>
      <c r="F506" t="s">
        <v>34</v>
      </c>
      <c r="G506">
        <f>INDEX(Question_Bank!$G$3:$G$14,MATCH(D506,Question_Bank!$A$3:$A$14,0))</f>
        <v>0</v>
      </c>
      <c r="H506">
        <f>IF(F506=G506,1,0)</f>
        <v>0</v>
      </c>
      <c r="I506">
        <f>H506*INDEX(Question_Bank!$M$3:$M$14,MATCH(D506,Question_Bank!$A$3:$A$14,0))</f>
        <v>0</v>
      </c>
      <c r="J506">
        <f>SUMIFS($I$3:$I$518,$A$3:$A$518,A506)</f>
        <v>0</v>
      </c>
      <c r="K506" s="5">
        <f>J506/SUM(Question_Bank!$M$3:$M$14)</f>
        <v>0</v>
      </c>
      <c r="L506" s="5">
        <f>SUMIFS($I$3:$I$518,$A$3:$A$518,A506,$E$3:$E$518,E506)/SUMIFS(Question_Bank!$M$3:$M$14,Question_Bank!$B$3:$B$14,E506)</f>
        <v>0</v>
      </c>
      <c r="M506" t="s">
        <v>346</v>
      </c>
    </row>
    <row r="507" spans="1:13">
      <c r="A507" t="s">
        <v>347</v>
      </c>
      <c r="B507" t="s">
        <v>263</v>
      </c>
      <c r="C507" t="s">
        <v>133</v>
      </c>
      <c r="D507" t="s">
        <v>14</v>
      </c>
      <c r="E507" t="s">
        <v>15</v>
      </c>
      <c r="F507" t="s">
        <v>31</v>
      </c>
      <c r="G507">
        <f>INDEX(Question_Bank!$G$3:$G$14,MATCH(D507,Question_Bank!$A$3:$A$14,0))</f>
        <v>0</v>
      </c>
      <c r="H507">
        <f>IF(F507=G507,1,0)</f>
        <v>0</v>
      </c>
      <c r="I507">
        <f>H507*INDEX(Question_Bank!$M$3:$M$14,MATCH(D507,Question_Bank!$A$3:$A$14,0))</f>
        <v>0</v>
      </c>
      <c r="J507">
        <f>SUMIFS($I$3:$I$518,$A$3:$A$518,A507)</f>
        <v>0</v>
      </c>
      <c r="K507" s="5">
        <f>J507/SUM(Question_Bank!$M$3:$M$14)</f>
        <v>0</v>
      </c>
      <c r="L507" s="5">
        <f>SUMIFS($I$3:$I$518,$A$3:$A$518,A507,$E$3:$E$518,E507)/SUMIFS(Question_Bank!$M$3:$M$14,Question_Bank!$B$3:$B$14,E507)</f>
        <v>0</v>
      </c>
      <c r="M507" t="s">
        <v>156</v>
      </c>
    </row>
    <row r="508" spans="1:13">
      <c r="A508" t="s">
        <v>347</v>
      </c>
      <c r="B508" t="s">
        <v>263</v>
      </c>
      <c r="C508" t="s">
        <v>133</v>
      </c>
      <c r="D508" t="s">
        <v>26</v>
      </c>
      <c r="E508" t="s">
        <v>15</v>
      </c>
      <c r="F508" t="s">
        <v>31</v>
      </c>
      <c r="G508">
        <f>INDEX(Question_Bank!$G$3:$G$14,MATCH(D508,Question_Bank!$A$3:$A$14,0))</f>
        <v>0</v>
      </c>
      <c r="H508">
        <f>IF(F508=G508,1,0)</f>
        <v>0</v>
      </c>
      <c r="I508">
        <f>H508*INDEX(Question_Bank!$M$3:$M$14,MATCH(D508,Question_Bank!$A$3:$A$14,0))</f>
        <v>0</v>
      </c>
      <c r="J508">
        <f>SUMIFS($I$3:$I$518,$A$3:$A$518,A508)</f>
        <v>0</v>
      </c>
      <c r="K508" s="5">
        <f>J508/SUM(Question_Bank!$M$3:$M$14)</f>
        <v>0</v>
      </c>
      <c r="L508" s="5">
        <f>SUMIFS($I$3:$I$518,$A$3:$A$518,A508,$E$3:$E$518,E508)/SUMIFS(Question_Bank!$M$3:$M$14,Question_Bank!$B$3:$B$14,E508)</f>
        <v>0</v>
      </c>
      <c r="M508" t="s">
        <v>156</v>
      </c>
    </row>
    <row r="509" spans="1:13">
      <c r="A509" t="s">
        <v>347</v>
      </c>
      <c r="B509" t="s">
        <v>263</v>
      </c>
      <c r="C509" t="s">
        <v>133</v>
      </c>
      <c r="D509" t="s">
        <v>37</v>
      </c>
      <c r="E509" t="s">
        <v>15</v>
      </c>
      <c r="F509" t="s">
        <v>23</v>
      </c>
      <c r="G509">
        <f>INDEX(Question_Bank!$G$3:$G$14,MATCH(D509,Question_Bank!$A$3:$A$14,0))</f>
        <v>0</v>
      </c>
      <c r="H509">
        <f>IF(F509=G509,1,0)</f>
        <v>0</v>
      </c>
      <c r="I509">
        <f>H509*INDEX(Question_Bank!$M$3:$M$14,MATCH(D509,Question_Bank!$A$3:$A$14,0))</f>
        <v>0</v>
      </c>
      <c r="J509">
        <f>SUMIFS($I$3:$I$518,$A$3:$A$518,A509)</f>
        <v>0</v>
      </c>
      <c r="K509" s="5">
        <f>J509/SUM(Question_Bank!$M$3:$M$14)</f>
        <v>0</v>
      </c>
      <c r="L509" s="5">
        <f>SUMIFS($I$3:$I$518,$A$3:$A$518,A509,$E$3:$E$518,E509)/SUMIFS(Question_Bank!$M$3:$M$14,Question_Bank!$B$3:$B$14,E509)</f>
        <v>0</v>
      </c>
      <c r="M509" t="s">
        <v>156</v>
      </c>
    </row>
    <row r="510" spans="1:13">
      <c r="A510" t="s">
        <v>347</v>
      </c>
      <c r="B510" t="s">
        <v>263</v>
      </c>
      <c r="C510" t="s">
        <v>133</v>
      </c>
      <c r="D510" t="s">
        <v>45</v>
      </c>
      <c r="E510" t="s">
        <v>46</v>
      </c>
      <c r="F510" t="s">
        <v>23</v>
      </c>
      <c r="G510">
        <f>INDEX(Question_Bank!$G$3:$G$14,MATCH(D510,Question_Bank!$A$3:$A$14,0))</f>
        <v>0</v>
      </c>
      <c r="H510">
        <f>IF(F510=G510,1,0)</f>
        <v>0</v>
      </c>
      <c r="I510">
        <f>H510*INDEX(Question_Bank!$M$3:$M$14,MATCH(D510,Question_Bank!$A$3:$A$14,0))</f>
        <v>0</v>
      </c>
      <c r="J510">
        <f>SUMIFS($I$3:$I$518,$A$3:$A$518,A510)</f>
        <v>0</v>
      </c>
      <c r="K510" s="5">
        <f>J510/SUM(Question_Bank!$M$3:$M$14)</f>
        <v>0</v>
      </c>
      <c r="L510" s="5">
        <f>SUMIFS($I$3:$I$518,$A$3:$A$518,A510,$E$3:$E$518,E510)/SUMIFS(Question_Bank!$M$3:$M$14,Question_Bank!$B$3:$B$14,E510)</f>
        <v>0</v>
      </c>
      <c r="M510" t="s">
        <v>156</v>
      </c>
    </row>
    <row r="511" spans="1:13">
      <c r="A511" t="s">
        <v>347</v>
      </c>
      <c r="B511" t="s">
        <v>263</v>
      </c>
      <c r="C511" t="s">
        <v>133</v>
      </c>
      <c r="D511" t="s">
        <v>54</v>
      </c>
      <c r="E511" t="s">
        <v>46</v>
      </c>
      <c r="F511" t="s">
        <v>23</v>
      </c>
      <c r="G511">
        <f>INDEX(Question_Bank!$G$3:$G$14,MATCH(D511,Question_Bank!$A$3:$A$14,0))</f>
        <v>0</v>
      </c>
      <c r="H511">
        <f>IF(F511=G511,1,0)</f>
        <v>0</v>
      </c>
      <c r="I511">
        <f>H511*INDEX(Question_Bank!$M$3:$M$14,MATCH(D511,Question_Bank!$A$3:$A$14,0))</f>
        <v>0</v>
      </c>
      <c r="J511">
        <f>SUMIFS($I$3:$I$518,$A$3:$A$518,A511)</f>
        <v>0</v>
      </c>
      <c r="K511" s="5">
        <f>J511/SUM(Question_Bank!$M$3:$M$14)</f>
        <v>0</v>
      </c>
      <c r="L511" s="5">
        <f>SUMIFS($I$3:$I$518,$A$3:$A$518,A511,$E$3:$E$518,E511)/SUMIFS(Question_Bank!$M$3:$M$14,Question_Bank!$B$3:$B$14,E511)</f>
        <v>0</v>
      </c>
      <c r="M511" t="s">
        <v>156</v>
      </c>
    </row>
    <row r="512" spans="1:13">
      <c r="A512" t="s">
        <v>347</v>
      </c>
      <c r="B512" t="s">
        <v>263</v>
      </c>
      <c r="C512" t="s">
        <v>133</v>
      </c>
      <c r="D512" t="s">
        <v>62</v>
      </c>
      <c r="E512" t="s">
        <v>46</v>
      </c>
      <c r="F512" t="s">
        <v>31</v>
      </c>
      <c r="G512">
        <f>INDEX(Question_Bank!$G$3:$G$14,MATCH(D512,Question_Bank!$A$3:$A$14,0))</f>
        <v>0</v>
      </c>
      <c r="H512">
        <f>IF(F512=G512,1,0)</f>
        <v>0</v>
      </c>
      <c r="I512">
        <f>H512*INDEX(Question_Bank!$M$3:$M$14,MATCH(D512,Question_Bank!$A$3:$A$14,0))</f>
        <v>0</v>
      </c>
      <c r="J512">
        <f>SUMIFS($I$3:$I$518,$A$3:$A$518,A512)</f>
        <v>0</v>
      </c>
      <c r="K512" s="5">
        <f>J512/SUM(Question_Bank!$M$3:$M$14)</f>
        <v>0</v>
      </c>
      <c r="L512" s="5">
        <f>SUMIFS($I$3:$I$518,$A$3:$A$518,A512,$E$3:$E$518,E512)/SUMIFS(Question_Bank!$M$3:$M$14,Question_Bank!$B$3:$B$14,E512)</f>
        <v>0</v>
      </c>
      <c r="M512" t="s">
        <v>156</v>
      </c>
    </row>
    <row r="513" spans="1:13">
      <c r="A513" t="s">
        <v>347</v>
      </c>
      <c r="B513" t="s">
        <v>263</v>
      </c>
      <c r="C513" t="s">
        <v>133</v>
      </c>
      <c r="D513" t="s">
        <v>70</v>
      </c>
      <c r="E513" t="s">
        <v>71</v>
      </c>
      <c r="F513" t="s">
        <v>31</v>
      </c>
      <c r="G513">
        <f>INDEX(Question_Bank!$G$3:$G$14,MATCH(D513,Question_Bank!$A$3:$A$14,0))</f>
        <v>0</v>
      </c>
      <c r="H513">
        <f>IF(F513=G513,1,0)</f>
        <v>0</v>
      </c>
      <c r="I513">
        <f>H513*INDEX(Question_Bank!$M$3:$M$14,MATCH(D513,Question_Bank!$A$3:$A$14,0))</f>
        <v>0</v>
      </c>
      <c r="J513">
        <f>SUMIFS($I$3:$I$518,$A$3:$A$518,A513)</f>
        <v>0</v>
      </c>
      <c r="K513" s="5">
        <f>J513/SUM(Question_Bank!$M$3:$M$14)</f>
        <v>0</v>
      </c>
      <c r="L513" s="5">
        <f>SUMIFS($I$3:$I$518,$A$3:$A$518,A513,$E$3:$E$518,E513)/SUMIFS(Question_Bank!$M$3:$M$14,Question_Bank!$B$3:$B$14,E513)</f>
        <v>0</v>
      </c>
      <c r="M513" t="s">
        <v>156</v>
      </c>
    </row>
    <row r="514" spans="1:13">
      <c r="A514" t="s">
        <v>347</v>
      </c>
      <c r="B514" t="s">
        <v>263</v>
      </c>
      <c r="C514" t="s">
        <v>133</v>
      </c>
      <c r="D514" t="s">
        <v>79</v>
      </c>
      <c r="E514" t="s">
        <v>71</v>
      </c>
      <c r="F514" t="s">
        <v>23</v>
      </c>
      <c r="G514">
        <f>INDEX(Question_Bank!$G$3:$G$14,MATCH(D514,Question_Bank!$A$3:$A$14,0))</f>
        <v>0</v>
      </c>
      <c r="H514">
        <f>IF(F514=G514,1,0)</f>
        <v>0</v>
      </c>
      <c r="I514">
        <f>H514*INDEX(Question_Bank!$M$3:$M$14,MATCH(D514,Question_Bank!$A$3:$A$14,0))</f>
        <v>0</v>
      </c>
      <c r="J514">
        <f>SUMIFS($I$3:$I$518,$A$3:$A$518,A514)</f>
        <v>0</v>
      </c>
      <c r="K514" s="5">
        <f>J514/SUM(Question_Bank!$M$3:$M$14)</f>
        <v>0</v>
      </c>
      <c r="L514" s="5">
        <f>SUMIFS($I$3:$I$518,$A$3:$A$518,A514,$E$3:$E$518,E514)/SUMIFS(Question_Bank!$M$3:$M$14,Question_Bank!$B$3:$B$14,E514)</f>
        <v>0</v>
      </c>
      <c r="M514" t="s">
        <v>156</v>
      </c>
    </row>
    <row r="515" spans="1:13">
      <c r="A515" t="s">
        <v>347</v>
      </c>
      <c r="B515" t="s">
        <v>263</v>
      </c>
      <c r="C515" t="s">
        <v>133</v>
      </c>
      <c r="D515" t="s">
        <v>87</v>
      </c>
      <c r="E515" t="s">
        <v>71</v>
      </c>
      <c r="F515" t="s">
        <v>20</v>
      </c>
      <c r="G515">
        <f>INDEX(Question_Bank!$G$3:$G$14,MATCH(D515,Question_Bank!$A$3:$A$14,0))</f>
        <v>0</v>
      </c>
      <c r="H515">
        <f>IF(F515=G515,1,0)</f>
        <v>0</v>
      </c>
      <c r="I515">
        <f>H515*INDEX(Question_Bank!$M$3:$M$14,MATCH(D515,Question_Bank!$A$3:$A$14,0))</f>
        <v>0</v>
      </c>
      <c r="J515">
        <f>SUMIFS($I$3:$I$518,$A$3:$A$518,A515)</f>
        <v>0</v>
      </c>
      <c r="K515" s="5">
        <f>J515/SUM(Question_Bank!$M$3:$M$14)</f>
        <v>0</v>
      </c>
      <c r="L515" s="5">
        <f>SUMIFS($I$3:$I$518,$A$3:$A$518,A515,$E$3:$E$518,E515)/SUMIFS(Question_Bank!$M$3:$M$14,Question_Bank!$B$3:$B$14,E515)</f>
        <v>0</v>
      </c>
      <c r="M515" t="s">
        <v>156</v>
      </c>
    </row>
    <row r="516" spans="1:13">
      <c r="A516" t="s">
        <v>347</v>
      </c>
      <c r="B516" t="s">
        <v>263</v>
      </c>
      <c r="C516" t="s">
        <v>133</v>
      </c>
      <c r="D516" t="s">
        <v>95</v>
      </c>
      <c r="E516" t="s">
        <v>96</v>
      </c>
      <c r="F516" t="s">
        <v>20</v>
      </c>
      <c r="G516">
        <f>INDEX(Question_Bank!$G$3:$G$14,MATCH(D516,Question_Bank!$A$3:$A$14,0))</f>
        <v>0</v>
      </c>
      <c r="H516">
        <f>IF(F516=G516,1,0)</f>
        <v>0</v>
      </c>
      <c r="I516">
        <f>H516*INDEX(Question_Bank!$M$3:$M$14,MATCH(D516,Question_Bank!$A$3:$A$14,0))</f>
        <v>0</v>
      </c>
      <c r="J516">
        <f>SUMIFS($I$3:$I$518,$A$3:$A$518,A516)</f>
        <v>0</v>
      </c>
      <c r="K516" s="5">
        <f>J516/SUM(Question_Bank!$M$3:$M$14)</f>
        <v>0</v>
      </c>
      <c r="L516" s="5">
        <f>SUMIFS($I$3:$I$518,$A$3:$A$518,A516,$E$3:$E$518,E516)/SUMIFS(Question_Bank!$M$3:$M$14,Question_Bank!$B$3:$B$14,E516)</f>
        <v>0</v>
      </c>
      <c r="M516" t="s">
        <v>156</v>
      </c>
    </row>
    <row r="517" spans="1:13">
      <c r="A517" t="s">
        <v>347</v>
      </c>
      <c r="B517" t="s">
        <v>263</v>
      </c>
      <c r="C517" t="s">
        <v>133</v>
      </c>
      <c r="D517" t="s">
        <v>104</v>
      </c>
      <c r="E517" t="s">
        <v>96</v>
      </c>
      <c r="F517" t="s">
        <v>23</v>
      </c>
      <c r="G517">
        <f>INDEX(Question_Bank!$G$3:$G$14,MATCH(D517,Question_Bank!$A$3:$A$14,0))</f>
        <v>0</v>
      </c>
      <c r="H517">
        <f>IF(F517=G517,1,0)</f>
        <v>0</v>
      </c>
      <c r="I517">
        <f>H517*INDEX(Question_Bank!$M$3:$M$14,MATCH(D517,Question_Bank!$A$3:$A$14,0))</f>
        <v>0</v>
      </c>
      <c r="J517">
        <f>SUMIFS($I$3:$I$518,$A$3:$A$518,A517)</f>
        <v>0</v>
      </c>
      <c r="K517" s="5">
        <f>J517/SUM(Question_Bank!$M$3:$M$14)</f>
        <v>0</v>
      </c>
      <c r="L517" s="5">
        <f>SUMIFS($I$3:$I$518,$A$3:$A$518,A517,$E$3:$E$518,E517)/SUMIFS(Question_Bank!$M$3:$M$14,Question_Bank!$B$3:$B$14,E517)</f>
        <v>0</v>
      </c>
      <c r="M517" t="s">
        <v>156</v>
      </c>
    </row>
    <row r="518" spans="1:13">
      <c r="A518" t="s">
        <v>347</v>
      </c>
      <c r="B518" t="s">
        <v>263</v>
      </c>
      <c r="C518" t="s">
        <v>133</v>
      </c>
      <c r="D518" t="s">
        <v>112</v>
      </c>
      <c r="E518" t="s">
        <v>96</v>
      </c>
      <c r="F518" t="s">
        <v>31</v>
      </c>
      <c r="G518">
        <f>INDEX(Question_Bank!$G$3:$G$14,MATCH(D518,Question_Bank!$A$3:$A$14,0))</f>
        <v>0</v>
      </c>
      <c r="H518">
        <f>IF(F518=G518,1,0)</f>
        <v>0</v>
      </c>
      <c r="I518">
        <f>H518*INDEX(Question_Bank!$M$3:$M$14,MATCH(D518,Question_Bank!$A$3:$A$14,0))</f>
        <v>0</v>
      </c>
      <c r="J518">
        <f>SUMIFS($I$3:$I$518,$A$3:$A$518,A518)</f>
        <v>0</v>
      </c>
      <c r="K518" s="5">
        <f>J518/SUM(Question_Bank!$M$3:$M$14)</f>
        <v>0</v>
      </c>
      <c r="L518" s="5">
        <f>SUMIFS($I$3:$I$518,$A$3:$A$518,A518,$E$3:$E$518,E518)/SUMIFS(Question_Bank!$M$3:$M$14,Question_Bank!$B$3:$B$14,E518)</f>
        <v>0</v>
      </c>
      <c r="M518" t="s">
        <v>156</v>
      </c>
    </row>
  </sheetData>
  <autoFilter ref="A2:M518"/>
  <mergeCells count="1">
    <mergeCell ref="A1:M1"/>
  </mergeCells>
  <conditionalFormatting sqref="H3:H518">
    <cfRule type="cellIs" dxfId="0" priority="1" operator="equal">
      <formula>0</formula>
    </cfRule>
    <cfRule type="cellIs" dxfId="1" priority="2"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518"/>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5.7109375" customWidth="1"/>
    <col min="2" max="2" width="22.7109375" customWidth="1"/>
    <col min="3" max="3" width="16.7109375" customWidth="1"/>
    <col min="4" max="4" width="12.7109375" customWidth="1"/>
    <col min="5" max="5" width="24.7109375" customWidth="1"/>
    <col min="6" max="12" width="15.7109375" customWidth="1"/>
    <col min="13" max="13" width="22.7109375" customWidth="1"/>
  </cols>
  <sheetData>
    <row r="1" spans="1:13">
      <c r="A1" s="1" t="s">
        <v>0</v>
      </c>
      <c r="B1" s="1"/>
      <c r="C1" s="1"/>
      <c r="D1" s="1"/>
      <c r="E1" s="1"/>
      <c r="F1" s="1"/>
      <c r="G1" s="1"/>
      <c r="H1" s="1"/>
      <c r="I1" s="1"/>
      <c r="J1" s="1"/>
      <c r="K1" s="1"/>
      <c r="L1" s="1"/>
      <c r="M1" s="1"/>
    </row>
    <row r="2" spans="1:13">
      <c r="A2" s="4" t="s">
        <v>120</v>
      </c>
      <c r="B2" s="4" t="s">
        <v>121</v>
      </c>
      <c r="C2" s="4" t="s">
        <v>122</v>
      </c>
      <c r="D2" s="4" t="s">
        <v>1</v>
      </c>
      <c r="E2" s="4" t="s">
        <v>2</v>
      </c>
      <c r="F2" s="4" t="s">
        <v>123</v>
      </c>
      <c r="G2" s="4" t="s">
        <v>124</v>
      </c>
      <c r="H2" s="4" t="s">
        <v>125</v>
      </c>
      <c r="I2" s="4" t="s">
        <v>126</v>
      </c>
      <c r="J2" s="4" t="s">
        <v>127</v>
      </c>
      <c r="K2" s="4" t="s">
        <v>128</v>
      </c>
      <c r="L2" s="4" t="s">
        <v>129</v>
      </c>
      <c r="M2" s="4" t="s">
        <v>130</v>
      </c>
    </row>
    <row r="3" spans="1:13">
      <c r="A3" t="s">
        <v>262</v>
      </c>
      <c r="B3" t="s">
        <v>263</v>
      </c>
      <c r="C3" t="s">
        <v>227</v>
      </c>
      <c r="D3" t="s">
        <v>14</v>
      </c>
      <c r="E3" t="s">
        <v>15</v>
      </c>
      <c r="F3" t="s">
        <v>23</v>
      </c>
      <c r="G3">
        <f>INDEX(Question_Bank!$J$3:$J$14,MATCH(D3,Question_Bank!$A$3:$A$14,0))</f>
        <v>0</v>
      </c>
      <c r="H3">
        <f>IF(F3=G3,1,0)</f>
        <v>0</v>
      </c>
      <c r="I3">
        <f>H3*INDEX(Question_Bank!$M$3:$M$14,MATCH(D3,Question_Bank!$A$3:$A$14,0))</f>
        <v>0</v>
      </c>
      <c r="J3">
        <f>SUMIFS($I$3:$I$518,$A$3:$A$518,A3)</f>
        <v>0</v>
      </c>
      <c r="K3" s="5">
        <f>J3/SUM(Question_Bank!$M$3:$M$14)</f>
        <v>0</v>
      </c>
      <c r="L3" s="5">
        <f>SUMIFS($I$3:$I$518,$A$3:$A$518,A3,$E$3:$E$518,E3)/SUMIFS(Question_Bank!$M$3:$M$14,Question_Bank!$B$3:$B$14,E3)</f>
        <v>0</v>
      </c>
      <c r="M3" t="s">
        <v>264</v>
      </c>
    </row>
    <row r="4" spans="1:13">
      <c r="A4" t="s">
        <v>262</v>
      </c>
      <c r="B4" t="s">
        <v>263</v>
      </c>
      <c r="C4" t="s">
        <v>227</v>
      </c>
      <c r="D4" t="s">
        <v>26</v>
      </c>
      <c r="E4" t="s">
        <v>15</v>
      </c>
      <c r="F4" t="s">
        <v>34</v>
      </c>
      <c r="G4">
        <f>INDEX(Question_Bank!$J$3:$J$14,MATCH(D4,Question_Bank!$A$3:$A$14,0))</f>
        <v>0</v>
      </c>
      <c r="H4">
        <f>IF(F4=G4,1,0)</f>
        <v>0</v>
      </c>
      <c r="I4">
        <f>H4*INDEX(Question_Bank!$M$3:$M$14,MATCH(D4,Question_Bank!$A$3:$A$14,0))</f>
        <v>0</v>
      </c>
      <c r="J4">
        <f>SUMIFS($I$3:$I$518,$A$3:$A$518,A4)</f>
        <v>0</v>
      </c>
      <c r="K4" s="5">
        <f>J4/SUM(Question_Bank!$M$3:$M$14)</f>
        <v>0</v>
      </c>
      <c r="L4" s="5">
        <f>SUMIFS($I$3:$I$518,$A$3:$A$518,A4,$E$3:$E$518,E4)/SUMIFS(Question_Bank!$M$3:$M$14,Question_Bank!$B$3:$B$14,E4)</f>
        <v>0</v>
      </c>
      <c r="M4" t="s">
        <v>264</v>
      </c>
    </row>
    <row r="5" spans="1:13">
      <c r="A5" t="s">
        <v>262</v>
      </c>
      <c r="B5" t="s">
        <v>263</v>
      </c>
      <c r="C5" t="s">
        <v>227</v>
      </c>
      <c r="D5" t="s">
        <v>37</v>
      </c>
      <c r="E5" t="s">
        <v>15</v>
      </c>
      <c r="F5" t="s">
        <v>20</v>
      </c>
      <c r="G5">
        <f>INDEX(Question_Bank!$J$3:$J$14,MATCH(D5,Question_Bank!$A$3:$A$14,0))</f>
        <v>0</v>
      </c>
      <c r="H5">
        <f>IF(F5=G5,1,0)</f>
        <v>0</v>
      </c>
      <c r="I5">
        <f>H5*INDEX(Question_Bank!$M$3:$M$14,MATCH(D5,Question_Bank!$A$3:$A$14,0))</f>
        <v>0</v>
      </c>
      <c r="J5">
        <f>SUMIFS($I$3:$I$518,$A$3:$A$518,A5)</f>
        <v>0</v>
      </c>
      <c r="K5" s="5">
        <f>J5/SUM(Question_Bank!$M$3:$M$14)</f>
        <v>0</v>
      </c>
      <c r="L5" s="5">
        <f>SUMIFS($I$3:$I$518,$A$3:$A$518,A5,$E$3:$E$518,E5)/SUMIFS(Question_Bank!$M$3:$M$14,Question_Bank!$B$3:$B$14,E5)</f>
        <v>0</v>
      </c>
      <c r="M5" t="s">
        <v>264</v>
      </c>
    </row>
    <row r="6" spans="1:13">
      <c r="A6" t="s">
        <v>262</v>
      </c>
      <c r="B6" t="s">
        <v>263</v>
      </c>
      <c r="C6" t="s">
        <v>227</v>
      </c>
      <c r="D6" t="s">
        <v>45</v>
      </c>
      <c r="E6" t="s">
        <v>46</v>
      </c>
      <c r="F6" t="s">
        <v>31</v>
      </c>
      <c r="G6">
        <f>INDEX(Question_Bank!$J$3:$J$14,MATCH(D6,Question_Bank!$A$3:$A$14,0))</f>
        <v>0</v>
      </c>
      <c r="H6">
        <f>IF(F6=G6,1,0)</f>
        <v>0</v>
      </c>
      <c r="I6">
        <f>H6*INDEX(Question_Bank!$M$3:$M$14,MATCH(D6,Question_Bank!$A$3:$A$14,0))</f>
        <v>0</v>
      </c>
      <c r="J6">
        <f>SUMIFS($I$3:$I$518,$A$3:$A$518,A6)</f>
        <v>0</v>
      </c>
      <c r="K6" s="5">
        <f>J6/SUM(Question_Bank!$M$3:$M$14)</f>
        <v>0</v>
      </c>
      <c r="L6" s="5">
        <f>SUMIFS($I$3:$I$518,$A$3:$A$518,A6,$E$3:$E$518,E6)/SUMIFS(Question_Bank!$M$3:$M$14,Question_Bank!$B$3:$B$14,E6)</f>
        <v>0</v>
      </c>
      <c r="M6" t="s">
        <v>264</v>
      </c>
    </row>
    <row r="7" spans="1:13">
      <c r="A7" t="s">
        <v>262</v>
      </c>
      <c r="B7" t="s">
        <v>263</v>
      </c>
      <c r="C7" t="s">
        <v>227</v>
      </c>
      <c r="D7" t="s">
        <v>54</v>
      </c>
      <c r="E7" t="s">
        <v>46</v>
      </c>
      <c r="F7" t="s">
        <v>23</v>
      </c>
      <c r="G7">
        <f>INDEX(Question_Bank!$J$3:$J$14,MATCH(D7,Question_Bank!$A$3:$A$14,0))</f>
        <v>0</v>
      </c>
      <c r="H7">
        <f>IF(F7=G7,1,0)</f>
        <v>0</v>
      </c>
      <c r="I7">
        <f>H7*INDEX(Question_Bank!$M$3:$M$14,MATCH(D7,Question_Bank!$A$3:$A$14,0))</f>
        <v>0</v>
      </c>
      <c r="J7">
        <f>SUMIFS($I$3:$I$518,$A$3:$A$518,A7)</f>
        <v>0</v>
      </c>
      <c r="K7" s="5">
        <f>J7/SUM(Question_Bank!$M$3:$M$14)</f>
        <v>0</v>
      </c>
      <c r="L7" s="5">
        <f>SUMIFS($I$3:$I$518,$A$3:$A$518,A7,$E$3:$E$518,E7)/SUMIFS(Question_Bank!$M$3:$M$14,Question_Bank!$B$3:$B$14,E7)</f>
        <v>0</v>
      </c>
      <c r="M7" t="s">
        <v>264</v>
      </c>
    </row>
    <row r="8" spans="1:13">
      <c r="A8" t="s">
        <v>262</v>
      </c>
      <c r="B8" t="s">
        <v>263</v>
      </c>
      <c r="C8" t="s">
        <v>227</v>
      </c>
      <c r="D8" t="s">
        <v>62</v>
      </c>
      <c r="E8" t="s">
        <v>46</v>
      </c>
      <c r="F8" t="s">
        <v>34</v>
      </c>
      <c r="G8">
        <f>INDEX(Question_Bank!$J$3:$J$14,MATCH(D8,Question_Bank!$A$3:$A$14,0))</f>
        <v>0</v>
      </c>
      <c r="H8">
        <f>IF(F8=G8,1,0)</f>
        <v>0</v>
      </c>
      <c r="I8">
        <f>H8*INDEX(Question_Bank!$M$3:$M$14,MATCH(D8,Question_Bank!$A$3:$A$14,0))</f>
        <v>0</v>
      </c>
      <c r="J8">
        <f>SUMIFS($I$3:$I$518,$A$3:$A$518,A8)</f>
        <v>0</v>
      </c>
      <c r="K8" s="5">
        <f>J8/SUM(Question_Bank!$M$3:$M$14)</f>
        <v>0</v>
      </c>
      <c r="L8" s="5">
        <f>SUMIFS($I$3:$I$518,$A$3:$A$518,A8,$E$3:$E$518,E8)/SUMIFS(Question_Bank!$M$3:$M$14,Question_Bank!$B$3:$B$14,E8)</f>
        <v>0</v>
      </c>
      <c r="M8" t="s">
        <v>264</v>
      </c>
    </row>
    <row r="9" spans="1:13">
      <c r="A9" t="s">
        <v>262</v>
      </c>
      <c r="B9" t="s">
        <v>263</v>
      </c>
      <c r="C9" t="s">
        <v>227</v>
      </c>
      <c r="D9" t="s">
        <v>70</v>
      </c>
      <c r="E9" t="s">
        <v>71</v>
      </c>
      <c r="F9" t="s">
        <v>20</v>
      </c>
      <c r="G9">
        <f>INDEX(Question_Bank!$J$3:$J$14,MATCH(D9,Question_Bank!$A$3:$A$14,0))</f>
        <v>0</v>
      </c>
      <c r="H9">
        <f>IF(F9=G9,1,0)</f>
        <v>0</v>
      </c>
      <c r="I9">
        <f>H9*INDEX(Question_Bank!$M$3:$M$14,MATCH(D9,Question_Bank!$A$3:$A$14,0))</f>
        <v>0</v>
      </c>
      <c r="J9">
        <f>SUMIFS($I$3:$I$518,$A$3:$A$518,A9)</f>
        <v>0</v>
      </c>
      <c r="K9" s="5">
        <f>J9/SUM(Question_Bank!$M$3:$M$14)</f>
        <v>0</v>
      </c>
      <c r="L9" s="5">
        <f>SUMIFS($I$3:$I$518,$A$3:$A$518,A9,$E$3:$E$518,E9)/SUMIFS(Question_Bank!$M$3:$M$14,Question_Bank!$B$3:$B$14,E9)</f>
        <v>0</v>
      </c>
      <c r="M9" t="s">
        <v>264</v>
      </c>
    </row>
    <row r="10" spans="1:13">
      <c r="A10" t="s">
        <v>262</v>
      </c>
      <c r="B10" t="s">
        <v>263</v>
      </c>
      <c r="C10" t="s">
        <v>227</v>
      </c>
      <c r="D10" t="s">
        <v>79</v>
      </c>
      <c r="E10" t="s">
        <v>71</v>
      </c>
      <c r="F10" t="s">
        <v>20</v>
      </c>
      <c r="G10">
        <f>INDEX(Question_Bank!$J$3:$J$14,MATCH(D10,Question_Bank!$A$3:$A$14,0))</f>
        <v>0</v>
      </c>
      <c r="H10">
        <f>IF(F10=G10,1,0)</f>
        <v>0</v>
      </c>
      <c r="I10">
        <f>H10*INDEX(Question_Bank!$M$3:$M$14,MATCH(D10,Question_Bank!$A$3:$A$14,0))</f>
        <v>0</v>
      </c>
      <c r="J10">
        <f>SUMIFS($I$3:$I$518,$A$3:$A$518,A10)</f>
        <v>0</v>
      </c>
      <c r="K10" s="5">
        <f>J10/SUM(Question_Bank!$M$3:$M$14)</f>
        <v>0</v>
      </c>
      <c r="L10" s="5">
        <f>SUMIFS($I$3:$I$518,$A$3:$A$518,A10,$E$3:$E$518,E10)/SUMIFS(Question_Bank!$M$3:$M$14,Question_Bank!$B$3:$B$14,E10)</f>
        <v>0</v>
      </c>
      <c r="M10" t="s">
        <v>264</v>
      </c>
    </row>
    <row r="11" spans="1:13">
      <c r="A11" t="s">
        <v>262</v>
      </c>
      <c r="B11" t="s">
        <v>263</v>
      </c>
      <c r="C11" t="s">
        <v>227</v>
      </c>
      <c r="D11" t="s">
        <v>87</v>
      </c>
      <c r="E11" t="s">
        <v>71</v>
      </c>
      <c r="F11" t="s">
        <v>23</v>
      </c>
      <c r="G11">
        <f>INDEX(Question_Bank!$J$3:$J$14,MATCH(D11,Question_Bank!$A$3:$A$14,0))</f>
        <v>0</v>
      </c>
      <c r="H11">
        <f>IF(F11=G11,1,0)</f>
        <v>0</v>
      </c>
      <c r="I11">
        <f>H11*INDEX(Question_Bank!$M$3:$M$14,MATCH(D11,Question_Bank!$A$3:$A$14,0))</f>
        <v>0</v>
      </c>
      <c r="J11">
        <f>SUMIFS($I$3:$I$518,$A$3:$A$518,A11)</f>
        <v>0</v>
      </c>
      <c r="K11" s="5">
        <f>J11/SUM(Question_Bank!$M$3:$M$14)</f>
        <v>0</v>
      </c>
      <c r="L11" s="5">
        <f>SUMIFS($I$3:$I$518,$A$3:$A$518,A11,$E$3:$E$518,E11)/SUMIFS(Question_Bank!$M$3:$M$14,Question_Bank!$B$3:$B$14,E11)</f>
        <v>0</v>
      </c>
      <c r="M11" t="s">
        <v>264</v>
      </c>
    </row>
    <row r="12" spans="1:13">
      <c r="A12" t="s">
        <v>262</v>
      </c>
      <c r="B12" t="s">
        <v>263</v>
      </c>
      <c r="C12" t="s">
        <v>227</v>
      </c>
      <c r="D12" t="s">
        <v>95</v>
      </c>
      <c r="E12" t="s">
        <v>96</v>
      </c>
      <c r="F12" t="s">
        <v>34</v>
      </c>
      <c r="G12">
        <f>INDEX(Question_Bank!$J$3:$J$14,MATCH(D12,Question_Bank!$A$3:$A$14,0))</f>
        <v>0</v>
      </c>
      <c r="H12">
        <f>IF(F12=G12,1,0)</f>
        <v>0</v>
      </c>
      <c r="I12">
        <f>H12*INDEX(Question_Bank!$M$3:$M$14,MATCH(D12,Question_Bank!$A$3:$A$14,0))</f>
        <v>0</v>
      </c>
      <c r="J12">
        <f>SUMIFS($I$3:$I$518,$A$3:$A$518,A12)</f>
        <v>0</v>
      </c>
      <c r="K12" s="5">
        <f>J12/SUM(Question_Bank!$M$3:$M$14)</f>
        <v>0</v>
      </c>
      <c r="L12" s="5">
        <f>SUMIFS($I$3:$I$518,$A$3:$A$518,A12,$E$3:$E$518,E12)/SUMIFS(Question_Bank!$M$3:$M$14,Question_Bank!$B$3:$B$14,E12)</f>
        <v>0</v>
      </c>
      <c r="M12" t="s">
        <v>264</v>
      </c>
    </row>
    <row r="13" spans="1:13">
      <c r="A13" t="s">
        <v>262</v>
      </c>
      <c r="B13" t="s">
        <v>263</v>
      </c>
      <c r="C13" t="s">
        <v>227</v>
      </c>
      <c r="D13" t="s">
        <v>104</v>
      </c>
      <c r="E13" t="s">
        <v>96</v>
      </c>
      <c r="F13" t="s">
        <v>20</v>
      </c>
      <c r="G13">
        <f>INDEX(Question_Bank!$J$3:$J$14,MATCH(D13,Question_Bank!$A$3:$A$14,0))</f>
        <v>0</v>
      </c>
      <c r="H13">
        <f>IF(F13=G13,1,0)</f>
        <v>0</v>
      </c>
      <c r="I13">
        <f>H13*INDEX(Question_Bank!$M$3:$M$14,MATCH(D13,Question_Bank!$A$3:$A$14,0))</f>
        <v>0</v>
      </c>
      <c r="J13">
        <f>SUMIFS($I$3:$I$518,$A$3:$A$518,A13)</f>
        <v>0</v>
      </c>
      <c r="K13" s="5">
        <f>J13/SUM(Question_Bank!$M$3:$M$14)</f>
        <v>0</v>
      </c>
      <c r="L13" s="5">
        <f>SUMIFS($I$3:$I$518,$A$3:$A$518,A13,$E$3:$E$518,E13)/SUMIFS(Question_Bank!$M$3:$M$14,Question_Bank!$B$3:$B$14,E13)</f>
        <v>0</v>
      </c>
      <c r="M13" t="s">
        <v>264</v>
      </c>
    </row>
    <row r="14" spans="1:13">
      <c r="A14" t="s">
        <v>262</v>
      </c>
      <c r="B14" t="s">
        <v>263</v>
      </c>
      <c r="C14" t="s">
        <v>227</v>
      </c>
      <c r="D14" t="s">
        <v>112</v>
      </c>
      <c r="E14" t="s">
        <v>96</v>
      </c>
      <c r="F14" t="s">
        <v>20</v>
      </c>
      <c r="G14">
        <f>INDEX(Question_Bank!$J$3:$J$14,MATCH(D14,Question_Bank!$A$3:$A$14,0))</f>
        <v>0</v>
      </c>
      <c r="H14">
        <f>IF(F14=G14,1,0)</f>
        <v>0</v>
      </c>
      <c r="I14">
        <f>H14*INDEX(Question_Bank!$M$3:$M$14,MATCH(D14,Question_Bank!$A$3:$A$14,0))</f>
        <v>0</v>
      </c>
      <c r="J14">
        <f>SUMIFS($I$3:$I$518,$A$3:$A$518,A14)</f>
        <v>0</v>
      </c>
      <c r="K14" s="5">
        <f>J14/SUM(Question_Bank!$M$3:$M$14)</f>
        <v>0</v>
      </c>
      <c r="L14" s="5">
        <f>SUMIFS($I$3:$I$518,$A$3:$A$518,A14,$E$3:$E$518,E14)/SUMIFS(Question_Bank!$M$3:$M$14,Question_Bank!$B$3:$B$14,E14)</f>
        <v>0</v>
      </c>
      <c r="M14" t="s">
        <v>264</v>
      </c>
    </row>
    <row r="15" spans="1:13">
      <c r="A15" t="s">
        <v>265</v>
      </c>
      <c r="B15" t="s">
        <v>263</v>
      </c>
      <c r="C15" t="s">
        <v>227</v>
      </c>
      <c r="D15" t="s">
        <v>14</v>
      </c>
      <c r="E15" t="s">
        <v>15</v>
      </c>
      <c r="F15" t="s">
        <v>23</v>
      </c>
      <c r="G15">
        <f>INDEX(Question_Bank!$J$3:$J$14,MATCH(D15,Question_Bank!$A$3:$A$14,0))</f>
        <v>0</v>
      </c>
      <c r="H15">
        <f>IF(F15=G15,1,0)</f>
        <v>0</v>
      </c>
      <c r="I15">
        <f>H15*INDEX(Question_Bank!$M$3:$M$14,MATCH(D15,Question_Bank!$A$3:$A$14,0))</f>
        <v>0</v>
      </c>
      <c r="J15">
        <f>SUMIFS($I$3:$I$518,$A$3:$A$518,A15)</f>
        <v>0</v>
      </c>
      <c r="K15" s="5">
        <f>J15/SUM(Question_Bank!$M$3:$M$14)</f>
        <v>0</v>
      </c>
      <c r="L15" s="5">
        <f>SUMIFS($I$3:$I$518,$A$3:$A$518,A15,$E$3:$E$518,E15)/SUMIFS(Question_Bank!$M$3:$M$14,Question_Bank!$B$3:$B$14,E15)</f>
        <v>0</v>
      </c>
      <c r="M15" t="s">
        <v>266</v>
      </c>
    </row>
    <row r="16" spans="1:13">
      <c r="A16" t="s">
        <v>265</v>
      </c>
      <c r="B16" t="s">
        <v>263</v>
      </c>
      <c r="C16" t="s">
        <v>227</v>
      </c>
      <c r="D16" t="s">
        <v>26</v>
      </c>
      <c r="E16" t="s">
        <v>15</v>
      </c>
      <c r="F16" t="s">
        <v>34</v>
      </c>
      <c r="G16">
        <f>INDEX(Question_Bank!$J$3:$J$14,MATCH(D16,Question_Bank!$A$3:$A$14,0))</f>
        <v>0</v>
      </c>
      <c r="H16">
        <f>IF(F16=G16,1,0)</f>
        <v>0</v>
      </c>
      <c r="I16">
        <f>H16*INDEX(Question_Bank!$M$3:$M$14,MATCH(D16,Question_Bank!$A$3:$A$14,0))</f>
        <v>0</v>
      </c>
      <c r="J16">
        <f>SUMIFS($I$3:$I$518,$A$3:$A$518,A16)</f>
        <v>0</v>
      </c>
      <c r="K16" s="5">
        <f>J16/SUM(Question_Bank!$M$3:$M$14)</f>
        <v>0</v>
      </c>
      <c r="L16" s="5">
        <f>SUMIFS($I$3:$I$518,$A$3:$A$518,A16,$E$3:$E$518,E16)/SUMIFS(Question_Bank!$M$3:$M$14,Question_Bank!$B$3:$B$14,E16)</f>
        <v>0</v>
      </c>
      <c r="M16" t="s">
        <v>266</v>
      </c>
    </row>
    <row r="17" spans="1:13">
      <c r="A17" t="s">
        <v>265</v>
      </c>
      <c r="B17" t="s">
        <v>263</v>
      </c>
      <c r="C17" t="s">
        <v>227</v>
      </c>
      <c r="D17" t="s">
        <v>37</v>
      </c>
      <c r="E17" t="s">
        <v>15</v>
      </c>
      <c r="F17" t="s">
        <v>20</v>
      </c>
      <c r="G17">
        <f>INDEX(Question_Bank!$J$3:$J$14,MATCH(D17,Question_Bank!$A$3:$A$14,0))</f>
        <v>0</v>
      </c>
      <c r="H17">
        <f>IF(F17=G17,1,0)</f>
        <v>0</v>
      </c>
      <c r="I17">
        <f>H17*INDEX(Question_Bank!$M$3:$M$14,MATCH(D17,Question_Bank!$A$3:$A$14,0))</f>
        <v>0</v>
      </c>
      <c r="J17">
        <f>SUMIFS($I$3:$I$518,$A$3:$A$518,A17)</f>
        <v>0</v>
      </c>
      <c r="K17" s="5">
        <f>J17/SUM(Question_Bank!$M$3:$M$14)</f>
        <v>0</v>
      </c>
      <c r="L17" s="5">
        <f>SUMIFS($I$3:$I$518,$A$3:$A$518,A17,$E$3:$E$518,E17)/SUMIFS(Question_Bank!$M$3:$M$14,Question_Bank!$B$3:$B$14,E17)</f>
        <v>0</v>
      </c>
      <c r="M17" t="s">
        <v>266</v>
      </c>
    </row>
    <row r="18" spans="1:13">
      <c r="A18" t="s">
        <v>265</v>
      </c>
      <c r="B18" t="s">
        <v>263</v>
      </c>
      <c r="C18" t="s">
        <v>227</v>
      </c>
      <c r="D18" t="s">
        <v>45</v>
      </c>
      <c r="E18" t="s">
        <v>46</v>
      </c>
      <c r="F18" t="s">
        <v>31</v>
      </c>
      <c r="G18">
        <f>INDEX(Question_Bank!$J$3:$J$14,MATCH(D18,Question_Bank!$A$3:$A$14,0))</f>
        <v>0</v>
      </c>
      <c r="H18">
        <f>IF(F18=G18,1,0)</f>
        <v>0</v>
      </c>
      <c r="I18">
        <f>H18*INDEX(Question_Bank!$M$3:$M$14,MATCH(D18,Question_Bank!$A$3:$A$14,0))</f>
        <v>0</v>
      </c>
      <c r="J18">
        <f>SUMIFS($I$3:$I$518,$A$3:$A$518,A18)</f>
        <v>0</v>
      </c>
      <c r="K18" s="5">
        <f>J18/SUM(Question_Bank!$M$3:$M$14)</f>
        <v>0</v>
      </c>
      <c r="L18" s="5">
        <f>SUMIFS($I$3:$I$518,$A$3:$A$518,A18,$E$3:$E$518,E18)/SUMIFS(Question_Bank!$M$3:$M$14,Question_Bank!$B$3:$B$14,E18)</f>
        <v>0</v>
      </c>
      <c r="M18" t="s">
        <v>266</v>
      </c>
    </row>
    <row r="19" spans="1:13">
      <c r="A19" t="s">
        <v>265</v>
      </c>
      <c r="B19" t="s">
        <v>263</v>
      </c>
      <c r="C19" t="s">
        <v>227</v>
      </c>
      <c r="D19" t="s">
        <v>54</v>
      </c>
      <c r="E19" t="s">
        <v>46</v>
      </c>
      <c r="F19" t="s">
        <v>20</v>
      </c>
      <c r="G19">
        <f>INDEX(Question_Bank!$J$3:$J$14,MATCH(D19,Question_Bank!$A$3:$A$14,0))</f>
        <v>0</v>
      </c>
      <c r="H19">
        <f>IF(F19=G19,1,0)</f>
        <v>0</v>
      </c>
      <c r="I19">
        <f>H19*INDEX(Question_Bank!$M$3:$M$14,MATCH(D19,Question_Bank!$A$3:$A$14,0))</f>
        <v>0</v>
      </c>
      <c r="J19">
        <f>SUMIFS($I$3:$I$518,$A$3:$A$518,A19)</f>
        <v>0</v>
      </c>
      <c r="K19" s="5">
        <f>J19/SUM(Question_Bank!$M$3:$M$14)</f>
        <v>0</v>
      </c>
      <c r="L19" s="5">
        <f>SUMIFS($I$3:$I$518,$A$3:$A$518,A19,$E$3:$E$518,E19)/SUMIFS(Question_Bank!$M$3:$M$14,Question_Bank!$B$3:$B$14,E19)</f>
        <v>0</v>
      </c>
      <c r="M19" t="s">
        <v>266</v>
      </c>
    </row>
    <row r="20" spans="1:13">
      <c r="A20" t="s">
        <v>265</v>
      </c>
      <c r="B20" t="s">
        <v>263</v>
      </c>
      <c r="C20" t="s">
        <v>227</v>
      </c>
      <c r="D20" t="s">
        <v>62</v>
      </c>
      <c r="E20" t="s">
        <v>46</v>
      </c>
      <c r="F20" t="s">
        <v>34</v>
      </c>
      <c r="G20">
        <f>INDEX(Question_Bank!$J$3:$J$14,MATCH(D20,Question_Bank!$A$3:$A$14,0))</f>
        <v>0</v>
      </c>
      <c r="H20">
        <f>IF(F20=G20,1,0)</f>
        <v>0</v>
      </c>
      <c r="I20">
        <f>H20*INDEX(Question_Bank!$M$3:$M$14,MATCH(D20,Question_Bank!$A$3:$A$14,0))</f>
        <v>0</v>
      </c>
      <c r="J20">
        <f>SUMIFS($I$3:$I$518,$A$3:$A$518,A20)</f>
        <v>0</v>
      </c>
      <c r="K20" s="5">
        <f>J20/SUM(Question_Bank!$M$3:$M$14)</f>
        <v>0</v>
      </c>
      <c r="L20" s="5">
        <f>SUMIFS($I$3:$I$518,$A$3:$A$518,A20,$E$3:$E$518,E20)/SUMIFS(Question_Bank!$M$3:$M$14,Question_Bank!$B$3:$B$14,E20)</f>
        <v>0</v>
      </c>
      <c r="M20" t="s">
        <v>266</v>
      </c>
    </row>
    <row r="21" spans="1:13">
      <c r="A21" t="s">
        <v>265</v>
      </c>
      <c r="B21" t="s">
        <v>263</v>
      </c>
      <c r="C21" t="s">
        <v>227</v>
      </c>
      <c r="D21" t="s">
        <v>70</v>
      </c>
      <c r="E21" t="s">
        <v>71</v>
      </c>
      <c r="F21" t="s">
        <v>20</v>
      </c>
      <c r="G21">
        <f>INDEX(Question_Bank!$J$3:$J$14,MATCH(D21,Question_Bank!$A$3:$A$14,0))</f>
        <v>0</v>
      </c>
      <c r="H21">
        <f>IF(F21=G21,1,0)</f>
        <v>0</v>
      </c>
      <c r="I21">
        <f>H21*INDEX(Question_Bank!$M$3:$M$14,MATCH(D21,Question_Bank!$A$3:$A$14,0))</f>
        <v>0</v>
      </c>
      <c r="J21">
        <f>SUMIFS($I$3:$I$518,$A$3:$A$518,A21)</f>
        <v>0</v>
      </c>
      <c r="K21" s="5">
        <f>J21/SUM(Question_Bank!$M$3:$M$14)</f>
        <v>0</v>
      </c>
      <c r="L21" s="5">
        <f>SUMIFS($I$3:$I$518,$A$3:$A$518,A21,$E$3:$E$518,E21)/SUMIFS(Question_Bank!$M$3:$M$14,Question_Bank!$B$3:$B$14,E21)</f>
        <v>0</v>
      </c>
      <c r="M21" t="s">
        <v>266</v>
      </c>
    </row>
    <row r="22" spans="1:13">
      <c r="A22" t="s">
        <v>265</v>
      </c>
      <c r="B22" t="s">
        <v>263</v>
      </c>
      <c r="C22" t="s">
        <v>227</v>
      </c>
      <c r="D22" t="s">
        <v>79</v>
      </c>
      <c r="E22" t="s">
        <v>71</v>
      </c>
      <c r="F22" t="s">
        <v>31</v>
      </c>
      <c r="G22">
        <f>INDEX(Question_Bank!$J$3:$J$14,MATCH(D22,Question_Bank!$A$3:$A$14,0))</f>
        <v>0</v>
      </c>
      <c r="H22">
        <f>IF(F22=G22,1,0)</f>
        <v>0</v>
      </c>
      <c r="I22">
        <f>H22*INDEX(Question_Bank!$M$3:$M$14,MATCH(D22,Question_Bank!$A$3:$A$14,0))</f>
        <v>0</v>
      </c>
      <c r="J22">
        <f>SUMIFS($I$3:$I$518,$A$3:$A$518,A22)</f>
        <v>0</v>
      </c>
      <c r="K22" s="5">
        <f>J22/SUM(Question_Bank!$M$3:$M$14)</f>
        <v>0</v>
      </c>
      <c r="L22" s="5">
        <f>SUMIFS($I$3:$I$518,$A$3:$A$518,A22,$E$3:$E$518,E22)/SUMIFS(Question_Bank!$M$3:$M$14,Question_Bank!$B$3:$B$14,E22)</f>
        <v>0</v>
      </c>
      <c r="M22" t="s">
        <v>266</v>
      </c>
    </row>
    <row r="23" spans="1:13">
      <c r="A23" t="s">
        <v>265</v>
      </c>
      <c r="B23" t="s">
        <v>263</v>
      </c>
      <c r="C23" t="s">
        <v>227</v>
      </c>
      <c r="D23" t="s">
        <v>87</v>
      </c>
      <c r="E23" t="s">
        <v>71</v>
      </c>
      <c r="F23" t="s">
        <v>23</v>
      </c>
      <c r="G23">
        <f>INDEX(Question_Bank!$J$3:$J$14,MATCH(D23,Question_Bank!$A$3:$A$14,0))</f>
        <v>0</v>
      </c>
      <c r="H23">
        <f>IF(F23=G23,1,0)</f>
        <v>0</v>
      </c>
      <c r="I23">
        <f>H23*INDEX(Question_Bank!$M$3:$M$14,MATCH(D23,Question_Bank!$A$3:$A$14,0))</f>
        <v>0</v>
      </c>
      <c r="J23">
        <f>SUMIFS($I$3:$I$518,$A$3:$A$518,A23)</f>
        <v>0</v>
      </c>
      <c r="K23" s="5">
        <f>J23/SUM(Question_Bank!$M$3:$M$14)</f>
        <v>0</v>
      </c>
      <c r="L23" s="5">
        <f>SUMIFS($I$3:$I$518,$A$3:$A$518,A23,$E$3:$E$518,E23)/SUMIFS(Question_Bank!$M$3:$M$14,Question_Bank!$B$3:$B$14,E23)</f>
        <v>0</v>
      </c>
      <c r="M23" t="s">
        <v>266</v>
      </c>
    </row>
    <row r="24" spans="1:13">
      <c r="A24" t="s">
        <v>265</v>
      </c>
      <c r="B24" t="s">
        <v>263</v>
      </c>
      <c r="C24" t="s">
        <v>227</v>
      </c>
      <c r="D24" t="s">
        <v>95</v>
      </c>
      <c r="E24" t="s">
        <v>96</v>
      </c>
      <c r="F24" t="s">
        <v>34</v>
      </c>
      <c r="G24">
        <f>INDEX(Question_Bank!$J$3:$J$14,MATCH(D24,Question_Bank!$A$3:$A$14,0))</f>
        <v>0</v>
      </c>
      <c r="H24">
        <f>IF(F24=G24,1,0)</f>
        <v>0</v>
      </c>
      <c r="I24">
        <f>H24*INDEX(Question_Bank!$M$3:$M$14,MATCH(D24,Question_Bank!$A$3:$A$14,0))</f>
        <v>0</v>
      </c>
      <c r="J24">
        <f>SUMIFS($I$3:$I$518,$A$3:$A$518,A24)</f>
        <v>0</v>
      </c>
      <c r="K24" s="5">
        <f>J24/SUM(Question_Bank!$M$3:$M$14)</f>
        <v>0</v>
      </c>
      <c r="L24" s="5">
        <f>SUMIFS($I$3:$I$518,$A$3:$A$518,A24,$E$3:$E$518,E24)/SUMIFS(Question_Bank!$M$3:$M$14,Question_Bank!$B$3:$B$14,E24)</f>
        <v>0</v>
      </c>
      <c r="M24" t="s">
        <v>266</v>
      </c>
    </row>
    <row r="25" spans="1:13">
      <c r="A25" t="s">
        <v>265</v>
      </c>
      <c r="B25" t="s">
        <v>263</v>
      </c>
      <c r="C25" t="s">
        <v>227</v>
      </c>
      <c r="D25" t="s">
        <v>104</v>
      </c>
      <c r="E25" t="s">
        <v>96</v>
      </c>
      <c r="F25" t="s">
        <v>20</v>
      </c>
      <c r="G25">
        <f>INDEX(Question_Bank!$J$3:$J$14,MATCH(D25,Question_Bank!$A$3:$A$14,0))</f>
        <v>0</v>
      </c>
      <c r="H25">
        <f>IF(F25=G25,1,0)</f>
        <v>0</v>
      </c>
      <c r="I25">
        <f>H25*INDEX(Question_Bank!$M$3:$M$14,MATCH(D25,Question_Bank!$A$3:$A$14,0))</f>
        <v>0</v>
      </c>
      <c r="J25">
        <f>SUMIFS($I$3:$I$518,$A$3:$A$518,A25)</f>
        <v>0</v>
      </c>
      <c r="K25" s="5">
        <f>J25/SUM(Question_Bank!$M$3:$M$14)</f>
        <v>0</v>
      </c>
      <c r="L25" s="5">
        <f>SUMIFS($I$3:$I$518,$A$3:$A$518,A25,$E$3:$E$518,E25)/SUMIFS(Question_Bank!$M$3:$M$14,Question_Bank!$B$3:$B$14,E25)</f>
        <v>0</v>
      </c>
      <c r="M25" t="s">
        <v>266</v>
      </c>
    </row>
    <row r="26" spans="1:13">
      <c r="A26" t="s">
        <v>265</v>
      </c>
      <c r="B26" t="s">
        <v>263</v>
      </c>
      <c r="C26" t="s">
        <v>227</v>
      </c>
      <c r="D26" t="s">
        <v>112</v>
      </c>
      <c r="E26" t="s">
        <v>96</v>
      </c>
      <c r="F26" t="s">
        <v>31</v>
      </c>
      <c r="G26">
        <f>INDEX(Question_Bank!$J$3:$J$14,MATCH(D26,Question_Bank!$A$3:$A$14,0))</f>
        <v>0</v>
      </c>
      <c r="H26">
        <f>IF(F26=G26,1,0)</f>
        <v>0</v>
      </c>
      <c r="I26">
        <f>H26*INDEX(Question_Bank!$M$3:$M$14,MATCH(D26,Question_Bank!$A$3:$A$14,0))</f>
        <v>0</v>
      </c>
      <c r="J26">
        <f>SUMIFS($I$3:$I$518,$A$3:$A$518,A26)</f>
        <v>0</v>
      </c>
      <c r="K26" s="5">
        <f>J26/SUM(Question_Bank!$M$3:$M$14)</f>
        <v>0</v>
      </c>
      <c r="L26" s="5">
        <f>SUMIFS($I$3:$I$518,$A$3:$A$518,A26,$E$3:$E$518,E26)/SUMIFS(Question_Bank!$M$3:$M$14,Question_Bank!$B$3:$B$14,E26)</f>
        <v>0</v>
      </c>
      <c r="M26" t="s">
        <v>266</v>
      </c>
    </row>
    <row r="27" spans="1:13">
      <c r="A27" t="s">
        <v>267</v>
      </c>
      <c r="B27" t="s">
        <v>263</v>
      </c>
      <c r="C27" t="s">
        <v>227</v>
      </c>
      <c r="D27" t="s">
        <v>14</v>
      </c>
      <c r="E27" t="s">
        <v>15</v>
      </c>
      <c r="F27" t="s">
        <v>23</v>
      </c>
      <c r="G27">
        <f>INDEX(Question_Bank!$J$3:$J$14,MATCH(D27,Question_Bank!$A$3:$A$14,0))</f>
        <v>0</v>
      </c>
      <c r="H27">
        <f>IF(F27=G27,1,0)</f>
        <v>0</v>
      </c>
      <c r="I27">
        <f>H27*INDEX(Question_Bank!$M$3:$M$14,MATCH(D27,Question_Bank!$A$3:$A$14,0))</f>
        <v>0</v>
      </c>
      <c r="J27">
        <f>SUMIFS($I$3:$I$518,$A$3:$A$518,A27)</f>
        <v>0</v>
      </c>
      <c r="K27" s="5">
        <f>J27/SUM(Question_Bank!$M$3:$M$14)</f>
        <v>0</v>
      </c>
      <c r="L27" s="5">
        <f>SUMIFS($I$3:$I$518,$A$3:$A$518,A27,$E$3:$E$518,E27)/SUMIFS(Question_Bank!$M$3:$M$14,Question_Bank!$B$3:$B$14,E27)</f>
        <v>0</v>
      </c>
      <c r="M27" t="s">
        <v>268</v>
      </c>
    </row>
    <row r="28" spans="1:13">
      <c r="A28" t="s">
        <v>267</v>
      </c>
      <c r="B28" t="s">
        <v>263</v>
      </c>
      <c r="C28" t="s">
        <v>227</v>
      </c>
      <c r="D28" t="s">
        <v>26</v>
      </c>
      <c r="E28" t="s">
        <v>15</v>
      </c>
      <c r="F28" t="s">
        <v>34</v>
      </c>
      <c r="G28">
        <f>INDEX(Question_Bank!$J$3:$J$14,MATCH(D28,Question_Bank!$A$3:$A$14,0))</f>
        <v>0</v>
      </c>
      <c r="H28">
        <f>IF(F28=G28,1,0)</f>
        <v>0</v>
      </c>
      <c r="I28">
        <f>H28*INDEX(Question_Bank!$M$3:$M$14,MATCH(D28,Question_Bank!$A$3:$A$14,0))</f>
        <v>0</v>
      </c>
      <c r="J28">
        <f>SUMIFS($I$3:$I$518,$A$3:$A$518,A28)</f>
        <v>0</v>
      </c>
      <c r="K28" s="5">
        <f>J28/SUM(Question_Bank!$M$3:$M$14)</f>
        <v>0</v>
      </c>
      <c r="L28" s="5">
        <f>SUMIFS($I$3:$I$518,$A$3:$A$518,A28,$E$3:$E$518,E28)/SUMIFS(Question_Bank!$M$3:$M$14,Question_Bank!$B$3:$B$14,E28)</f>
        <v>0</v>
      </c>
      <c r="M28" t="s">
        <v>268</v>
      </c>
    </row>
    <row r="29" spans="1:13">
      <c r="A29" t="s">
        <v>267</v>
      </c>
      <c r="B29" t="s">
        <v>263</v>
      </c>
      <c r="C29" t="s">
        <v>227</v>
      </c>
      <c r="D29" t="s">
        <v>37</v>
      </c>
      <c r="E29" t="s">
        <v>15</v>
      </c>
      <c r="F29" t="s">
        <v>20</v>
      </c>
      <c r="G29">
        <f>INDEX(Question_Bank!$J$3:$J$14,MATCH(D29,Question_Bank!$A$3:$A$14,0))</f>
        <v>0</v>
      </c>
      <c r="H29">
        <f>IF(F29=G29,1,0)</f>
        <v>0</v>
      </c>
      <c r="I29">
        <f>H29*INDEX(Question_Bank!$M$3:$M$14,MATCH(D29,Question_Bank!$A$3:$A$14,0))</f>
        <v>0</v>
      </c>
      <c r="J29">
        <f>SUMIFS($I$3:$I$518,$A$3:$A$518,A29)</f>
        <v>0</v>
      </c>
      <c r="K29" s="5">
        <f>J29/SUM(Question_Bank!$M$3:$M$14)</f>
        <v>0</v>
      </c>
      <c r="L29" s="5">
        <f>SUMIFS($I$3:$I$518,$A$3:$A$518,A29,$E$3:$E$518,E29)/SUMIFS(Question_Bank!$M$3:$M$14,Question_Bank!$B$3:$B$14,E29)</f>
        <v>0</v>
      </c>
      <c r="M29" t="s">
        <v>268</v>
      </c>
    </row>
    <row r="30" spans="1:13">
      <c r="A30" t="s">
        <v>267</v>
      </c>
      <c r="B30" t="s">
        <v>263</v>
      </c>
      <c r="C30" t="s">
        <v>227</v>
      </c>
      <c r="D30" t="s">
        <v>45</v>
      </c>
      <c r="E30" t="s">
        <v>46</v>
      </c>
      <c r="F30" t="s">
        <v>31</v>
      </c>
      <c r="G30">
        <f>INDEX(Question_Bank!$J$3:$J$14,MATCH(D30,Question_Bank!$A$3:$A$14,0))</f>
        <v>0</v>
      </c>
      <c r="H30">
        <f>IF(F30=G30,1,0)</f>
        <v>0</v>
      </c>
      <c r="I30">
        <f>H30*INDEX(Question_Bank!$M$3:$M$14,MATCH(D30,Question_Bank!$A$3:$A$14,0))</f>
        <v>0</v>
      </c>
      <c r="J30">
        <f>SUMIFS($I$3:$I$518,$A$3:$A$518,A30)</f>
        <v>0</v>
      </c>
      <c r="K30" s="5">
        <f>J30/SUM(Question_Bank!$M$3:$M$14)</f>
        <v>0</v>
      </c>
      <c r="L30" s="5">
        <f>SUMIFS($I$3:$I$518,$A$3:$A$518,A30,$E$3:$E$518,E30)/SUMIFS(Question_Bank!$M$3:$M$14,Question_Bank!$B$3:$B$14,E30)</f>
        <v>0</v>
      </c>
      <c r="M30" t="s">
        <v>268</v>
      </c>
    </row>
    <row r="31" spans="1:13">
      <c r="A31" t="s">
        <v>267</v>
      </c>
      <c r="B31" t="s">
        <v>263</v>
      </c>
      <c r="C31" t="s">
        <v>227</v>
      </c>
      <c r="D31" t="s">
        <v>54</v>
      </c>
      <c r="E31" t="s">
        <v>46</v>
      </c>
      <c r="F31" t="s">
        <v>34</v>
      </c>
      <c r="G31">
        <f>INDEX(Question_Bank!$J$3:$J$14,MATCH(D31,Question_Bank!$A$3:$A$14,0))</f>
        <v>0</v>
      </c>
      <c r="H31">
        <f>IF(F31=G31,1,0)</f>
        <v>0</v>
      </c>
      <c r="I31">
        <f>H31*INDEX(Question_Bank!$M$3:$M$14,MATCH(D31,Question_Bank!$A$3:$A$14,0))</f>
        <v>0</v>
      </c>
      <c r="J31">
        <f>SUMIFS($I$3:$I$518,$A$3:$A$518,A31)</f>
        <v>0</v>
      </c>
      <c r="K31" s="5">
        <f>J31/SUM(Question_Bank!$M$3:$M$14)</f>
        <v>0</v>
      </c>
      <c r="L31" s="5">
        <f>SUMIFS($I$3:$I$518,$A$3:$A$518,A31,$E$3:$E$518,E31)/SUMIFS(Question_Bank!$M$3:$M$14,Question_Bank!$B$3:$B$14,E31)</f>
        <v>0</v>
      </c>
      <c r="M31" t="s">
        <v>268</v>
      </c>
    </row>
    <row r="32" spans="1:13">
      <c r="A32" t="s">
        <v>267</v>
      </c>
      <c r="B32" t="s">
        <v>263</v>
      </c>
      <c r="C32" t="s">
        <v>227</v>
      </c>
      <c r="D32" t="s">
        <v>62</v>
      </c>
      <c r="E32" t="s">
        <v>46</v>
      </c>
      <c r="F32" t="s">
        <v>34</v>
      </c>
      <c r="G32">
        <f>INDEX(Question_Bank!$J$3:$J$14,MATCH(D32,Question_Bank!$A$3:$A$14,0))</f>
        <v>0</v>
      </c>
      <c r="H32">
        <f>IF(F32=G32,1,0)</f>
        <v>0</v>
      </c>
      <c r="I32">
        <f>H32*INDEX(Question_Bank!$M$3:$M$14,MATCH(D32,Question_Bank!$A$3:$A$14,0))</f>
        <v>0</v>
      </c>
      <c r="J32">
        <f>SUMIFS($I$3:$I$518,$A$3:$A$518,A32)</f>
        <v>0</v>
      </c>
      <c r="K32" s="5">
        <f>J32/SUM(Question_Bank!$M$3:$M$14)</f>
        <v>0</v>
      </c>
      <c r="L32" s="5">
        <f>SUMIFS($I$3:$I$518,$A$3:$A$518,A32,$E$3:$E$518,E32)/SUMIFS(Question_Bank!$M$3:$M$14,Question_Bank!$B$3:$B$14,E32)</f>
        <v>0</v>
      </c>
      <c r="M32" t="s">
        <v>268</v>
      </c>
    </row>
    <row r="33" spans="1:13">
      <c r="A33" t="s">
        <v>267</v>
      </c>
      <c r="B33" t="s">
        <v>263</v>
      </c>
      <c r="C33" t="s">
        <v>227</v>
      </c>
      <c r="D33" t="s">
        <v>70</v>
      </c>
      <c r="E33" t="s">
        <v>71</v>
      </c>
      <c r="F33" t="s">
        <v>20</v>
      </c>
      <c r="G33">
        <f>INDEX(Question_Bank!$J$3:$J$14,MATCH(D33,Question_Bank!$A$3:$A$14,0))</f>
        <v>0</v>
      </c>
      <c r="H33">
        <f>IF(F33=G33,1,0)</f>
        <v>0</v>
      </c>
      <c r="I33">
        <f>H33*INDEX(Question_Bank!$M$3:$M$14,MATCH(D33,Question_Bank!$A$3:$A$14,0))</f>
        <v>0</v>
      </c>
      <c r="J33">
        <f>SUMIFS($I$3:$I$518,$A$3:$A$518,A33)</f>
        <v>0</v>
      </c>
      <c r="K33" s="5">
        <f>J33/SUM(Question_Bank!$M$3:$M$14)</f>
        <v>0</v>
      </c>
      <c r="L33" s="5">
        <f>SUMIFS($I$3:$I$518,$A$3:$A$518,A33,$E$3:$E$518,E33)/SUMIFS(Question_Bank!$M$3:$M$14,Question_Bank!$B$3:$B$14,E33)</f>
        <v>0</v>
      </c>
      <c r="M33" t="s">
        <v>268</v>
      </c>
    </row>
    <row r="34" spans="1:13">
      <c r="A34" t="s">
        <v>267</v>
      </c>
      <c r="B34" t="s">
        <v>263</v>
      </c>
      <c r="C34" t="s">
        <v>227</v>
      </c>
      <c r="D34" t="s">
        <v>79</v>
      </c>
      <c r="E34" t="s">
        <v>71</v>
      </c>
      <c r="F34" t="s">
        <v>31</v>
      </c>
      <c r="G34">
        <f>INDEX(Question_Bank!$J$3:$J$14,MATCH(D34,Question_Bank!$A$3:$A$14,0))</f>
        <v>0</v>
      </c>
      <c r="H34">
        <f>IF(F34=G34,1,0)</f>
        <v>0</v>
      </c>
      <c r="I34">
        <f>H34*INDEX(Question_Bank!$M$3:$M$14,MATCH(D34,Question_Bank!$A$3:$A$14,0))</f>
        <v>0</v>
      </c>
      <c r="J34">
        <f>SUMIFS($I$3:$I$518,$A$3:$A$518,A34)</f>
        <v>0</v>
      </c>
      <c r="K34" s="5">
        <f>J34/SUM(Question_Bank!$M$3:$M$14)</f>
        <v>0</v>
      </c>
      <c r="L34" s="5">
        <f>SUMIFS($I$3:$I$518,$A$3:$A$518,A34,$E$3:$E$518,E34)/SUMIFS(Question_Bank!$M$3:$M$14,Question_Bank!$B$3:$B$14,E34)</f>
        <v>0</v>
      </c>
      <c r="M34" t="s">
        <v>268</v>
      </c>
    </row>
    <row r="35" spans="1:13">
      <c r="A35" t="s">
        <v>267</v>
      </c>
      <c r="B35" t="s">
        <v>263</v>
      </c>
      <c r="C35" t="s">
        <v>227</v>
      </c>
      <c r="D35" t="s">
        <v>87</v>
      </c>
      <c r="E35" t="s">
        <v>71</v>
      </c>
      <c r="F35" t="s">
        <v>23</v>
      </c>
      <c r="G35">
        <f>INDEX(Question_Bank!$J$3:$J$14,MATCH(D35,Question_Bank!$A$3:$A$14,0))</f>
        <v>0</v>
      </c>
      <c r="H35">
        <f>IF(F35=G35,1,0)</f>
        <v>0</v>
      </c>
      <c r="I35">
        <f>H35*INDEX(Question_Bank!$M$3:$M$14,MATCH(D35,Question_Bank!$A$3:$A$14,0))</f>
        <v>0</v>
      </c>
      <c r="J35">
        <f>SUMIFS($I$3:$I$518,$A$3:$A$518,A35)</f>
        <v>0</v>
      </c>
      <c r="K35" s="5">
        <f>J35/SUM(Question_Bank!$M$3:$M$14)</f>
        <v>0</v>
      </c>
      <c r="L35" s="5">
        <f>SUMIFS($I$3:$I$518,$A$3:$A$518,A35,$E$3:$E$518,E35)/SUMIFS(Question_Bank!$M$3:$M$14,Question_Bank!$B$3:$B$14,E35)</f>
        <v>0</v>
      </c>
      <c r="M35" t="s">
        <v>268</v>
      </c>
    </row>
    <row r="36" spans="1:13">
      <c r="A36" t="s">
        <v>267</v>
      </c>
      <c r="B36" t="s">
        <v>263</v>
      </c>
      <c r="C36" t="s">
        <v>227</v>
      </c>
      <c r="D36" t="s">
        <v>95</v>
      </c>
      <c r="E36" t="s">
        <v>96</v>
      </c>
      <c r="F36" t="s">
        <v>34</v>
      </c>
      <c r="G36">
        <f>INDEX(Question_Bank!$J$3:$J$14,MATCH(D36,Question_Bank!$A$3:$A$14,0))</f>
        <v>0</v>
      </c>
      <c r="H36">
        <f>IF(F36=G36,1,0)</f>
        <v>0</v>
      </c>
      <c r="I36">
        <f>H36*INDEX(Question_Bank!$M$3:$M$14,MATCH(D36,Question_Bank!$A$3:$A$14,0))</f>
        <v>0</v>
      </c>
      <c r="J36">
        <f>SUMIFS($I$3:$I$518,$A$3:$A$518,A36)</f>
        <v>0</v>
      </c>
      <c r="K36" s="5">
        <f>J36/SUM(Question_Bank!$M$3:$M$14)</f>
        <v>0</v>
      </c>
      <c r="L36" s="5">
        <f>SUMIFS($I$3:$I$518,$A$3:$A$518,A36,$E$3:$E$518,E36)/SUMIFS(Question_Bank!$M$3:$M$14,Question_Bank!$B$3:$B$14,E36)</f>
        <v>0</v>
      </c>
      <c r="M36" t="s">
        <v>268</v>
      </c>
    </row>
    <row r="37" spans="1:13">
      <c r="A37" t="s">
        <v>267</v>
      </c>
      <c r="B37" t="s">
        <v>263</v>
      </c>
      <c r="C37" t="s">
        <v>227</v>
      </c>
      <c r="D37" t="s">
        <v>104</v>
      </c>
      <c r="E37" t="s">
        <v>96</v>
      </c>
      <c r="F37" t="s">
        <v>20</v>
      </c>
      <c r="G37">
        <f>INDEX(Question_Bank!$J$3:$J$14,MATCH(D37,Question_Bank!$A$3:$A$14,0))</f>
        <v>0</v>
      </c>
      <c r="H37">
        <f>IF(F37=G37,1,0)</f>
        <v>0</v>
      </c>
      <c r="I37">
        <f>H37*INDEX(Question_Bank!$M$3:$M$14,MATCH(D37,Question_Bank!$A$3:$A$14,0))</f>
        <v>0</v>
      </c>
      <c r="J37">
        <f>SUMIFS($I$3:$I$518,$A$3:$A$518,A37)</f>
        <v>0</v>
      </c>
      <c r="K37" s="5">
        <f>J37/SUM(Question_Bank!$M$3:$M$14)</f>
        <v>0</v>
      </c>
      <c r="L37" s="5">
        <f>SUMIFS($I$3:$I$518,$A$3:$A$518,A37,$E$3:$E$518,E37)/SUMIFS(Question_Bank!$M$3:$M$14,Question_Bank!$B$3:$B$14,E37)</f>
        <v>0</v>
      </c>
      <c r="M37" t="s">
        <v>268</v>
      </c>
    </row>
    <row r="38" spans="1:13">
      <c r="A38" t="s">
        <v>267</v>
      </c>
      <c r="B38" t="s">
        <v>263</v>
      </c>
      <c r="C38" t="s">
        <v>227</v>
      </c>
      <c r="D38" t="s">
        <v>112</v>
      </c>
      <c r="E38" t="s">
        <v>96</v>
      </c>
      <c r="F38" t="s">
        <v>31</v>
      </c>
      <c r="G38">
        <f>INDEX(Question_Bank!$J$3:$J$14,MATCH(D38,Question_Bank!$A$3:$A$14,0))</f>
        <v>0</v>
      </c>
      <c r="H38">
        <f>IF(F38=G38,1,0)</f>
        <v>0</v>
      </c>
      <c r="I38">
        <f>H38*INDEX(Question_Bank!$M$3:$M$14,MATCH(D38,Question_Bank!$A$3:$A$14,0))</f>
        <v>0</v>
      </c>
      <c r="J38">
        <f>SUMIFS($I$3:$I$518,$A$3:$A$518,A38)</f>
        <v>0</v>
      </c>
      <c r="K38" s="5">
        <f>J38/SUM(Question_Bank!$M$3:$M$14)</f>
        <v>0</v>
      </c>
      <c r="L38" s="5">
        <f>SUMIFS($I$3:$I$518,$A$3:$A$518,A38,$E$3:$E$518,E38)/SUMIFS(Question_Bank!$M$3:$M$14,Question_Bank!$B$3:$B$14,E38)</f>
        <v>0</v>
      </c>
      <c r="M38" t="s">
        <v>268</v>
      </c>
    </row>
    <row r="39" spans="1:13">
      <c r="A39" t="s">
        <v>269</v>
      </c>
      <c r="B39" t="s">
        <v>263</v>
      </c>
      <c r="C39" t="s">
        <v>227</v>
      </c>
      <c r="D39" t="s">
        <v>14</v>
      </c>
      <c r="E39" t="s">
        <v>15</v>
      </c>
      <c r="F39" t="s">
        <v>23</v>
      </c>
      <c r="G39">
        <f>INDEX(Question_Bank!$J$3:$J$14,MATCH(D39,Question_Bank!$A$3:$A$14,0))</f>
        <v>0</v>
      </c>
      <c r="H39">
        <f>IF(F39=G39,1,0)</f>
        <v>0</v>
      </c>
      <c r="I39">
        <f>H39*INDEX(Question_Bank!$M$3:$M$14,MATCH(D39,Question_Bank!$A$3:$A$14,0))</f>
        <v>0</v>
      </c>
      <c r="J39">
        <f>SUMIFS($I$3:$I$518,$A$3:$A$518,A39)</f>
        <v>0</v>
      </c>
      <c r="K39" s="5">
        <f>J39/SUM(Question_Bank!$M$3:$M$14)</f>
        <v>0</v>
      </c>
      <c r="L39" s="5">
        <f>SUMIFS($I$3:$I$518,$A$3:$A$518,A39,$E$3:$E$518,E39)/SUMIFS(Question_Bank!$M$3:$M$14,Question_Bank!$B$3:$B$14,E39)</f>
        <v>0</v>
      </c>
      <c r="M39" t="s">
        <v>270</v>
      </c>
    </row>
    <row r="40" spans="1:13">
      <c r="A40" t="s">
        <v>269</v>
      </c>
      <c r="B40" t="s">
        <v>263</v>
      </c>
      <c r="C40" t="s">
        <v>227</v>
      </c>
      <c r="D40" t="s">
        <v>26</v>
      </c>
      <c r="E40" t="s">
        <v>15</v>
      </c>
      <c r="F40" t="s">
        <v>34</v>
      </c>
      <c r="G40">
        <f>INDEX(Question_Bank!$J$3:$J$14,MATCH(D40,Question_Bank!$A$3:$A$14,0))</f>
        <v>0</v>
      </c>
      <c r="H40">
        <f>IF(F40=G40,1,0)</f>
        <v>0</v>
      </c>
      <c r="I40">
        <f>H40*INDEX(Question_Bank!$M$3:$M$14,MATCH(D40,Question_Bank!$A$3:$A$14,0))</f>
        <v>0</v>
      </c>
      <c r="J40">
        <f>SUMIFS($I$3:$I$518,$A$3:$A$518,A40)</f>
        <v>0</v>
      </c>
      <c r="K40" s="5">
        <f>J40/SUM(Question_Bank!$M$3:$M$14)</f>
        <v>0</v>
      </c>
      <c r="L40" s="5">
        <f>SUMIFS($I$3:$I$518,$A$3:$A$518,A40,$E$3:$E$518,E40)/SUMIFS(Question_Bank!$M$3:$M$14,Question_Bank!$B$3:$B$14,E40)</f>
        <v>0</v>
      </c>
      <c r="M40" t="s">
        <v>270</v>
      </c>
    </row>
    <row r="41" spans="1:13">
      <c r="A41" t="s">
        <v>269</v>
      </c>
      <c r="B41" t="s">
        <v>263</v>
      </c>
      <c r="C41" t="s">
        <v>227</v>
      </c>
      <c r="D41" t="s">
        <v>37</v>
      </c>
      <c r="E41" t="s">
        <v>15</v>
      </c>
      <c r="F41" t="s">
        <v>20</v>
      </c>
      <c r="G41">
        <f>INDEX(Question_Bank!$J$3:$J$14,MATCH(D41,Question_Bank!$A$3:$A$14,0))</f>
        <v>0</v>
      </c>
      <c r="H41">
        <f>IF(F41=G41,1,0)</f>
        <v>0</v>
      </c>
      <c r="I41">
        <f>H41*INDEX(Question_Bank!$M$3:$M$14,MATCH(D41,Question_Bank!$A$3:$A$14,0))</f>
        <v>0</v>
      </c>
      <c r="J41">
        <f>SUMIFS($I$3:$I$518,$A$3:$A$518,A41)</f>
        <v>0</v>
      </c>
      <c r="K41" s="5">
        <f>J41/SUM(Question_Bank!$M$3:$M$14)</f>
        <v>0</v>
      </c>
      <c r="L41" s="5">
        <f>SUMIFS($I$3:$I$518,$A$3:$A$518,A41,$E$3:$E$518,E41)/SUMIFS(Question_Bank!$M$3:$M$14,Question_Bank!$B$3:$B$14,E41)</f>
        <v>0</v>
      </c>
      <c r="M41" t="s">
        <v>270</v>
      </c>
    </row>
    <row r="42" spans="1:13">
      <c r="A42" t="s">
        <v>269</v>
      </c>
      <c r="B42" t="s">
        <v>263</v>
      </c>
      <c r="C42" t="s">
        <v>227</v>
      </c>
      <c r="D42" t="s">
        <v>45</v>
      </c>
      <c r="E42" t="s">
        <v>46</v>
      </c>
      <c r="F42" t="s">
        <v>31</v>
      </c>
      <c r="G42">
        <f>INDEX(Question_Bank!$J$3:$J$14,MATCH(D42,Question_Bank!$A$3:$A$14,0))</f>
        <v>0</v>
      </c>
      <c r="H42">
        <f>IF(F42=G42,1,0)</f>
        <v>0</v>
      </c>
      <c r="I42">
        <f>H42*INDEX(Question_Bank!$M$3:$M$14,MATCH(D42,Question_Bank!$A$3:$A$14,0))</f>
        <v>0</v>
      </c>
      <c r="J42">
        <f>SUMIFS($I$3:$I$518,$A$3:$A$518,A42)</f>
        <v>0</v>
      </c>
      <c r="K42" s="5">
        <f>J42/SUM(Question_Bank!$M$3:$M$14)</f>
        <v>0</v>
      </c>
      <c r="L42" s="5">
        <f>SUMIFS($I$3:$I$518,$A$3:$A$518,A42,$E$3:$E$518,E42)/SUMIFS(Question_Bank!$M$3:$M$14,Question_Bank!$B$3:$B$14,E42)</f>
        <v>0</v>
      </c>
      <c r="M42" t="s">
        <v>270</v>
      </c>
    </row>
    <row r="43" spans="1:13">
      <c r="A43" t="s">
        <v>269</v>
      </c>
      <c r="B43" t="s">
        <v>263</v>
      </c>
      <c r="C43" t="s">
        <v>227</v>
      </c>
      <c r="D43" t="s">
        <v>54</v>
      </c>
      <c r="E43" t="s">
        <v>46</v>
      </c>
      <c r="F43" t="s">
        <v>23</v>
      </c>
      <c r="G43">
        <f>INDEX(Question_Bank!$J$3:$J$14,MATCH(D43,Question_Bank!$A$3:$A$14,0))</f>
        <v>0</v>
      </c>
      <c r="H43">
        <f>IF(F43=G43,1,0)</f>
        <v>0</v>
      </c>
      <c r="I43">
        <f>H43*INDEX(Question_Bank!$M$3:$M$14,MATCH(D43,Question_Bank!$A$3:$A$14,0))</f>
        <v>0</v>
      </c>
      <c r="J43">
        <f>SUMIFS($I$3:$I$518,$A$3:$A$518,A43)</f>
        <v>0</v>
      </c>
      <c r="K43" s="5">
        <f>J43/SUM(Question_Bank!$M$3:$M$14)</f>
        <v>0</v>
      </c>
      <c r="L43" s="5">
        <f>SUMIFS($I$3:$I$518,$A$3:$A$518,A43,$E$3:$E$518,E43)/SUMIFS(Question_Bank!$M$3:$M$14,Question_Bank!$B$3:$B$14,E43)</f>
        <v>0</v>
      </c>
      <c r="M43" t="s">
        <v>270</v>
      </c>
    </row>
    <row r="44" spans="1:13">
      <c r="A44" t="s">
        <v>269</v>
      </c>
      <c r="B44" t="s">
        <v>263</v>
      </c>
      <c r="C44" t="s">
        <v>227</v>
      </c>
      <c r="D44" t="s">
        <v>62</v>
      </c>
      <c r="E44" t="s">
        <v>46</v>
      </c>
      <c r="F44" t="s">
        <v>34</v>
      </c>
      <c r="G44">
        <f>INDEX(Question_Bank!$J$3:$J$14,MATCH(D44,Question_Bank!$A$3:$A$14,0))</f>
        <v>0</v>
      </c>
      <c r="H44">
        <f>IF(F44=G44,1,0)</f>
        <v>0</v>
      </c>
      <c r="I44">
        <f>H44*INDEX(Question_Bank!$M$3:$M$14,MATCH(D44,Question_Bank!$A$3:$A$14,0))</f>
        <v>0</v>
      </c>
      <c r="J44">
        <f>SUMIFS($I$3:$I$518,$A$3:$A$518,A44)</f>
        <v>0</v>
      </c>
      <c r="K44" s="5">
        <f>J44/SUM(Question_Bank!$M$3:$M$14)</f>
        <v>0</v>
      </c>
      <c r="L44" s="5">
        <f>SUMIFS($I$3:$I$518,$A$3:$A$518,A44,$E$3:$E$518,E44)/SUMIFS(Question_Bank!$M$3:$M$14,Question_Bank!$B$3:$B$14,E44)</f>
        <v>0</v>
      </c>
      <c r="M44" t="s">
        <v>270</v>
      </c>
    </row>
    <row r="45" spans="1:13">
      <c r="A45" t="s">
        <v>269</v>
      </c>
      <c r="B45" t="s">
        <v>263</v>
      </c>
      <c r="C45" t="s">
        <v>227</v>
      </c>
      <c r="D45" t="s">
        <v>70</v>
      </c>
      <c r="E45" t="s">
        <v>71</v>
      </c>
      <c r="F45" t="s">
        <v>20</v>
      </c>
      <c r="G45">
        <f>INDEX(Question_Bank!$J$3:$J$14,MATCH(D45,Question_Bank!$A$3:$A$14,0))</f>
        <v>0</v>
      </c>
      <c r="H45">
        <f>IF(F45=G45,1,0)</f>
        <v>0</v>
      </c>
      <c r="I45">
        <f>H45*INDEX(Question_Bank!$M$3:$M$14,MATCH(D45,Question_Bank!$A$3:$A$14,0))</f>
        <v>0</v>
      </c>
      <c r="J45">
        <f>SUMIFS($I$3:$I$518,$A$3:$A$518,A45)</f>
        <v>0</v>
      </c>
      <c r="K45" s="5">
        <f>J45/SUM(Question_Bank!$M$3:$M$14)</f>
        <v>0</v>
      </c>
      <c r="L45" s="5">
        <f>SUMIFS($I$3:$I$518,$A$3:$A$518,A45,$E$3:$E$518,E45)/SUMIFS(Question_Bank!$M$3:$M$14,Question_Bank!$B$3:$B$14,E45)</f>
        <v>0</v>
      </c>
      <c r="M45" t="s">
        <v>270</v>
      </c>
    </row>
    <row r="46" spans="1:13">
      <c r="A46" t="s">
        <v>269</v>
      </c>
      <c r="B46" t="s">
        <v>263</v>
      </c>
      <c r="C46" t="s">
        <v>227</v>
      </c>
      <c r="D46" t="s">
        <v>79</v>
      </c>
      <c r="E46" t="s">
        <v>71</v>
      </c>
      <c r="F46" t="s">
        <v>31</v>
      </c>
      <c r="G46">
        <f>INDEX(Question_Bank!$J$3:$J$14,MATCH(D46,Question_Bank!$A$3:$A$14,0))</f>
        <v>0</v>
      </c>
      <c r="H46">
        <f>IF(F46=G46,1,0)</f>
        <v>0</v>
      </c>
      <c r="I46">
        <f>H46*INDEX(Question_Bank!$M$3:$M$14,MATCH(D46,Question_Bank!$A$3:$A$14,0))</f>
        <v>0</v>
      </c>
      <c r="J46">
        <f>SUMIFS($I$3:$I$518,$A$3:$A$518,A46)</f>
        <v>0</v>
      </c>
      <c r="K46" s="5">
        <f>J46/SUM(Question_Bank!$M$3:$M$14)</f>
        <v>0</v>
      </c>
      <c r="L46" s="5">
        <f>SUMIFS($I$3:$I$518,$A$3:$A$518,A46,$E$3:$E$518,E46)/SUMIFS(Question_Bank!$M$3:$M$14,Question_Bank!$B$3:$B$14,E46)</f>
        <v>0</v>
      </c>
      <c r="M46" t="s">
        <v>270</v>
      </c>
    </row>
    <row r="47" spans="1:13">
      <c r="A47" t="s">
        <v>269</v>
      </c>
      <c r="B47" t="s">
        <v>263</v>
      </c>
      <c r="C47" t="s">
        <v>227</v>
      </c>
      <c r="D47" t="s">
        <v>87</v>
      </c>
      <c r="E47" t="s">
        <v>71</v>
      </c>
      <c r="F47" t="s">
        <v>23</v>
      </c>
      <c r="G47">
        <f>INDEX(Question_Bank!$J$3:$J$14,MATCH(D47,Question_Bank!$A$3:$A$14,0))</f>
        <v>0</v>
      </c>
      <c r="H47">
        <f>IF(F47=G47,1,0)</f>
        <v>0</v>
      </c>
      <c r="I47">
        <f>H47*INDEX(Question_Bank!$M$3:$M$14,MATCH(D47,Question_Bank!$A$3:$A$14,0))</f>
        <v>0</v>
      </c>
      <c r="J47">
        <f>SUMIFS($I$3:$I$518,$A$3:$A$518,A47)</f>
        <v>0</v>
      </c>
      <c r="K47" s="5">
        <f>J47/SUM(Question_Bank!$M$3:$M$14)</f>
        <v>0</v>
      </c>
      <c r="L47" s="5">
        <f>SUMIFS($I$3:$I$518,$A$3:$A$518,A47,$E$3:$E$518,E47)/SUMIFS(Question_Bank!$M$3:$M$14,Question_Bank!$B$3:$B$14,E47)</f>
        <v>0</v>
      </c>
      <c r="M47" t="s">
        <v>270</v>
      </c>
    </row>
    <row r="48" spans="1:13">
      <c r="A48" t="s">
        <v>269</v>
      </c>
      <c r="B48" t="s">
        <v>263</v>
      </c>
      <c r="C48" t="s">
        <v>227</v>
      </c>
      <c r="D48" t="s">
        <v>95</v>
      </c>
      <c r="E48" t="s">
        <v>96</v>
      </c>
      <c r="F48" t="s">
        <v>34</v>
      </c>
      <c r="G48">
        <f>INDEX(Question_Bank!$J$3:$J$14,MATCH(D48,Question_Bank!$A$3:$A$14,0))</f>
        <v>0</v>
      </c>
      <c r="H48">
        <f>IF(F48=G48,1,0)</f>
        <v>0</v>
      </c>
      <c r="I48">
        <f>H48*INDEX(Question_Bank!$M$3:$M$14,MATCH(D48,Question_Bank!$A$3:$A$14,0))</f>
        <v>0</v>
      </c>
      <c r="J48">
        <f>SUMIFS($I$3:$I$518,$A$3:$A$518,A48)</f>
        <v>0</v>
      </c>
      <c r="K48" s="5">
        <f>J48/SUM(Question_Bank!$M$3:$M$14)</f>
        <v>0</v>
      </c>
      <c r="L48" s="5">
        <f>SUMIFS($I$3:$I$518,$A$3:$A$518,A48,$E$3:$E$518,E48)/SUMIFS(Question_Bank!$M$3:$M$14,Question_Bank!$B$3:$B$14,E48)</f>
        <v>0</v>
      </c>
      <c r="M48" t="s">
        <v>270</v>
      </c>
    </row>
    <row r="49" spans="1:13">
      <c r="A49" t="s">
        <v>269</v>
      </c>
      <c r="B49" t="s">
        <v>263</v>
      </c>
      <c r="C49" t="s">
        <v>227</v>
      </c>
      <c r="D49" t="s">
        <v>104</v>
      </c>
      <c r="E49" t="s">
        <v>96</v>
      </c>
      <c r="F49" t="s">
        <v>20</v>
      </c>
      <c r="G49">
        <f>INDEX(Question_Bank!$J$3:$J$14,MATCH(D49,Question_Bank!$A$3:$A$14,0))</f>
        <v>0</v>
      </c>
      <c r="H49">
        <f>IF(F49=G49,1,0)</f>
        <v>0</v>
      </c>
      <c r="I49">
        <f>H49*INDEX(Question_Bank!$M$3:$M$14,MATCH(D49,Question_Bank!$A$3:$A$14,0))</f>
        <v>0</v>
      </c>
      <c r="J49">
        <f>SUMIFS($I$3:$I$518,$A$3:$A$518,A49)</f>
        <v>0</v>
      </c>
      <c r="K49" s="5">
        <f>J49/SUM(Question_Bank!$M$3:$M$14)</f>
        <v>0</v>
      </c>
      <c r="L49" s="5">
        <f>SUMIFS($I$3:$I$518,$A$3:$A$518,A49,$E$3:$E$518,E49)/SUMIFS(Question_Bank!$M$3:$M$14,Question_Bank!$B$3:$B$14,E49)</f>
        <v>0</v>
      </c>
      <c r="M49" t="s">
        <v>270</v>
      </c>
    </row>
    <row r="50" spans="1:13">
      <c r="A50" t="s">
        <v>269</v>
      </c>
      <c r="B50" t="s">
        <v>263</v>
      </c>
      <c r="C50" t="s">
        <v>227</v>
      </c>
      <c r="D50" t="s">
        <v>112</v>
      </c>
      <c r="E50" t="s">
        <v>96</v>
      </c>
      <c r="F50" t="s">
        <v>31</v>
      </c>
      <c r="G50">
        <f>INDEX(Question_Bank!$J$3:$J$14,MATCH(D50,Question_Bank!$A$3:$A$14,0))</f>
        <v>0</v>
      </c>
      <c r="H50">
        <f>IF(F50=G50,1,0)</f>
        <v>0</v>
      </c>
      <c r="I50">
        <f>H50*INDEX(Question_Bank!$M$3:$M$14,MATCH(D50,Question_Bank!$A$3:$A$14,0))</f>
        <v>0</v>
      </c>
      <c r="J50">
        <f>SUMIFS($I$3:$I$518,$A$3:$A$518,A50)</f>
        <v>0</v>
      </c>
      <c r="K50" s="5">
        <f>J50/SUM(Question_Bank!$M$3:$M$14)</f>
        <v>0</v>
      </c>
      <c r="L50" s="5">
        <f>SUMIFS($I$3:$I$518,$A$3:$A$518,A50,$E$3:$E$518,E50)/SUMIFS(Question_Bank!$M$3:$M$14,Question_Bank!$B$3:$B$14,E50)</f>
        <v>0</v>
      </c>
      <c r="M50" t="s">
        <v>270</v>
      </c>
    </row>
    <row r="51" spans="1:13">
      <c r="A51" t="s">
        <v>271</v>
      </c>
      <c r="B51" t="s">
        <v>263</v>
      </c>
      <c r="C51" t="s">
        <v>227</v>
      </c>
      <c r="D51" t="s">
        <v>14</v>
      </c>
      <c r="E51" t="s">
        <v>15</v>
      </c>
      <c r="F51" t="s">
        <v>23</v>
      </c>
      <c r="G51">
        <f>INDEX(Question_Bank!$J$3:$J$14,MATCH(D51,Question_Bank!$A$3:$A$14,0))</f>
        <v>0</v>
      </c>
      <c r="H51">
        <f>IF(F51=G51,1,0)</f>
        <v>0</v>
      </c>
      <c r="I51">
        <f>H51*INDEX(Question_Bank!$M$3:$M$14,MATCH(D51,Question_Bank!$A$3:$A$14,0))</f>
        <v>0</v>
      </c>
      <c r="J51">
        <f>SUMIFS($I$3:$I$518,$A$3:$A$518,A51)</f>
        <v>0</v>
      </c>
      <c r="K51" s="5">
        <f>J51/SUM(Question_Bank!$M$3:$M$14)</f>
        <v>0</v>
      </c>
      <c r="L51" s="5">
        <f>SUMIFS($I$3:$I$518,$A$3:$A$518,A51,$E$3:$E$518,E51)/SUMIFS(Question_Bank!$M$3:$M$14,Question_Bank!$B$3:$B$14,E51)</f>
        <v>0</v>
      </c>
      <c r="M51" t="s">
        <v>272</v>
      </c>
    </row>
    <row r="52" spans="1:13">
      <c r="A52" t="s">
        <v>271</v>
      </c>
      <c r="B52" t="s">
        <v>263</v>
      </c>
      <c r="C52" t="s">
        <v>227</v>
      </c>
      <c r="D52" t="s">
        <v>26</v>
      </c>
      <c r="E52" t="s">
        <v>15</v>
      </c>
      <c r="F52" t="s">
        <v>34</v>
      </c>
      <c r="G52">
        <f>INDEX(Question_Bank!$J$3:$J$14,MATCH(D52,Question_Bank!$A$3:$A$14,0))</f>
        <v>0</v>
      </c>
      <c r="H52">
        <f>IF(F52=G52,1,0)</f>
        <v>0</v>
      </c>
      <c r="I52">
        <f>H52*INDEX(Question_Bank!$M$3:$M$14,MATCH(D52,Question_Bank!$A$3:$A$14,0))</f>
        <v>0</v>
      </c>
      <c r="J52">
        <f>SUMIFS($I$3:$I$518,$A$3:$A$518,A52)</f>
        <v>0</v>
      </c>
      <c r="K52" s="5">
        <f>J52/SUM(Question_Bank!$M$3:$M$14)</f>
        <v>0</v>
      </c>
      <c r="L52" s="5">
        <f>SUMIFS($I$3:$I$518,$A$3:$A$518,A52,$E$3:$E$518,E52)/SUMIFS(Question_Bank!$M$3:$M$14,Question_Bank!$B$3:$B$14,E52)</f>
        <v>0</v>
      </c>
      <c r="M52" t="s">
        <v>272</v>
      </c>
    </row>
    <row r="53" spans="1:13">
      <c r="A53" t="s">
        <v>271</v>
      </c>
      <c r="B53" t="s">
        <v>263</v>
      </c>
      <c r="C53" t="s">
        <v>227</v>
      </c>
      <c r="D53" t="s">
        <v>37</v>
      </c>
      <c r="E53" t="s">
        <v>15</v>
      </c>
      <c r="F53" t="s">
        <v>20</v>
      </c>
      <c r="G53">
        <f>INDEX(Question_Bank!$J$3:$J$14,MATCH(D53,Question_Bank!$A$3:$A$14,0))</f>
        <v>0</v>
      </c>
      <c r="H53">
        <f>IF(F53=G53,1,0)</f>
        <v>0</v>
      </c>
      <c r="I53">
        <f>H53*INDEX(Question_Bank!$M$3:$M$14,MATCH(D53,Question_Bank!$A$3:$A$14,0))</f>
        <v>0</v>
      </c>
      <c r="J53">
        <f>SUMIFS($I$3:$I$518,$A$3:$A$518,A53)</f>
        <v>0</v>
      </c>
      <c r="K53" s="5">
        <f>J53/SUM(Question_Bank!$M$3:$M$14)</f>
        <v>0</v>
      </c>
      <c r="L53" s="5">
        <f>SUMIFS($I$3:$I$518,$A$3:$A$518,A53,$E$3:$E$518,E53)/SUMIFS(Question_Bank!$M$3:$M$14,Question_Bank!$B$3:$B$14,E53)</f>
        <v>0</v>
      </c>
      <c r="M53" t="s">
        <v>272</v>
      </c>
    </row>
    <row r="54" spans="1:13">
      <c r="A54" t="s">
        <v>271</v>
      </c>
      <c r="B54" t="s">
        <v>263</v>
      </c>
      <c r="C54" t="s">
        <v>227</v>
      </c>
      <c r="D54" t="s">
        <v>45</v>
      </c>
      <c r="E54" t="s">
        <v>46</v>
      </c>
      <c r="F54" t="s">
        <v>31</v>
      </c>
      <c r="G54">
        <f>INDEX(Question_Bank!$J$3:$J$14,MATCH(D54,Question_Bank!$A$3:$A$14,0))</f>
        <v>0</v>
      </c>
      <c r="H54">
        <f>IF(F54=G54,1,0)</f>
        <v>0</v>
      </c>
      <c r="I54">
        <f>H54*INDEX(Question_Bank!$M$3:$M$14,MATCH(D54,Question_Bank!$A$3:$A$14,0))</f>
        <v>0</v>
      </c>
      <c r="J54">
        <f>SUMIFS($I$3:$I$518,$A$3:$A$518,A54)</f>
        <v>0</v>
      </c>
      <c r="K54" s="5">
        <f>J54/SUM(Question_Bank!$M$3:$M$14)</f>
        <v>0</v>
      </c>
      <c r="L54" s="5">
        <f>SUMIFS($I$3:$I$518,$A$3:$A$518,A54,$E$3:$E$518,E54)/SUMIFS(Question_Bank!$M$3:$M$14,Question_Bank!$B$3:$B$14,E54)</f>
        <v>0</v>
      </c>
      <c r="M54" t="s">
        <v>272</v>
      </c>
    </row>
    <row r="55" spans="1:13">
      <c r="A55" t="s">
        <v>271</v>
      </c>
      <c r="B55" t="s">
        <v>263</v>
      </c>
      <c r="C55" t="s">
        <v>227</v>
      </c>
      <c r="D55" t="s">
        <v>54</v>
      </c>
      <c r="E55" t="s">
        <v>46</v>
      </c>
      <c r="F55" t="s">
        <v>23</v>
      </c>
      <c r="G55">
        <f>INDEX(Question_Bank!$J$3:$J$14,MATCH(D55,Question_Bank!$A$3:$A$14,0))</f>
        <v>0</v>
      </c>
      <c r="H55">
        <f>IF(F55=G55,1,0)</f>
        <v>0</v>
      </c>
      <c r="I55">
        <f>H55*INDEX(Question_Bank!$M$3:$M$14,MATCH(D55,Question_Bank!$A$3:$A$14,0))</f>
        <v>0</v>
      </c>
      <c r="J55">
        <f>SUMIFS($I$3:$I$518,$A$3:$A$518,A55)</f>
        <v>0</v>
      </c>
      <c r="K55" s="5">
        <f>J55/SUM(Question_Bank!$M$3:$M$14)</f>
        <v>0</v>
      </c>
      <c r="L55" s="5">
        <f>SUMIFS($I$3:$I$518,$A$3:$A$518,A55,$E$3:$E$518,E55)/SUMIFS(Question_Bank!$M$3:$M$14,Question_Bank!$B$3:$B$14,E55)</f>
        <v>0</v>
      </c>
      <c r="M55" t="s">
        <v>272</v>
      </c>
    </row>
    <row r="56" spans="1:13">
      <c r="A56" t="s">
        <v>271</v>
      </c>
      <c r="B56" t="s">
        <v>263</v>
      </c>
      <c r="C56" t="s">
        <v>227</v>
      </c>
      <c r="D56" t="s">
        <v>62</v>
      </c>
      <c r="E56" t="s">
        <v>46</v>
      </c>
      <c r="F56" t="s">
        <v>34</v>
      </c>
      <c r="G56">
        <f>INDEX(Question_Bank!$J$3:$J$14,MATCH(D56,Question_Bank!$A$3:$A$14,0))</f>
        <v>0</v>
      </c>
      <c r="H56">
        <f>IF(F56=G56,1,0)</f>
        <v>0</v>
      </c>
      <c r="I56">
        <f>H56*INDEX(Question_Bank!$M$3:$M$14,MATCH(D56,Question_Bank!$A$3:$A$14,0))</f>
        <v>0</v>
      </c>
      <c r="J56">
        <f>SUMIFS($I$3:$I$518,$A$3:$A$518,A56)</f>
        <v>0</v>
      </c>
      <c r="K56" s="5">
        <f>J56/SUM(Question_Bank!$M$3:$M$14)</f>
        <v>0</v>
      </c>
      <c r="L56" s="5">
        <f>SUMIFS($I$3:$I$518,$A$3:$A$518,A56,$E$3:$E$518,E56)/SUMIFS(Question_Bank!$M$3:$M$14,Question_Bank!$B$3:$B$14,E56)</f>
        <v>0</v>
      </c>
      <c r="M56" t="s">
        <v>272</v>
      </c>
    </row>
    <row r="57" spans="1:13">
      <c r="A57" t="s">
        <v>271</v>
      </c>
      <c r="B57" t="s">
        <v>263</v>
      </c>
      <c r="C57" t="s">
        <v>227</v>
      </c>
      <c r="D57" t="s">
        <v>70</v>
      </c>
      <c r="E57" t="s">
        <v>71</v>
      </c>
      <c r="F57" t="s">
        <v>20</v>
      </c>
      <c r="G57">
        <f>INDEX(Question_Bank!$J$3:$J$14,MATCH(D57,Question_Bank!$A$3:$A$14,0))</f>
        <v>0</v>
      </c>
      <c r="H57">
        <f>IF(F57=G57,1,0)</f>
        <v>0</v>
      </c>
      <c r="I57">
        <f>H57*INDEX(Question_Bank!$M$3:$M$14,MATCH(D57,Question_Bank!$A$3:$A$14,0))</f>
        <v>0</v>
      </c>
      <c r="J57">
        <f>SUMIFS($I$3:$I$518,$A$3:$A$518,A57)</f>
        <v>0</v>
      </c>
      <c r="K57" s="5">
        <f>J57/SUM(Question_Bank!$M$3:$M$14)</f>
        <v>0</v>
      </c>
      <c r="L57" s="5">
        <f>SUMIFS($I$3:$I$518,$A$3:$A$518,A57,$E$3:$E$518,E57)/SUMIFS(Question_Bank!$M$3:$M$14,Question_Bank!$B$3:$B$14,E57)</f>
        <v>0</v>
      </c>
      <c r="M57" t="s">
        <v>272</v>
      </c>
    </row>
    <row r="58" spans="1:13">
      <c r="A58" t="s">
        <v>271</v>
      </c>
      <c r="B58" t="s">
        <v>263</v>
      </c>
      <c r="C58" t="s">
        <v>227</v>
      </c>
      <c r="D58" t="s">
        <v>79</v>
      </c>
      <c r="E58" t="s">
        <v>71</v>
      </c>
      <c r="F58" t="s">
        <v>31</v>
      </c>
      <c r="G58">
        <f>INDEX(Question_Bank!$J$3:$J$14,MATCH(D58,Question_Bank!$A$3:$A$14,0))</f>
        <v>0</v>
      </c>
      <c r="H58">
        <f>IF(F58=G58,1,0)</f>
        <v>0</v>
      </c>
      <c r="I58">
        <f>H58*INDEX(Question_Bank!$M$3:$M$14,MATCH(D58,Question_Bank!$A$3:$A$14,0))</f>
        <v>0</v>
      </c>
      <c r="J58">
        <f>SUMIFS($I$3:$I$518,$A$3:$A$518,A58)</f>
        <v>0</v>
      </c>
      <c r="K58" s="5">
        <f>J58/SUM(Question_Bank!$M$3:$M$14)</f>
        <v>0</v>
      </c>
      <c r="L58" s="5">
        <f>SUMIFS($I$3:$I$518,$A$3:$A$518,A58,$E$3:$E$518,E58)/SUMIFS(Question_Bank!$M$3:$M$14,Question_Bank!$B$3:$B$14,E58)</f>
        <v>0</v>
      </c>
      <c r="M58" t="s">
        <v>272</v>
      </c>
    </row>
    <row r="59" spans="1:13">
      <c r="A59" t="s">
        <v>271</v>
      </c>
      <c r="B59" t="s">
        <v>263</v>
      </c>
      <c r="C59" t="s">
        <v>227</v>
      </c>
      <c r="D59" t="s">
        <v>87</v>
      </c>
      <c r="E59" t="s">
        <v>71</v>
      </c>
      <c r="F59" t="s">
        <v>23</v>
      </c>
      <c r="G59">
        <f>INDEX(Question_Bank!$J$3:$J$14,MATCH(D59,Question_Bank!$A$3:$A$14,0))</f>
        <v>0</v>
      </c>
      <c r="H59">
        <f>IF(F59=G59,1,0)</f>
        <v>0</v>
      </c>
      <c r="I59">
        <f>H59*INDEX(Question_Bank!$M$3:$M$14,MATCH(D59,Question_Bank!$A$3:$A$14,0))</f>
        <v>0</v>
      </c>
      <c r="J59">
        <f>SUMIFS($I$3:$I$518,$A$3:$A$518,A59)</f>
        <v>0</v>
      </c>
      <c r="K59" s="5">
        <f>J59/SUM(Question_Bank!$M$3:$M$14)</f>
        <v>0</v>
      </c>
      <c r="L59" s="5">
        <f>SUMIFS($I$3:$I$518,$A$3:$A$518,A59,$E$3:$E$518,E59)/SUMIFS(Question_Bank!$M$3:$M$14,Question_Bank!$B$3:$B$14,E59)</f>
        <v>0</v>
      </c>
      <c r="M59" t="s">
        <v>272</v>
      </c>
    </row>
    <row r="60" spans="1:13">
      <c r="A60" t="s">
        <v>271</v>
      </c>
      <c r="B60" t="s">
        <v>263</v>
      </c>
      <c r="C60" t="s">
        <v>227</v>
      </c>
      <c r="D60" t="s">
        <v>95</v>
      </c>
      <c r="E60" t="s">
        <v>96</v>
      </c>
      <c r="F60" t="s">
        <v>34</v>
      </c>
      <c r="G60">
        <f>INDEX(Question_Bank!$J$3:$J$14,MATCH(D60,Question_Bank!$A$3:$A$14,0))</f>
        <v>0</v>
      </c>
      <c r="H60">
        <f>IF(F60=G60,1,0)</f>
        <v>0</v>
      </c>
      <c r="I60">
        <f>H60*INDEX(Question_Bank!$M$3:$M$14,MATCH(D60,Question_Bank!$A$3:$A$14,0))</f>
        <v>0</v>
      </c>
      <c r="J60">
        <f>SUMIFS($I$3:$I$518,$A$3:$A$518,A60)</f>
        <v>0</v>
      </c>
      <c r="K60" s="5">
        <f>J60/SUM(Question_Bank!$M$3:$M$14)</f>
        <v>0</v>
      </c>
      <c r="L60" s="5">
        <f>SUMIFS($I$3:$I$518,$A$3:$A$518,A60,$E$3:$E$518,E60)/SUMIFS(Question_Bank!$M$3:$M$14,Question_Bank!$B$3:$B$14,E60)</f>
        <v>0</v>
      </c>
      <c r="M60" t="s">
        <v>272</v>
      </c>
    </row>
    <row r="61" spans="1:13">
      <c r="A61" t="s">
        <v>271</v>
      </c>
      <c r="B61" t="s">
        <v>263</v>
      </c>
      <c r="C61" t="s">
        <v>227</v>
      </c>
      <c r="D61" t="s">
        <v>104</v>
      </c>
      <c r="E61" t="s">
        <v>96</v>
      </c>
      <c r="F61" t="s">
        <v>20</v>
      </c>
      <c r="G61">
        <f>INDEX(Question_Bank!$J$3:$J$14,MATCH(D61,Question_Bank!$A$3:$A$14,0))</f>
        <v>0</v>
      </c>
      <c r="H61">
        <f>IF(F61=G61,1,0)</f>
        <v>0</v>
      </c>
      <c r="I61">
        <f>H61*INDEX(Question_Bank!$M$3:$M$14,MATCH(D61,Question_Bank!$A$3:$A$14,0))</f>
        <v>0</v>
      </c>
      <c r="J61">
        <f>SUMIFS($I$3:$I$518,$A$3:$A$518,A61)</f>
        <v>0</v>
      </c>
      <c r="K61" s="5">
        <f>J61/SUM(Question_Bank!$M$3:$M$14)</f>
        <v>0</v>
      </c>
      <c r="L61" s="5">
        <f>SUMIFS($I$3:$I$518,$A$3:$A$518,A61,$E$3:$E$518,E61)/SUMIFS(Question_Bank!$M$3:$M$14,Question_Bank!$B$3:$B$14,E61)</f>
        <v>0</v>
      </c>
      <c r="M61" t="s">
        <v>272</v>
      </c>
    </row>
    <row r="62" spans="1:13">
      <c r="A62" t="s">
        <v>271</v>
      </c>
      <c r="B62" t="s">
        <v>263</v>
      </c>
      <c r="C62" t="s">
        <v>227</v>
      </c>
      <c r="D62" t="s">
        <v>112</v>
      </c>
      <c r="E62" t="s">
        <v>96</v>
      </c>
      <c r="F62" t="s">
        <v>31</v>
      </c>
      <c r="G62">
        <f>INDEX(Question_Bank!$J$3:$J$14,MATCH(D62,Question_Bank!$A$3:$A$14,0))</f>
        <v>0</v>
      </c>
      <c r="H62">
        <f>IF(F62=G62,1,0)</f>
        <v>0</v>
      </c>
      <c r="I62">
        <f>H62*INDEX(Question_Bank!$M$3:$M$14,MATCH(D62,Question_Bank!$A$3:$A$14,0))</f>
        <v>0</v>
      </c>
      <c r="J62">
        <f>SUMIFS($I$3:$I$518,$A$3:$A$518,A62)</f>
        <v>0</v>
      </c>
      <c r="K62" s="5">
        <f>J62/SUM(Question_Bank!$M$3:$M$14)</f>
        <v>0</v>
      </c>
      <c r="L62" s="5">
        <f>SUMIFS($I$3:$I$518,$A$3:$A$518,A62,$E$3:$E$518,E62)/SUMIFS(Question_Bank!$M$3:$M$14,Question_Bank!$B$3:$B$14,E62)</f>
        <v>0</v>
      </c>
      <c r="M62" t="s">
        <v>272</v>
      </c>
    </row>
    <row r="63" spans="1:13">
      <c r="A63" t="s">
        <v>273</v>
      </c>
      <c r="B63" t="s">
        <v>263</v>
      </c>
      <c r="C63" t="s">
        <v>227</v>
      </c>
      <c r="D63" t="s">
        <v>14</v>
      </c>
      <c r="E63" t="s">
        <v>15</v>
      </c>
      <c r="F63" t="s">
        <v>23</v>
      </c>
      <c r="G63">
        <f>INDEX(Question_Bank!$J$3:$J$14,MATCH(D63,Question_Bank!$A$3:$A$14,0))</f>
        <v>0</v>
      </c>
      <c r="H63">
        <f>IF(F63=G63,1,0)</f>
        <v>0</v>
      </c>
      <c r="I63">
        <f>H63*INDEX(Question_Bank!$M$3:$M$14,MATCH(D63,Question_Bank!$A$3:$A$14,0))</f>
        <v>0</v>
      </c>
      <c r="J63">
        <f>SUMIFS($I$3:$I$518,$A$3:$A$518,A63)</f>
        <v>0</v>
      </c>
      <c r="K63" s="5">
        <f>J63/SUM(Question_Bank!$M$3:$M$14)</f>
        <v>0</v>
      </c>
      <c r="L63" s="5">
        <f>SUMIFS($I$3:$I$518,$A$3:$A$518,A63,$E$3:$E$518,E63)/SUMIFS(Question_Bank!$M$3:$M$14,Question_Bank!$B$3:$B$14,E63)</f>
        <v>0</v>
      </c>
      <c r="M63" t="s">
        <v>274</v>
      </c>
    </row>
    <row r="64" spans="1:13">
      <c r="A64" t="s">
        <v>273</v>
      </c>
      <c r="B64" t="s">
        <v>263</v>
      </c>
      <c r="C64" t="s">
        <v>227</v>
      </c>
      <c r="D64" t="s">
        <v>26</v>
      </c>
      <c r="E64" t="s">
        <v>15</v>
      </c>
      <c r="F64" t="s">
        <v>34</v>
      </c>
      <c r="G64">
        <f>INDEX(Question_Bank!$J$3:$J$14,MATCH(D64,Question_Bank!$A$3:$A$14,0))</f>
        <v>0</v>
      </c>
      <c r="H64">
        <f>IF(F64=G64,1,0)</f>
        <v>0</v>
      </c>
      <c r="I64">
        <f>H64*INDEX(Question_Bank!$M$3:$M$14,MATCH(D64,Question_Bank!$A$3:$A$14,0))</f>
        <v>0</v>
      </c>
      <c r="J64">
        <f>SUMIFS($I$3:$I$518,$A$3:$A$518,A64)</f>
        <v>0</v>
      </c>
      <c r="K64" s="5">
        <f>J64/SUM(Question_Bank!$M$3:$M$14)</f>
        <v>0</v>
      </c>
      <c r="L64" s="5">
        <f>SUMIFS($I$3:$I$518,$A$3:$A$518,A64,$E$3:$E$518,E64)/SUMIFS(Question_Bank!$M$3:$M$14,Question_Bank!$B$3:$B$14,E64)</f>
        <v>0</v>
      </c>
      <c r="M64" t="s">
        <v>274</v>
      </c>
    </row>
    <row r="65" spans="1:13">
      <c r="A65" t="s">
        <v>273</v>
      </c>
      <c r="B65" t="s">
        <v>263</v>
      </c>
      <c r="C65" t="s">
        <v>227</v>
      </c>
      <c r="D65" t="s">
        <v>37</v>
      </c>
      <c r="E65" t="s">
        <v>15</v>
      </c>
      <c r="F65" t="s">
        <v>20</v>
      </c>
      <c r="G65">
        <f>INDEX(Question_Bank!$J$3:$J$14,MATCH(D65,Question_Bank!$A$3:$A$14,0))</f>
        <v>0</v>
      </c>
      <c r="H65">
        <f>IF(F65=G65,1,0)</f>
        <v>0</v>
      </c>
      <c r="I65">
        <f>H65*INDEX(Question_Bank!$M$3:$M$14,MATCH(D65,Question_Bank!$A$3:$A$14,0))</f>
        <v>0</v>
      </c>
      <c r="J65">
        <f>SUMIFS($I$3:$I$518,$A$3:$A$518,A65)</f>
        <v>0</v>
      </c>
      <c r="K65" s="5">
        <f>J65/SUM(Question_Bank!$M$3:$M$14)</f>
        <v>0</v>
      </c>
      <c r="L65" s="5">
        <f>SUMIFS($I$3:$I$518,$A$3:$A$518,A65,$E$3:$E$518,E65)/SUMIFS(Question_Bank!$M$3:$M$14,Question_Bank!$B$3:$B$14,E65)</f>
        <v>0</v>
      </c>
      <c r="M65" t="s">
        <v>274</v>
      </c>
    </row>
    <row r="66" spans="1:13">
      <c r="A66" t="s">
        <v>273</v>
      </c>
      <c r="B66" t="s">
        <v>263</v>
      </c>
      <c r="C66" t="s">
        <v>227</v>
      </c>
      <c r="D66" t="s">
        <v>45</v>
      </c>
      <c r="E66" t="s">
        <v>46</v>
      </c>
      <c r="F66" t="s">
        <v>31</v>
      </c>
      <c r="G66">
        <f>INDEX(Question_Bank!$J$3:$J$14,MATCH(D66,Question_Bank!$A$3:$A$14,0))</f>
        <v>0</v>
      </c>
      <c r="H66">
        <f>IF(F66=G66,1,0)</f>
        <v>0</v>
      </c>
      <c r="I66">
        <f>H66*INDEX(Question_Bank!$M$3:$M$14,MATCH(D66,Question_Bank!$A$3:$A$14,0))</f>
        <v>0</v>
      </c>
      <c r="J66">
        <f>SUMIFS($I$3:$I$518,$A$3:$A$518,A66)</f>
        <v>0</v>
      </c>
      <c r="K66" s="5">
        <f>J66/SUM(Question_Bank!$M$3:$M$14)</f>
        <v>0</v>
      </c>
      <c r="L66" s="5">
        <f>SUMIFS($I$3:$I$518,$A$3:$A$518,A66,$E$3:$E$518,E66)/SUMIFS(Question_Bank!$M$3:$M$14,Question_Bank!$B$3:$B$14,E66)</f>
        <v>0</v>
      </c>
      <c r="M66" t="s">
        <v>274</v>
      </c>
    </row>
    <row r="67" spans="1:13">
      <c r="A67" t="s">
        <v>273</v>
      </c>
      <c r="B67" t="s">
        <v>263</v>
      </c>
      <c r="C67" t="s">
        <v>227</v>
      </c>
      <c r="D67" t="s">
        <v>54</v>
      </c>
      <c r="E67" t="s">
        <v>46</v>
      </c>
      <c r="F67" t="s">
        <v>23</v>
      </c>
      <c r="G67">
        <f>INDEX(Question_Bank!$J$3:$J$14,MATCH(D67,Question_Bank!$A$3:$A$14,0))</f>
        <v>0</v>
      </c>
      <c r="H67">
        <f>IF(F67=G67,1,0)</f>
        <v>0</v>
      </c>
      <c r="I67">
        <f>H67*INDEX(Question_Bank!$M$3:$M$14,MATCH(D67,Question_Bank!$A$3:$A$14,0))</f>
        <v>0</v>
      </c>
      <c r="J67">
        <f>SUMIFS($I$3:$I$518,$A$3:$A$518,A67)</f>
        <v>0</v>
      </c>
      <c r="K67" s="5">
        <f>J67/SUM(Question_Bank!$M$3:$M$14)</f>
        <v>0</v>
      </c>
      <c r="L67" s="5">
        <f>SUMIFS($I$3:$I$518,$A$3:$A$518,A67,$E$3:$E$518,E67)/SUMIFS(Question_Bank!$M$3:$M$14,Question_Bank!$B$3:$B$14,E67)</f>
        <v>0</v>
      </c>
      <c r="M67" t="s">
        <v>274</v>
      </c>
    </row>
    <row r="68" spans="1:13">
      <c r="A68" t="s">
        <v>273</v>
      </c>
      <c r="B68" t="s">
        <v>263</v>
      </c>
      <c r="C68" t="s">
        <v>227</v>
      </c>
      <c r="D68" t="s">
        <v>62</v>
      </c>
      <c r="E68" t="s">
        <v>46</v>
      </c>
      <c r="F68" t="s">
        <v>34</v>
      </c>
      <c r="G68">
        <f>INDEX(Question_Bank!$J$3:$J$14,MATCH(D68,Question_Bank!$A$3:$A$14,0))</f>
        <v>0</v>
      </c>
      <c r="H68">
        <f>IF(F68=G68,1,0)</f>
        <v>0</v>
      </c>
      <c r="I68">
        <f>H68*INDEX(Question_Bank!$M$3:$M$14,MATCH(D68,Question_Bank!$A$3:$A$14,0))</f>
        <v>0</v>
      </c>
      <c r="J68">
        <f>SUMIFS($I$3:$I$518,$A$3:$A$518,A68)</f>
        <v>0</v>
      </c>
      <c r="K68" s="5">
        <f>J68/SUM(Question_Bank!$M$3:$M$14)</f>
        <v>0</v>
      </c>
      <c r="L68" s="5">
        <f>SUMIFS($I$3:$I$518,$A$3:$A$518,A68,$E$3:$E$518,E68)/SUMIFS(Question_Bank!$M$3:$M$14,Question_Bank!$B$3:$B$14,E68)</f>
        <v>0</v>
      </c>
      <c r="M68" t="s">
        <v>274</v>
      </c>
    </row>
    <row r="69" spans="1:13">
      <c r="A69" t="s">
        <v>273</v>
      </c>
      <c r="B69" t="s">
        <v>263</v>
      </c>
      <c r="C69" t="s">
        <v>227</v>
      </c>
      <c r="D69" t="s">
        <v>70</v>
      </c>
      <c r="E69" t="s">
        <v>71</v>
      </c>
      <c r="F69" t="s">
        <v>34</v>
      </c>
      <c r="G69">
        <f>INDEX(Question_Bank!$J$3:$J$14,MATCH(D69,Question_Bank!$A$3:$A$14,0))</f>
        <v>0</v>
      </c>
      <c r="H69">
        <f>IF(F69=G69,1,0)</f>
        <v>0</v>
      </c>
      <c r="I69">
        <f>H69*INDEX(Question_Bank!$M$3:$M$14,MATCH(D69,Question_Bank!$A$3:$A$14,0))</f>
        <v>0</v>
      </c>
      <c r="J69">
        <f>SUMIFS($I$3:$I$518,$A$3:$A$518,A69)</f>
        <v>0</v>
      </c>
      <c r="K69" s="5">
        <f>J69/SUM(Question_Bank!$M$3:$M$14)</f>
        <v>0</v>
      </c>
      <c r="L69" s="5">
        <f>SUMIFS($I$3:$I$518,$A$3:$A$518,A69,$E$3:$E$518,E69)/SUMIFS(Question_Bank!$M$3:$M$14,Question_Bank!$B$3:$B$14,E69)</f>
        <v>0</v>
      </c>
      <c r="M69" t="s">
        <v>274</v>
      </c>
    </row>
    <row r="70" spans="1:13">
      <c r="A70" t="s">
        <v>273</v>
      </c>
      <c r="B70" t="s">
        <v>263</v>
      </c>
      <c r="C70" t="s">
        <v>227</v>
      </c>
      <c r="D70" t="s">
        <v>79</v>
      </c>
      <c r="E70" t="s">
        <v>71</v>
      </c>
      <c r="F70" t="s">
        <v>31</v>
      </c>
      <c r="G70">
        <f>INDEX(Question_Bank!$J$3:$J$14,MATCH(D70,Question_Bank!$A$3:$A$14,0))</f>
        <v>0</v>
      </c>
      <c r="H70">
        <f>IF(F70=G70,1,0)</f>
        <v>0</v>
      </c>
      <c r="I70">
        <f>H70*INDEX(Question_Bank!$M$3:$M$14,MATCH(D70,Question_Bank!$A$3:$A$14,0))</f>
        <v>0</v>
      </c>
      <c r="J70">
        <f>SUMIFS($I$3:$I$518,$A$3:$A$518,A70)</f>
        <v>0</v>
      </c>
      <c r="K70" s="5">
        <f>J70/SUM(Question_Bank!$M$3:$M$14)</f>
        <v>0</v>
      </c>
      <c r="L70" s="5">
        <f>SUMIFS($I$3:$I$518,$A$3:$A$518,A70,$E$3:$E$518,E70)/SUMIFS(Question_Bank!$M$3:$M$14,Question_Bank!$B$3:$B$14,E70)</f>
        <v>0</v>
      </c>
      <c r="M70" t="s">
        <v>274</v>
      </c>
    </row>
    <row r="71" spans="1:13">
      <c r="A71" t="s">
        <v>273</v>
      </c>
      <c r="B71" t="s">
        <v>263</v>
      </c>
      <c r="C71" t="s">
        <v>227</v>
      </c>
      <c r="D71" t="s">
        <v>87</v>
      </c>
      <c r="E71" t="s">
        <v>71</v>
      </c>
      <c r="F71" t="s">
        <v>23</v>
      </c>
      <c r="G71">
        <f>INDEX(Question_Bank!$J$3:$J$14,MATCH(D71,Question_Bank!$A$3:$A$14,0))</f>
        <v>0</v>
      </c>
      <c r="H71">
        <f>IF(F71=G71,1,0)</f>
        <v>0</v>
      </c>
      <c r="I71">
        <f>H71*INDEX(Question_Bank!$M$3:$M$14,MATCH(D71,Question_Bank!$A$3:$A$14,0))</f>
        <v>0</v>
      </c>
      <c r="J71">
        <f>SUMIFS($I$3:$I$518,$A$3:$A$518,A71)</f>
        <v>0</v>
      </c>
      <c r="K71" s="5">
        <f>J71/SUM(Question_Bank!$M$3:$M$14)</f>
        <v>0</v>
      </c>
      <c r="L71" s="5">
        <f>SUMIFS($I$3:$I$518,$A$3:$A$518,A71,$E$3:$E$518,E71)/SUMIFS(Question_Bank!$M$3:$M$14,Question_Bank!$B$3:$B$14,E71)</f>
        <v>0</v>
      </c>
      <c r="M71" t="s">
        <v>274</v>
      </c>
    </row>
    <row r="72" spans="1:13">
      <c r="A72" t="s">
        <v>273</v>
      </c>
      <c r="B72" t="s">
        <v>263</v>
      </c>
      <c r="C72" t="s">
        <v>227</v>
      </c>
      <c r="D72" t="s">
        <v>95</v>
      </c>
      <c r="E72" t="s">
        <v>96</v>
      </c>
      <c r="F72" t="s">
        <v>34</v>
      </c>
      <c r="G72">
        <f>INDEX(Question_Bank!$J$3:$J$14,MATCH(D72,Question_Bank!$A$3:$A$14,0))</f>
        <v>0</v>
      </c>
      <c r="H72">
        <f>IF(F72=G72,1,0)</f>
        <v>0</v>
      </c>
      <c r="I72">
        <f>H72*INDEX(Question_Bank!$M$3:$M$14,MATCH(D72,Question_Bank!$A$3:$A$14,0))</f>
        <v>0</v>
      </c>
      <c r="J72">
        <f>SUMIFS($I$3:$I$518,$A$3:$A$518,A72)</f>
        <v>0</v>
      </c>
      <c r="K72" s="5">
        <f>J72/SUM(Question_Bank!$M$3:$M$14)</f>
        <v>0</v>
      </c>
      <c r="L72" s="5">
        <f>SUMIFS($I$3:$I$518,$A$3:$A$518,A72,$E$3:$E$518,E72)/SUMIFS(Question_Bank!$M$3:$M$14,Question_Bank!$B$3:$B$14,E72)</f>
        <v>0</v>
      </c>
      <c r="M72" t="s">
        <v>274</v>
      </c>
    </row>
    <row r="73" spans="1:13">
      <c r="A73" t="s">
        <v>273</v>
      </c>
      <c r="B73" t="s">
        <v>263</v>
      </c>
      <c r="C73" t="s">
        <v>227</v>
      </c>
      <c r="D73" t="s">
        <v>104</v>
      </c>
      <c r="E73" t="s">
        <v>96</v>
      </c>
      <c r="F73" t="s">
        <v>20</v>
      </c>
      <c r="G73">
        <f>INDEX(Question_Bank!$J$3:$J$14,MATCH(D73,Question_Bank!$A$3:$A$14,0))</f>
        <v>0</v>
      </c>
      <c r="H73">
        <f>IF(F73=G73,1,0)</f>
        <v>0</v>
      </c>
      <c r="I73">
        <f>H73*INDEX(Question_Bank!$M$3:$M$14,MATCH(D73,Question_Bank!$A$3:$A$14,0))</f>
        <v>0</v>
      </c>
      <c r="J73">
        <f>SUMIFS($I$3:$I$518,$A$3:$A$518,A73)</f>
        <v>0</v>
      </c>
      <c r="K73" s="5">
        <f>J73/SUM(Question_Bank!$M$3:$M$14)</f>
        <v>0</v>
      </c>
      <c r="L73" s="5">
        <f>SUMIFS($I$3:$I$518,$A$3:$A$518,A73,$E$3:$E$518,E73)/SUMIFS(Question_Bank!$M$3:$M$14,Question_Bank!$B$3:$B$14,E73)</f>
        <v>0</v>
      </c>
      <c r="M73" t="s">
        <v>274</v>
      </c>
    </row>
    <row r="74" spans="1:13">
      <c r="A74" t="s">
        <v>273</v>
      </c>
      <c r="B74" t="s">
        <v>263</v>
      </c>
      <c r="C74" t="s">
        <v>227</v>
      </c>
      <c r="D74" t="s">
        <v>112</v>
      </c>
      <c r="E74" t="s">
        <v>96</v>
      </c>
      <c r="F74" t="s">
        <v>31</v>
      </c>
      <c r="G74">
        <f>INDEX(Question_Bank!$J$3:$J$14,MATCH(D74,Question_Bank!$A$3:$A$14,0))</f>
        <v>0</v>
      </c>
      <c r="H74">
        <f>IF(F74=G74,1,0)</f>
        <v>0</v>
      </c>
      <c r="I74">
        <f>H74*INDEX(Question_Bank!$M$3:$M$14,MATCH(D74,Question_Bank!$A$3:$A$14,0))</f>
        <v>0</v>
      </c>
      <c r="J74">
        <f>SUMIFS($I$3:$I$518,$A$3:$A$518,A74)</f>
        <v>0</v>
      </c>
      <c r="K74" s="5">
        <f>J74/SUM(Question_Bank!$M$3:$M$14)</f>
        <v>0</v>
      </c>
      <c r="L74" s="5">
        <f>SUMIFS($I$3:$I$518,$A$3:$A$518,A74,$E$3:$E$518,E74)/SUMIFS(Question_Bank!$M$3:$M$14,Question_Bank!$B$3:$B$14,E74)</f>
        <v>0</v>
      </c>
      <c r="M74" t="s">
        <v>274</v>
      </c>
    </row>
    <row r="75" spans="1:13">
      <c r="A75" t="s">
        <v>275</v>
      </c>
      <c r="B75" t="s">
        <v>263</v>
      </c>
      <c r="C75" t="s">
        <v>227</v>
      </c>
      <c r="D75" t="s">
        <v>14</v>
      </c>
      <c r="E75" t="s">
        <v>15</v>
      </c>
      <c r="F75" t="s">
        <v>23</v>
      </c>
      <c r="G75">
        <f>INDEX(Question_Bank!$J$3:$J$14,MATCH(D75,Question_Bank!$A$3:$A$14,0))</f>
        <v>0</v>
      </c>
      <c r="H75">
        <f>IF(F75=G75,1,0)</f>
        <v>0</v>
      </c>
      <c r="I75">
        <f>H75*INDEX(Question_Bank!$M$3:$M$14,MATCH(D75,Question_Bank!$A$3:$A$14,0))</f>
        <v>0</v>
      </c>
      <c r="J75">
        <f>SUMIFS($I$3:$I$518,$A$3:$A$518,A75)</f>
        <v>0</v>
      </c>
      <c r="K75" s="5">
        <f>J75/SUM(Question_Bank!$M$3:$M$14)</f>
        <v>0</v>
      </c>
      <c r="L75" s="5">
        <f>SUMIFS($I$3:$I$518,$A$3:$A$518,A75,$E$3:$E$518,E75)/SUMIFS(Question_Bank!$M$3:$M$14,Question_Bank!$B$3:$B$14,E75)</f>
        <v>0</v>
      </c>
      <c r="M75" t="s">
        <v>276</v>
      </c>
    </row>
    <row r="76" spans="1:13">
      <c r="A76" t="s">
        <v>275</v>
      </c>
      <c r="B76" t="s">
        <v>263</v>
      </c>
      <c r="C76" t="s">
        <v>227</v>
      </c>
      <c r="D76" t="s">
        <v>26</v>
      </c>
      <c r="E76" t="s">
        <v>15</v>
      </c>
      <c r="F76" t="s">
        <v>34</v>
      </c>
      <c r="G76">
        <f>INDEX(Question_Bank!$J$3:$J$14,MATCH(D76,Question_Bank!$A$3:$A$14,0))</f>
        <v>0</v>
      </c>
      <c r="H76">
        <f>IF(F76=G76,1,0)</f>
        <v>0</v>
      </c>
      <c r="I76">
        <f>H76*INDEX(Question_Bank!$M$3:$M$14,MATCH(D76,Question_Bank!$A$3:$A$14,0))</f>
        <v>0</v>
      </c>
      <c r="J76">
        <f>SUMIFS($I$3:$I$518,$A$3:$A$518,A76)</f>
        <v>0</v>
      </c>
      <c r="K76" s="5">
        <f>J76/SUM(Question_Bank!$M$3:$M$14)</f>
        <v>0</v>
      </c>
      <c r="L76" s="5">
        <f>SUMIFS($I$3:$I$518,$A$3:$A$518,A76,$E$3:$E$518,E76)/SUMIFS(Question_Bank!$M$3:$M$14,Question_Bank!$B$3:$B$14,E76)</f>
        <v>0</v>
      </c>
      <c r="M76" t="s">
        <v>276</v>
      </c>
    </row>
    <row r="77" spans="1:13">
      <c r="A77" t="s">
        <v>275</v>
      </c>
      <c r="B77" t="s">
        <v>263</v>
      </c>
      <c r="C77" t="s">
        <v>227</v>
      </c>
      <c r="D77" t="s">
        <v>37</v>
      </c>
      <c r="E77" t="s">
        <v>15</v>
      </c>
      <c r="F77" t="s">
        <v>20</v>
      </c>
      <c r="G77">
        <f>INDEX(Question_Bank!$J$3:$J$14,MATCH(D77,Question_Bank!$A$3:$A$14,0))</f>
        <v>0</v>
      </c>
      <c r="H77">
        <f>IF(F77=G77,1,0)</f>
        <v>0</v>
      </c>
      <c r="I77">
        <f>H77*INDEX(Question_Bank!$M$3:$M$14,MATCH(D77,Question_Bank!$A$3:$A$14,0))</f>
        <v>0</v>
      </c>
      <c r="J77">
        <f>SUMIFS($I$3:$I$518,$A$3:$A$518,A77)</f>
        <v>0</v>
      </c>
      <c r="K77" s="5">
        <f>J77/SUM(Question_Bank!$M$3:$M$14)</f>
        <v>0</v>
      </c>
      <c r="L77" s="5">
        <f>SUMIFS($I$3:$I$518,$A$3:$A$518,A77,$E$3:$E$518,E77)/SUMIFS(Question_Bank!$M$3:$M$14,Question_Bank!$B$3:$B$14,E77)</f>
        <v>0</v>
      </c>
      <c r="M77" t="s">
        <v>276</v>
      </c>
    </row>
    <row r="78" spans="1:13">
      <c r="A78" t="s">
        <v>275</v>
      </c>
      <c r="B78" t="s">
        <v>263</v>
      </c>
      <c r="C78" t="s">
        <v>227</v>
      </c>
      <c r="D78" t="s">
        <v>45</v>
      </c>
      <c r="E78" t="s">
        <v>46</v>
      </c>
      <c r="F78" t="s">
        <v>31</v>
      </c>
      <c r="G78">
        <f>INDEX(Question_Bank!$J$3:$J$14,MATCH(D78,Question_Bank!$A$3:$A$14,0))</f>
        <v>0</v>
      </c>
      <c r="H78">
        <f>IF(F78=G78,1,0)</f>
        <v>0</v>
      </c>
      <c r="I78">
        <f>H78*INDEX(Question_Bank!$M$3:$M$14,MATCH(D78,Question_Bank!$A$3:$A$14,0))</f>
        <v>0</v>
      </c>
      <c r="J78">
        <f>SUMIFS($I$3:$I$518,$A$3:$A$518,A78)</f>
        <v>0</v>
      </c>
      <c r="K78" s="5">
        <f>J78/SUM(Question_Bank!$M$3:$M$14)</f>
        <v>0</v>
      </c>
      <c r="L78" s="5">
        <f>SUMIFS($I$3:$I$518,$A$3:$A$518,A78,$E$3:$E$518,E78)/SUMIFS(Question_Bank!$M$3:$M$14,Question_Bank!$B$3:$B$14,E78)</f>
        <v>0</v>
      </c>
      <c r="M78" t="s">
        <v>276</v>
      </c>
    </row>
    <row r="79" spans="1:13">
      <c r="A79" t="s">
        <v>275</v>
      </c>
      <c r="B79" t="s">
        <v>263</v>
      </c>
      <c r="C79" t="s">
        <v>227</v>
      </c>
      <c r="D79" t="s">
        <v>54</v>
      </c>
      <c r="E79" t="s">
        <v>46</v>
      </c>
      <c r="F79" t="s">
        <v>23</v>
      </c>
      <c r="G79">
        <f>INDEX(Question_Bank!$J$3:$J$14,MATCH(D79,Question_Bank!$A$3:$A$14,0))</f>
        <v>0</v>
      </c>
      <c r="H79">
        <f>IF(F79=G79,1,0)</f>
        <v>0</v>
      </c>
      <c r="I79">
        <f>H79*INDEX(Question_Bank!$M$3:$M$14,MATCH(D79,Question_Bank!$A$3:$A$14,0))</f>
        <v>0</v>
      </c>
      <c r="J79">
        <f>SUMIFS($I$3:$I$518,$A$3:$A$518,A79)</f>
        <v>0</v>
      </c>
      <c r="K79" s="5">
        <f>J79/SUM(Question_Bank!$M$3:$M$14)</f>
        <v>0</v>
      </c>
      <c r="L79" s="5">
        <f>SUMIFS($I$3:$I$518,$A$3:$A$518,A79,$E$3:$E$518,E79)/SUMIFS(Question_Bank!$M$3:$M$14,Question_Bank!$B$3:$B$14,E79)</f>
        <v>0</v>
      </c>
      <c r="M79" t="s">
        <v>276</v>
      </c>
    </row>
    <row r="80" spans="1:13">
      <c r="A80" t="s">
        <v>275</v>
      </c>
      <c r="B80" t="s">
        <v>263</v>
      </c>
      <c r="C80" t="s">
        <v>227</v>
      </c>
      <c r="D80" t="s">
        <v>62</v>
      </c>
      <c r="E80" t="s">
        <v>46</v>
      </c>
      <c r="F80" t="s">
        <v>34</v>
      </c>
      <c r="G80">
        <f>INDEX(Question_Bank!$J$3:$J$14,MATCH(D80,Question_Bank!$A$3:$A$14,0))</f>
        <v>0</v>
      </c>
      <c r="H80">
        <f>IF(F80=G80,1,0)</f>
        <v>0</v>
      </c>
      <c r="I80">
        <f>H80*INDEX(Question_Bank!$M$3:$M$14,MATCH(D80,Question_Bank!$A$3:$A$14,0))</f>
        <v>0</v>
      </c>
      <c r="J80">
        <f>SUMIFS($I$3:$I$518,$A$3:$A$518,A80)</f>
        <v>0</v>
      </c>
      <c r="K80" s="5">
        <f>J80/SUM(Question_Bank!$M$3:$M$14)</f>
        <v>0</v>
      </c>
      <c r="L80" s="5">
        <f>SUMIFS($I$3:$I$518,$A$3:$A$518,A80,$E$3:$E$518,E80)/SUMIFS(Question_Bank!$M$3:$M$14,Question_Bank!$B$3:$B$14,E80)</f>
        <v>0</v>
      </c>
      <c r="M80" t="s">
        <v>276</v>
      </c>
    </row>
    <row r="81" spans="1:13">
      <c r="A81" t="s">
        <v>275</v>
      </c>
      <c r="B81" t="s">
        <v>263</v>
      </c>
      <c r="C81" t="s">
        <v>227</v>
      </c>
      <c r="D81" t="s">
        <v>70</v>
      </c>
      <c r="E81" t="s">
        <v>71</v>
      </c>
      <c r="F81" t="s">
        <v>34</v>
      </c>
      <c r="G81">
        <f>INDEX(Question_Bank!$J$3:$J$14,MATCH(D81,Question_Bank!$A$3:$A$14,0))</f>
        <v>0</v>
      </c>
      <c r="H81">
        <f>IF(F81=G81,1,0)</f>
        <v>0</v>
      </c>
      <c r="I81">
        <f>H81*INDEX(Question_Bank!$M$3:$M$14,MATCH(D81,Question_Bank!$A$3:$A$14,0))</f>
        <v>0</v>
      </c>
      <c r="J81">
        <f>SUMIFS($I$3:$I$518,$A$3:$A$518,A81)</f>
        <v>0</v>
      </c>
      <c r="K81" s="5">
        <f>J81/SUM(Question_Bank!$M$3:$M$14)</f>
        <v>0</v>
      </c>
      <c r="L81" s="5">
        <f>SUMIFS($I$3:$I$518,$A$3:$A$518,A81,$E$3:$E$518,E81)/SUMIFS(Question_Bank!$M$3:$M$14,Question_Bank!$B$3:$B$14,E81)</f>
        <v>0</v>
      </c>
      <c r="M81" t="s">
        <v>276</v>
      </c>
    </row>
    <row r="82" spans="1:13">
      <c r="A82" t="s">
        <v>275</v>
      </c>
      <c r="B82" t="s">
        <v>263</v>
      </c>
      <c r="C82" t="s">
        <v>227</v>
      </c>
      <c r="D82" t="s">
        <v>79</v>
      </c>
      <c r="E82" t="s">
        <v>71</v>
      </c>
      <c r="F82" t="s">
        <v>20</v>
      </c>
      <c r="G82">
        <f>INDEX(Question_Bank!$J$3:$J$14,MATCH(D82,Question_Bank!$A$3:$A$14,0))</f>
        <v>0</v>
      </c>
      <c r="H82">
        <f>IF(F82=G82,1,0)</f>
        <v>0</v>
      </c>
      <c r="I82">
        <f>H82*INDEX(Question_Bank!$M$3:$M$14,MATCH(D82,Question_Bank!$A$3:$A$14,0))</f>
        <v>0</v>
      </c>
      <c r="J82">
        <f>SUMIFS($I$3:$I$518,$A$3:$A$518,A82)</f>
        <v>0</v>
      </c>
      <c r="K82" s="5">
        <f>J82/SUM(Question_Bank!$M$3:$M$14)</f>
        <v>0</v>
      </c>
      <c r="L82" s="5">
        <f>SUMIFS($I$3:$I$518,$A$3:$A$518,A82,$E$3:$E$518,E82)/SUMIFS(Question_Bank!$M$3:$M$14,Question_Bank!$B$3:$B$14,E82)</f>
        <v>0</v>
      </c>
      <c r="M82" t="s">
        <v>276</v>
      </c>
    </row>
    <row r="83" spans="1:13">
      <c r="A83" t="s">
        <v>275</v>
      </c>
      <c r="B83" t="s">
        <v>263</v>
      </c>
      <c r="C83" t="s">
        <v>227</v>
      </c>
      <c r="D83" t="s">
        <v>87</v>
      </c>
      <c r="E83" t="s">
        <v>71</v>
      </c>
      <c r="F83" t="s">
        <v>34</v>
      </c>
      <c r="G83">
        <f>INDEX(Question_Bank!$J$3:$J$14,MATCH(D83,Question_Bank!$A$3:$A$14,0))</f>
        <v>0</v>
      </c>
      <c r="H83">
        <f>IF(F83=G83,1,0)</f>
        <v>0</v>
      </c>
      <c r="I83">
        <f>H83*INDEX(Question_Bank!$M$3:$M$14,MATCH(D83,Question_Bank!$A$3:$A$14,0))</f>
        <v>0</v>
      </c>
      <c r="J83">
        <f>SUMIFS($I$3:$I$518,$A$3:$A$518,A83)</f>
        <v>0</v>
      </c>
      <c r="K83" s="5">
        <f>J83/SUM(Question_Bank!$M$3:$M$14)</f>
        <v>0</v>
      </c>
      <c r="L83" s="5">
        <f>SUMIFS($I$3:$I$518,$A$3:$A$518,A83,$E$3:$E$518,E83)/SUMIFS(Question_Bank!$M$3:$M$14,Question_Bank!$B$3:$B$14,E83)</f>
        <v>0</v>
      </c>
      <c r="M83" t="s">
        <v>276</v>
      </c>
    </row>
    <row r="84" spans="1:13">
      <c r="A84" t="s">
        <v>275</v>
      </c>
      <c r="B84" t="s">
        <v>263</v>
      </c>
      <c r="C84" t="s">
        <v>227</v>
      </c>
      <c r="D84" t="s">
        <v>95</v>
      </c>
      <c r="E84" t="s">
        <v>96</v>
      </c>
      <c r="F84" t="s">
        <v>34</v>
      </c>
      <c r="G84">
        <f>INDEX(Question_Bank!$J$3:$J$14,MATCH(D84,Question_Bank!$A$3:$A$14,0))</f>
        <v>0</v>
      </c>
      <c r="H84">
        <f>IF(F84=G84,1,0)</f>
        <v>0</v>
      </c>
      <c r="I84">
        <f>H84*INDEX(Question_Bank!$M$3:$M$14,MATCH(D84,Question_Bank!$A$3:$A$14,0))</f>
        <v>0</v>
      </c>
      <c r="J84">
        <f>SUMIFS($I$3:$I$518,$A$3:$A$518,A84)</f>
        <v>0</v>
      </c>
      <c r="K84" s="5">
        <f>J84/SUM(Question_Bank!$M$3:$M$14)</f>
        <v>0</v>
      </c>
      <c r="L84" s="5">
        <f>SUMIFS($I$3:$I$518,$A$3:$A$518,A84,$E$3:$E$518,E84)/SUMIFS(Question_Bank!$M$3:$M$14,Question_Bank!$B$3:$B$14,E84)</f>
        <v>0</v>
      </c>
      <c r="M84" t="s">
        <v>276</v>
      </c>
    </row>
    <row r="85" spans="1:13">
      <c r="A85" t="s">
        <v>275</v>
      </c>
      <c r="B85" t="s">
        <v>263</v>
      </c>
      <c r="C85" t="s">
        <v>227</v>
      </c>
      <c r="D85" t="s">
        <v>104</v>
      </c>
      <c r="E85" t="s">
        <v>96</v>
      </c>
      <c r="F85" t="s">
        <v>20</v>
      </c>
      <c r="G85">
        <f>INDEX(Question_Bank!$J$3:$J$14,MATCH(D85,Question_Bank!$A$3:$A$14,0))</f>
        <v>0</v>
      </c>
      <c r="H85">
        <f>IF(F85=G85,1,0)</f>
        <v>0</v>
      </c>
      <c r="I85">
        <f>H85*INDEX(Question_Bank!$M$3:$M$14,MATCH(D85,Question_Bank!$A$3:$A$14,0))</f>
        <v>0</v>
      </c>
      <c r="J85">
        <f>SUMIFS($I$3:$I$518,$A$3:$A$518,A85)</f>
        <v>0</v>
      </c>
      <c r="K85" s="5">
        <f>J85/SUM(Question_Bank!$M$3:$M$14)</f>
        <v>0</v>
      </c>
      <c r="L85" s="5">
        <f>SUMIFS($I$3:$I$518,$A$3:$A$518,A85,$E$3:$E$518,E85)/SUMIFS(Question_Bank!$M$3:$M$14,Question_Bank!$B$3:$B$14,E85)</f>
        <v>0</v>
      </c>
      <c r="M85" t="s">
        <v>276</v>
      </c>
    </row>
    <row r="86" spans="1:13">
      <c r="A86" t="s">
        <v>275</v>
      </c>
      <c r="B86" t="s">
        <v>263</v>
      </c>
      <c r="C86" t="s">
        <v>227</v>
      </c>
      <c r="D86" t="s">
        <v>112</v>
      </c>
      <c r="E86" t="s">
        <v>96</v>
      </c>
      <c r="F86" t="s">
        <v>31</v>
      </c>
      <c r="G86">
        <f>INDEX(Question_Bank!$J$3:$J$14,MATCH(D86,Question_Bank!$A$3:$A$14,0))</f>
        <v>0</v>
      </c>
      <c r="H86">
        <f>IF(F86=G86,1,0)</f>
        <v>0</v>
      </c>
      <c r="I86">
        <f>H86*INDEX(Question_Bank!$M$3:$M$14,MATCH(D86,Question_Bank!$A$3:$A$14,0))</f>
        <v>0</v>
      </c>
      <c r="J86">
        <f>SUMIFS($I$3:$I$518,$A$3:$A$518,A86)</f>
        <v>0</v>
      </c>
      <c r="K86" s="5">
        <f>J86/SUM(Question_Bank!$M$3:$M$14)</f>
        <v>0</v>
      </c>
      <c r="L86" s="5">
        <f>SUMIFS($I$3:$I$518,$A$3:$A$518,A86,$E$3:$E$518,E86)/SUMIFS(Question_Bank!$M$3:$M$14,Question_Bank!$B$3:$B$14,E86)</f>
        <v>0</v>
      </c>
      <c r="M86" t="s">
        <v>276</v>
      </c>
    </row>
    <row r="87" spans="1:13">
      <c r="A87" t="s">
        <v>277</v>
      </c>
      <c r="B87" t="s">
        <v>263</v>
      </c>
      <c r="C87" t="s">
        <v>227</v>
      </c>
      <c r="D87" t="s">
        <v>14</v>
      </c>
      <c r="E87" t="s">
        <v>15</v>
      </c>
      <c r="F87" t="s">
        <v>23</v>
      </c>
      <c r="G87">
        <f>INDEX(Question_Bank!$J$3:$J$14,MATCH(D87,Question_Bank!$A$3:$A$14,0))</f>
        <v>0</v>
      </c>
      <c r="H87">
        <f>IF(F87=G87,1,0)</f>
        <v>0</v>
      </c>
      <c r="I87">
        <f>H87*INDEX(Question_Bank!$M$3:$M$14,MATCH(D87,Question_Bank!$A$3:$A$14,0))</f>
        <v>0</v>
      </c>
      <c r="J87">
        <f>SUMIFS($I$3:$I$518,$A$3:$A$518,A87)</f>
        <v>0</v>
      </c>
      <c r="K87" s="5">
        <f>J87/SUM(Question_Bank!$M$3:$M$14)</f>
        <v>0</v>
      </c>
      <c r="L87" s="5">
        <f>SUMIFS($I$3:$I$518,$A$3:$A$518,A87,$E$3:$E$518,E87)/SUMIFS(Question_Bank!$M$3:$M$14,Question_Bank!$B$3:$B$14,E87)</f>
        <v>0</v>
      </c>
      <c r="M87" t="s">
        <v>278</v>
      </c>
    </row>
    <row r="88" spans="1:13">
      <c r="A88" t="s">
        <v>277</v>
      </c>
      <c r="B88" t="s">
        <v>263</v>
      </c>
      <c r="C88" t="s">
        <v>227</v>
      </c>
      <c r="D88" t="s">
        <v>26</v>
      </c>
      <c r="E88" t="s">
        <v>15</v>
      </c>
      <c r="F88" t="s">
        <v>34</v>
      </c>
      <c r="G88">
        <f>INDEX(Question_Bank!$J$3:$J$14,MATCH(D88,Question_Bank!$A$3:$A$14,0))</f>
        <v>0</v>
      </c>
      <c r="H88">
        <f>IF(F88=G88,1,0)</f>
        <v>0</v>
      </c>
      <c r="I88">
        <f>H88*INDEX(Question_Bank!$M$3:$M$14,MATCH(D88,Question_Bank!$A$3:$A$14,0))</f>
        <v>0</v>
      </c>
      <c r="J88">
        <f>SUMIFS($I$3:$I$518,$A$3:$A$518,A88)</f>
        <v>0</v>
      </c>
      <c r="K88" s="5">
        <f>J88/SUM(Question_Bank!$M$3:$M$14)</f>
        <v>0</v>
      </c>
      <c r="L88" s="5">
        <f>SUMIFS($I$3:$I$518,$A$3:$A$518,A88,$E$3:$E$518,E88)/SUMIFS(Question_Bank!$M$3:$M$14,Question_Bank!$B$3:$B$14,E88)</f>
        <v>0</v>
      </c>
      <c r="M88" t="s">
        <v>278</v>
      </c>
    </row>
    <row r="89" spans="1:13">
      <c r="A89" t="s">
        <v>277</v>
      </c>
      <c r="B89" t="s">
        <v>263</v>
      </c>
      <c r="C89" t="s">
        <v>227</v>
      </c>
      <c r="D89" t="s">
        <v>37</v>
      </c>
      <c r="E89" t="s">
        <v>15</v>
      </c>
      <c r="F89" t="s">
        <v>20</v>
      </c>
      <c r="G89">
        <f>INDEX(Question_Bank!$J$3:$J$14,MATCH(D89,Question_Bank!$A$3:$A$14,0))</f>
        <v>0</v>
      </c>
      <c r="H89">
        <f>IF(F89=G89,1,0)</f>
        <v>0</v>
      </c>
      <c r="I89">
        <f>H89*INDEX(Question_Bank!$M$3:$M$14,MATCH(D89,Question_Bank!$A$3:$A$14,0))</f>
        <v>0</v>
      </c>
      <c r="J89">
        <f>SUMIFS($I$3:$I$518,$A$3:$A$518,A89)</f>
        <v>0</v>
      </c>
      <c r="K89" s="5">
        <f>J89/SUM(Question_Bank!$M$3:$M$14)</f>
        <v>0</v>
      </c>
      <c r="L89" s="5">
        <f>SUMIFS($I$3:$I$518,$A$3:$A$518,A89,$E$3:$E$518,E89)/SUMIFS(Question_Bank!$M$3:$M$14,Question_Bank!$B$3:$B$14,E89)</f>
        <v>0</v>
      </c>
      <c r="M89" t="s">
        <v>278</v>
      </c>
    </row>
    <row r="90" spans="1:13">
      <c r="A90" t="s">
        <v>277</v>
      </c>
      <c r="B90" t="s">
        <v>263</v>
      </c>
      <c r="C90" t="s">
        <v>227</v>
      </c>
      <c r="D90" t="s">
        <v>45</v>
      </c>
      <c r="E90" t="s">
        <v>46</v>
      </c>
      <c r="F90" t="s">
        <v>31</v>
      </c>
      <c r="G90">
        <f>INDEX(Question_Bank!$J$3:$J$14,MATCH(D90,Question_Bank!$A$3:$A$14,0))</f>
        <v>0</v>
      </c>
      <c r="H90">
        <f>IF(F90=G90,1,0)</f>
        <v>0</v>
      </c>
      <c r="I90">
        <f>H90*INDEX(Question_Bank!$M$3:$M$14,MATCH(D90,Question_Bank!$A$3:$A$14,0))</f>
        <v>0</v>
      </c>
      <c r="J90">
        <f>SUMIFS($I$3:$I$518,$A$3:$A$518,A90)</f>
        <v>0</v>
      </c>
      <c r="K90" s="5">
        <f>J90/SUM(Question_Bank!$M$3:$M$14)</f>
        <v>0</v>
      </c>
      <c r="L90" s="5">
        <f>SUMIFS($I$3:$I$518,$A$3:$A$518,A90,$E$3:$E$518,E90)/SUMIFS(Question_Bank!$M$3:$M$14,Question_Bank!$B$3:$B$14,E90)</f>
        <v>0</v>
      </c>
      <c r="M90" t="s">
        <v>278</v>
      </c>
    </row>
    <row r="91" spans="1:13">
      <c r="A91" t="s">
        <v>277</v>
      </c>
      <c r="B91" t="s">
        <v>263</v>
      </c>
      <c r="C91" t="s">
        <v>227</v>
      </c>
      <c r="D91" t="s">
        <v>54</v>
      </c>
      <c r="E91" t="s">
        <v>46</v>
      </c>
      <c r="F91" t="s">
        <v>23</v>
      </c>
      <c r="G91">
        <f>INDEX(Question_Bank!$J$3:$J$14,MATCH(D91,Question_Bank!$A$3:$A$14,0))</f>
        <v>0</v>
      </c>
      <c r="H91">
        <f>IF(F91=G91,1,0)</f>
        <v>0</v>
      </c>
      <c r="I91">
        <f>H91*INDEX(Question_Bank!$M$3:$M$14,MATCH(D91,Question_Bank!$A$3:$A$14,0))</f>
        <v>0</v>
      </c>
      <c r="J91">
        <f>SUMIFS($I$3:$I$518,$A$3:$A$518,A91)</f>
        <v>0</v>
      </c>
      <c r="K91" s="5">
        <f>J91/SUM(Question_Bank!$M$3:$M$14)</f>
        <v>0</v>
      </c>
      <c r="L91" s="5">
        <f>SUMIFS($I$3:$I$518,$A$3:$A$518,A91,$E$3:$E$518,E91)/SUMIFS(Question_Bank!$M$3:$M$14,Question_Bank!$B$3:$B$14,E91)</f>
        <v>0</v>
      </c>
      <c r="M91" t="s">
        <v>278</v>
      </c>
    </row>
    <row r="92" spans="1:13">
      <c r="A92" t="s">
        <v>277</v>
      </c>
      <c r="B92" t="s">
        <v>263</v>
      </c>
      <c r="C92" t="s">
        <v>227</v>
      </c>
      <c r="D92" t="s">
        <v>62</v>
      </c>
      <c r="E92" t="s">
        <v>46</v>
      </c>
      <c r="F92" t="s">
        <v>20</v>
      </c>
      <c r="G92">
        <f>INDEX(Question_Bank!$J$3:$J$14,MATCH(D92,Question_Bank!$A$3:$A$14,0))</f>
        <v>0</v>
      </c>
      <c r="H92">
        <f>IF(F92=G92,1,0)</f>
        <v>0</v>
      </c>
      <c r="I92">
        <f>H92*INDEX(Question_Bank!$M$3:$M$14,MATCH(D92,Question_Bank!$A$3:$A$14,0))</f>
        <v>0</v>
      </c>
      <c r="J92">
        <f>SUMIFS($I$3:$I$518,$A$3:$A$518,A92)</f>
        <v>0</v>
      </c>
      <c r="K92" s="5">
        <f>J92/SUM(Question_Bank!$M$3:$M$14)</f>
        <v>0</v>
      </c>
      <c r="L92" s="5">
        <f>SUMIFS($I$3:$I$518,$A$3:$A$518,A92,$E$3:$E$518,E92)/SUMIFS(Question_Bank!$M$3:$M$14,Question_Bank!$B$3:$B$14,E92)</f>
        <v>0</v>
      </c>
      <c r="M92" t="s">
        <v>278</v>
      </c>
    </row>
    <row r="93" spans="1:13">
      <c r="A93" t="s">
        <v>277</v>
      </c>
      <c r="B93" t="s">
        <v>263</v>
      </c>
      <c r="C93" t="s">
        <v>227</v>
      </c>
      <c r="D93" t="s">
        <v>70</v>
      </c>
      <c r="E93" t="s">
        <v>71</v>
      </c>
      <c r="F93" t="s">
        <v>20</v>
      </c>
      <c r="G93">
        <f>INDEX(Question_Bank!$J$3:$J$14,MATCH(D93,Question_Bank!$A$3:$A$14,0))</f>
        <v>0</v>
      </c>
      <c r="H93">
        <f>IF(F93=G93,1,0)</f>
        <v>0</v>
      </c>
      <c r="I93">
        <f>H93*INDEX(Question_Bank!$M$3:$M$14,MATCH(D93,Question_Bank!$A$3:$A$14,0))</f>
        <v>0</v>
      </c>
      <c r="J93">
        <f>SUMIFS($I$3:$I$518,$A$3:$A$518,A93)</f>
        <v>0</v>
      </c>
      <c r="K93" s="5">
        <f>J93/SUM(Question_Bank!$M$3:$M$14)</f>
        <v>0</v>
      </c>
      <c r="L93" s="5">
        <f>SUMIFS($I$3:$I$518,$A$3:$A$518,A93,$E$3:$E$518,E93)/SUMIFS(Question_Bank!$M$3:$M$14,Question_Bank!$B$3:$B$14,E93)</f>
        <v>0</v>
      </c>
      <c r="M93" t="s">
        <v>278</v>
      </c>
    </row>
    <row r="94" spans="1:13">
      <c r="A94" t="s">
        <v>277</v>
      </c>
      <c r="B94" t="s">
        <v>263</v>
      </c>
      <c r="C94" t="s">
        <v>227</v>
      </c>
      <c r="D94" t="s">
        <v>79</v>
      </c>
      <c r="E94" t="s">
        <v>71</v>
      </c>
      <c r="F94" t="s">
        <v>31</v>
      </c>
      <c r="G94">
        <f>INDEX(Question_Bank!$J$3:$J$14,MATCH(D94,Question_Bank!$A$3:$A$14,0))</f>
        <v>0</v>
      </c>
      <c r="H94">
        <f>IF(F94=G94,1,0)</f>
        <v>0</v>
      </c>
      <c r="I94">
        <f>H94*INDEX(Question_Bank!$M$3:$M$14,MATCH(D94,Question_Bank!$A$3:$A$14,0))</f>
        <v>0</v>
      </c>
      <c r="J94">
        <f>SUMIFS($I$3:$I$518,$A$3:$A$518,A94)</f>
        <v>0</v>
      </c>
      <c r="K94" s="5">
        <f>J94/SUM(Question_Bank!$M$3:$M$14)</f>
        <v>0</v>
      </c>
      <c r="L94" s="5">
        <f>SUMIFS($I$3:$I$518,$A$3:$A$518,A94,$E$3:$E$518,E94)/SUMIFS(Question_Bank!$M$3:$M$14,Question_Bank!$B$3:$B$14,E94)</f>
        <v>0</v>
      </c>
      <c r="M94" t="s">
        <v>278</v>
      </c>
    </row>
    <row r="95" spans="1:13">
      <c r="A95" t="s">
        <v>277</v>
      </c>
      <c r="B95" t="s">
        <v>263</v>
      </c>
      <c r="C95" t="s">
        <v>227</v>
      </c>
      <c r="D95" t="s">
        <v>87</v>
      </c>
      <c r="E95" t="s">
        <v>71</v>
      </c>
      <c r="F95" t="s">
        <v>23</v>
      </c>
      <c r="G95">
        <f>INDEX(Question_Bank!$J$3:$J$14,MATCH(D95,Question_Bank!$A$3:$A$14,0))</f>
        <v>0</v>
      </c>
      <c r="H95">
        <f>IF(F95=G95,1,0)</f>
        <v>0</v>
      </c>
      <c r="I95">
        <f>H95*INDEX(Question_Bank!$M$3:$M$14,MATCH(D95,Question_Bank!$A$3:$A$14,0))</f>
        <v>0</v>
      </c>
      <c r="J95">
        <f>SUMIFS($I$3:$I$518,$A$3:$A$518,A95)</f>
        <v>0</v>
      </c>
      <c r="K95" s="5">
        <f>J95/SUM(Question_Bank!$M$3:$M$14)</f>
        <v>0</v>
      </c>
      <c r="L95" s="5">
        <f>SUMIFS($I$3:$I$518,$A$3:$A$518,A95,$E$3:$E$518,E95)/SUMIFS(Question_Bank!$M$3:$M$14,Question_Bank!$B$3:$B$14,E95)</f>
        <v>0</v>
      </c>
      <c r="M95" t="s">
        <v>278</v>
      </c>
    </row>
    <row r="96" spans="1:13">
      <c r="A96" t="s">
        <v>277</v>
      </c>
      <c r="B96" t="s">
        <v>263</v>
      </c>
      <c r="C96" t="s">
        <v>227</v>
      </c>
      <c r="D96" t="s">
        <v>95</v>
      </c>
      <c r="E96" t="s">
        <v>96</v>
      </c>
      <c r="F96" t="s">
        <v>34</v>
      </c>
      <c r="G96">
        <f>INDEX(Question_Bank!$J$3:$J$14,MATCH(D96,Question_Bank!$A$3:$A$14,0))</f>
        <v>0</v>
      </c>
      <c r="H96">
        <f>IF(F96=G96,1,0)</f>
        <v>0</v>
      </c>
      <c r="I96">
        <f>H96*INDEX(Question_Bank!$M$3:$M$14,MATCH(D96,Question_Bank!$A$3:$A$14,0))</f>
        <v>0</v>
      </c>
      <c r="J96">
        <f>SUMIFS($I$3:$I$518,$A$3:$A$518,A96)</f>
        <v>0</v>
      </c>
      <c r="K96" s="5">
        <f>J96/SUM(Question_Bank!$M$3:$M$14)</f>
        <v>0</v>
      </c>
      <c r="L96" s="5">
        <f>SUMIFS($I$3:$I$518,$A$3:$A$518,A96,$E$3:$E$518,E96)/SUMIFS(Question_Bank!$M$3:$M$14,Question_Bank!$B$3:$B$14,E96)</f>
        <v>0</v>
      </c>
      <c r="M96" t="s">
        <v>278</v>
      </c>
    </row>
    <row r="97" spans="1:13">
      <c r="A97" t="s">
        <v>277</v>
      </c>
      <c r="B97" t="s">
        <v>263</v>
      </c>
      <c r="C97" t="s">
        <v>227</v>
      </c>
      <c r="D97" t="s">
        <v>104</v>
      </c>
      <c r="E97" t="s">
        <v>96</v>
      </c>
      <c r="F97" t="s">
        <v>20</v>
      </c>
      <c r="G97">
        <f>INDEX(Question_Bank!$J$3:$J$14,MATCH(D97,Question_Bank!$A$3:$A$14,0))</f>
        <v>0</v>
      </c>
      <c r="H97">
        <f>IF(F97=G97,1,0)</f>
        <v>0</v>
      </c>
      <c r="I97">
        <f>H97*INDEX(Question_Bank!$M$3:$M$14,MATCH(D97,Question_Bank!$A$3:$A$14,0))</f>
        <v>0</v>
      </c>
      <c r="J97">
        <f>SUMIFS($I$3:$I$518,$A$3:$A$518,A97)</f>
        <v>0</v>
      </c>
      <c r="K97" s="5">
        <f>J97/SUM(Question_Bank!$M$3:$M$14)</f>
        <v>0</v>
      </c>
      <c r="L97" s="5">
        <f>SUMIFS($I$3:$I$518,$A$3:$A$518,A97,$E$3:$E$518,E97)/SUMIFS(Question_Bank!$M$3:$M$14,Question_Bank!$B$3:$B$14,E97)</f>
        <v>0</v>
      </c>
      <c r="M97" t="s">
        <v>278</v>
      </c>
    </row>
    <row r="98" spans="1:13">
      <c r="A98" t="s">
        <v>277</v>
      </c>
      <c r="B98" t="s">
        <v>263</v>
      </c>
      <c r="C98" t="s">
        <v>227</v>
      </c>
      <c r="D98" t="s">
        <v>112</v>
      </c>
      <c r="E98" t="s">
        <v>96</v>
      </c>
      <c r="F98" t="s">
        <v>31</v>
      </c>
      <c r="G98">
        <f>INDEX(Question_Bank!$J$3:$J$14,MATCH(D98,Question_Bank!$A$3:$A$14,0))</f>
        <v>0</v>
      </c>
      <c r="H98">
        <f>IF(F98=G98,1,0)</f>
        <v>0</v>
      </c>
      <c r="I98">
        <f>H98*INDEX(Question_Bank!$M$3:$M$14,MATCH(D98,Question_Bank!$A$3:$A$14,0))</f>
        <v>0</v>
      </c>
      <c r="J98">
        <f>SUMIFS($I$3:$I$518,$A$3:$A$518,A98)</f>
        <v>0</v>
      </c>
      <c r="K98" s="5">
        <f>J98/SUM(Question_Bank!$M$3:$M$14)</f>
        <v>0</v>
      </c>
      <c r="L98" s="5">
        <f>SUMIFS($I$3:$I$518,$A$3:$A$518,A98,$E$3:$E$518,E98)/SUMIFS(Question_Bank!$M$3:$M$14,Question_Bank!$B$3:$B$14,E98)</f>
        <v>0</v>
      </c>
      <c r="M98" t="s">
        <v>278</v>
      </c>
    </row>
    <row r="99" spans="1:13">
      <c r="A99" t="s">
        <v>279</v>
      </c>
      <c r="B99" t="s">
        <v>263</v>
      </c>
      <c r="C99" t="s">
        <v>227</v>
      </c>
      <c r="D99" t="s">
        <v>14</v>
      </c>
      <c r="E99" t="s">
        <v>15</v>
      </c>
      <c r="F99" t="s">
        <v>23</v>
      </c>
      <c r="G99">
        <f>INDEX(Question_Bank!$J$3:$J$14,MATCH(D99,Question_Bank!$A$3:$A$14,0))</f>
        <v>0</v>
      </c>
      <c r="H99">
        <f>IF(F99=G99,1,0)</f>
        <v>0</v>
      </c>
      <c r="I99">
        <f>H99*INDEX(Question_Bank!$M$3:$M$14,MATCH(D99,Question_Bank!$A$3:$A$14,0))</f>
        <v>0</v>
      </c>
      <c r="J99">
        <f>SUMIFS($I$3:$I$518,$A$3:$A$518,A99)</f>
        <v>0</v>
      </c>
      <c r="K99" s="5">
        <f>J99/SUM(Question_Bank!$M$3:$M$14)</f>
        <v>0</v>
      </c>
      <c r="L99" s="5">
        <f>SUMIFS($I$3:$I$518,$A$3:$A$518,A99,$E$3:$E$518,E99)/SUMIFS(Question_Bank!$M$3:$M$14,Question_Bank!$B$3:$B$14,E99)</f>
        <v>0</v>
      </c>
      <c r="M99" t="s">
        <v>280</v>
      </c>
    </row>
    <row r="100" spans="1:13">
      <c r="A100" t="s">
        <v>279</v>
      </c>
      <c r="B100" t="s">
        <v>263</v>
      </c>
      <c r="C100" t="s">
        <v>227</v>
      </c>
      <c r="D100" t="s">
        <v>26</v>
      </c>
      <c r="E100" t="s">
        <v>15</v>
      </c>
      <c r="F100" t="s">
        <v>20</v>
      </c>
      <c r="G100">
        <f>INDEX(Question_Bank!$J$3:$J$14,MATCH(D100,Question_Bank!$A$3:$A$14,0))</f>
        <v>0</v>
      </c>
      <c r="H100">
        <f>IF(F100=G100,1,0)</f>
        <v>0</v>
      </c>
      <c r="I100">
        <f>H100*INDEX(Question_Bank!$M$3:$M$14,MATCH(D100,Question_Bank!$A$3:$A$14,0))</f>
        <v>0</v>
      </c>
      <c r="J100">
        <f>SUMIFS($I$3:$I$518,$A$3:$A$518,A100)</f>
        <v>0</v>
      </c>
      <c r="K100" s="5">
        <f>J100/SUM(Question_Bank!$M$3:$M$14)</f>
        <v>0</v>
      </c>
      <c r="L100" s="5">
        <f>SUMIFS($I$3:$I$518,$A$3:$A$518,A100,$E$3:$E$518,E100)/SUMIFS(Question_Bank!$M$3:$M$14,Question_Bank!$B$3:$B$14,E100)</f>
        <v>0</v>
      </c>
      <c r="M100" t="s">
        <v>280</v>
      </c>
    </row>
    <row r="101" spans="1:13">
      <c r="A101" t="s">
        <v>279</v>
      </c>
      <c r="B101" t="s">
        <v>263</v>
      </c>
      <c r="C101" t="s">
        <v>227</v>
      </c>
      <c r="D101" t="s">
        <v>37</v>
      </c>
      <c r="E101" t="s">
        <v>15</v>
      </c>
      <c r="F101" t="s">
        <v>20</v>
      </c>
      <c r="G101">
        <f>INDEX(Question_Bank!$J$3:$J$14,MATCH(D101,Question_Bank!$A$3:$A$14,0))</f>
        <v>0</v>
      </c>
      <c r="H101">
        <f>IF(F101=G101,1,0)</f>
        <v>0</v>
      </c>
      <c r="I101">
        <f>H101*INDEX(Question_Bank!$M$3:$M$14,MATCH(D101,Question_Bank!$A$3:$A$14,0))</f>
        <v>0</v>
      </c>
      <c r="J101">
        <f>SUMIFS($I$3:$I$518,$A$3:$A$518,A101)</f>
        <v>0</v>
      </c>
      <c r="K101" s="5">
        <f>J101/SUM(Question_Bank!$M$3:$M$14)</f>
        <v>0</v>
      </c>
      <c r="L101" s="5">
        <f>SUMIFS($I$3:$I$518,$A$3:$A$518,A101,$E$3:$E$518,E101)/SUMIFS(Question_Bank!$M$3:$M$14,Question_Bank!$B$3:$B$14,E101)</f>
        <v>0</v>
      </c>
      <c r="M101" t="s">
        <v>280</v>
      </c>
    </row>
    <row r="102" spans="1:13">
      <c r="A102" t="s">
        <v>279</v>
      </c>
      <c r="B102" t="s">
        <v>263</v>
      </c>
      <c r="C102" t="s">
        <v>227</v>
      </c>
      <c r="D102" t="s">
        <v>45</v>
      </c>
      <c r="E102" t="s">
        <v>46</v>
      </c>
      <c r="F102" t="s">
        <v>31</v>
      </c>
      <c r="G102">
        <f>INDEX(Question_Bank!$J$3:$J$14,MATCH(D102,Question_Bank!$A$3:$A$14,0))</f>
        <v>0</v>
      </c>
      <c r="H102">
        <f>IF(F102=G102,1,0)</f>
        <v>0</v>
      </c>
      <c r="I102">
        <f>H102*INDEX(Question_Bank!$M$3:$M$14,MATCH(D102,Question_Bank!$A$3:$A$14,0))</f>
        <v>0</v>
      </c>
      <c r="J102">
        <f>SUMIFS($I$3:$I$518,$A$3:$A$518,A102)</f>
        <v>0</v>
      </c>
      <c r="K102" s="5">
        <f>J102/SUM(Question_Bank!$M$3:$M$14)</f>
        <v>0</v>
      </c>
      <c r="L102" s="5">
        <f>SUMIFS($I$3:$I$518,$A$3:$A$518,A102,$E$3:$E$518,E102)/SUMIFS(Question_Bank!$M$3:$M$14,Question_Bank!$B$3:$B$14,E102)</f>
        <v>0</v>
      </c>
      <c r="M102" t="s">
        <v>280</v>
      </c>
    </row>
    <row r="103" spans="1:13">
      <c r="A103" t="s">
        <v>279</v>
      </c>
      <c r="B103" t="s">
        <v>263</v>
      </c>
      <c r="C103" t="s">
        <v>227</v>
      </c>
      <c r="D103" t="s">
        <v>54</v>
      </c>
      <c r="E103" t="s">
        <v>46</v>
      </c>
      <c r="F103" t="s">
        <v>23</v>
      </c>
      <c r="G103">
        <f>INDEX(Question_Bank!$J$3:$J$14,MATCH(D103,Question_Bank!$A$3:$A$14,0))</f>
        <v>0</v>
      </c>
      <c r="H103">
        <f>IF(F103=G103,1,0)</f>
        <v>0</v>
      </c>
      <c r="I103">
        <f>H103*INDEX(Question_Bank!$M$3:$M$14,MATCH(D103,Question_Bank!$A$3:$A$14,0))</f>
        <v>0</v>
      </c>
      <c r="J103">
        <f>SUMIFS($I$3:$I$518,$A$3:$A$518,A103)</f>
        <v>0</v>
      </c>
      <c r="K103" s="5">
        <f>J103/SUM(Question_Bank!$M$3:$M$14)</f>
        <v>0</v>
      </c>
      <c r="L103" s="5">
        <f>SUMIFS($I$3:$I$518,$A$3:$A$518,A103,$E$3:$E$518,E103)/SUMIFS(Question_Bank!$M$3:$M$14,Question_Bank!$B$3:$B$14,E103)</f>
        <v>0</v>
      </c>
      <c r="M103" t="s">
        <v>280</v>
      </c>
    </row>
    <row r="104" spans="1:13">
      <c r="A104" t="s">
        <v>279</v>
      </c>
      <c r="B104" t="s">
        <v>263</v>
      </c>
      <c r="C104" t="s">
        <v>227</v>
      </c>
      <c r="D104" t="s">
        <v>62</v>
      </c>
      <c r="E104" t="s">
        <v>46</v>
      </c>
      <c r="F104" t="s">
        <v>31</v>
      </c>
      <c r="G104">
        <f>INDEX(Question_Bank!$J$3:$J$14,MATCH(D104,Question_Bank!$A$3:$A$14,0))</f>
        <v>0</v>
      </c>
      <c r="H104">
        <f>IF(F104=G104,1,0)</f>
        <v>0</v>
      </c>
      <c r="I104">
        <f>H104*INDEX(Question_Bank!$M$3:$M$14,MATCH(D104,Question_Bank!$A$3:$A$14,0))</f>
        <v>0</v>
      </c>
      <c r="J104">
        <f>SUMIFS($I$3:$I$518,$A$3:$A$518,A104)</f>
        <v>0</v>
      </c>
      <c r="K104" s="5">
        <f>J104/SUM(Question_Bank!$M$3:$M$14)</f>
        <v>0</v>
      </c>
      <c r="L104" s="5">
        <f>SUMIFS($I$3:$I$518,$A$3:$A$518,A104,$E$3:$E$518,E104)/SUMIFS(Question_Bank!$M$3:$M$14,Question_Bank!$B$3:$B$14,E104)</f>
        <v>0</v>
      </c>
      <c r="M104" t="s">
        <v>280</v>
      </c>
    </row>
    <row r="105" spans="1:13">
      <c r="A105" t="s">
        <v>279</v>
      </c>
      <c r="B105" t="s">
        <v>263</v>
      </c>
      <c r="C105" t="s">
        <v>227</v>
      </c>
      <c r="D105" t="s">
        <v>70</v>
      </c>
      <c r="E105" t="s">
        <v>71</v>
      </c>
      <c r="F105" t="s">
        <v>20</v>
      </c>
      <c r="G105">
        <f>INDEX(Question_Bank!$J$3:$J$14,MATCH(D105,Question_Bank!$A$3:$A$14,0))</f>
        <v>0</v>
      </c>
      <c r="H105">
        <f>IF(F105=G105,1,0)</f>
        <v>0</v>
      </c>
      <c r="I105">
        <f>H105*INDEX(Question_Bank!$M$3:$M$14,MATCH(D105,Question_Bank!$A$3:$A$14,0))</f>
        <v>0</v>
      </c>
      <c r="J105">
        <f>SUMIFS($I$3:$I$518,$A$3:$A$518,A105)</f>
        <v>0</v>
      </c>
      <c r="K105" s="5">
        <f>J105/SUM(Question_Bank!$M$3:$M$14)</f>
        <v>0</v>
      </c>
      <c r="L105" s="5">
        <f>SUMIFS($I$3:$I$518,$A$3:$A$518,A105,$E$3:$E$518,E105)/SUMIFS(Question_Bank!$M$3:$M$14,Question_Bank!$B$3:$B$14,E105)</f>
        <v>0</v>
      </c>
      <c r="M105" t="s">
        <v>280</v>
      </c>
    </row>
    <row r="106" spans="1:13">
      <c r="A106" t="s">
        <v>279</v>
      </c>
      <c r="B106" t="s">
        <v>263</v>
      </c>
      <c r="C106" t="s">
        <v>227</v>
      </c>
      <c r="D106" t="s">
        <v>79</v>
      </c>
      <c r="E106" t="s">
        <v>71</v>
      </c>
      <c r="F106" t="s">
        <v>31</v>
      </c>
      <c r="G106">
        <f>INDEX(Question_Bank!$J$3:$J$14,MATCH(D106,Question_Bank!$A$3:$A$14,0))</f>
        <v>0</v>
      </c>
      <c r="H106">
        <f>IF(F106=G106,1,0)</f>
        <v>0</v>
      </c>
      <c r="I106">
        <f>H106*INDEX(Question_Bank!$M$3:$M$14,MATCH(D106,Question_Bank!$A$3:$A$14,0))</f>
        <v>0</v>
      </c>
      <c r="J106">
        <f>SUMIFS($I$3:$I$518,$A$3:$A$518,A106)</f>
        <v>0</v>
      </c>
      <c r="K106" s="5">
        <f>J106/SUM(Question_Bank!$M$3:$M$14)</f>
        <v>0</v>
      </c>
      <c r="L106" s="5">
        <f>SUMIFS($I$3:$I$518,$A$3:$A$518,A106,$E$3:$E$518,E106)/SUMIFS(Question_Bank!$M$3:$M$14,Question_Bank!$B$3:$B$14,E106)</f>
        <v>0</v>
      </c>
      <c r="M106" t="s">
        <v>280</v>
      </c>
    </row>
    <row r="107" spans="1:13">
      <c r="A107" t="s">
        <v>279</v>
      </c>
      <c r="B107" t="s">
        <v>263</v>
      </c>
      <c r="C107" t="s">
        <v>227</v>
      </c>
      <c r="D107" t="s">
        <v>87</v>
      </c>
      <c r="E107" t="s">
        <v>71</v>
      </c>
      <c r="F107" t="s">
        <v>23</v>
      </c>
      <c r="G107">
        <f>INDEX(Question_Bank!$J$3:$J$14,MATCH(D107,Question_Bank!$A$3:$A$14,0))</f>
        <v>0</v>
      </c>
      <c r="H107">
        <f>IF(F107=G107,1,0)</f>
        <v>0</v>
      </c>
      <c r="I107">
        <f>H107*INDEX(Question_Bank!$M$3:$M$14,MATCH(D107,Question_Bank!$A$3:$A$14,0))</f>
        <v>0</v>
      </c>
      <c r="J107">
        <f>SUMIFS($I$3:$I$518,$A$3:$A$518,A107)</f>
        <v>0</v>
      </c>
      <c r="K107" s="5">
        <f>J107/SUM(Question_Bank!$M$3:$M$14)</f>
        <v>0</v>
      </c>
      <c r="L107" s="5">
        <f>SUMIFS($I$3:$I$518,$A$3:$A$518,A107,$E$3:$E$518,E107)/SUMIFS(Question_Bank!$M$3:$M$14,Question_Bank!$B$3:$B$14,E107)</f>
        <v>0</v>
      </c>
      <c r="M107" t="s">
        <v>280</v>
      </c>
    </row>
    <row r="108" spans="1:13">
      <c r="A108" t="s">
        <v>279</v>
      </c>
      <c r="B108" t="s">
        <v>263</v>
      </c>
      <c r="C108" t="s">
        <v>227</v>
      </c>
      <c r="D108" t="s">
        <v>95</v>
      </c>
      <c r="E108" t="s">
        <v>96</v>
      </c>
      <c r="F108" t="s">
        <v>34</v>
      </c>
      <c r="G108">
        <f>INDEX(Question_Bank!$J$3:$J$14,MATCH(D108,Question_Bank!$A$3:$A$14,0))</f>
        <v>0</v>
      </c>
      <c r="H108">
        <f>IF(F108=G108,1,0)</f>
        <v>0</v>
      </c>
      <c r="I108">
        <f>H108*INDEX(Question_Bank!$M$3:$M$14,MATCH(D108,Question_Bank!$A$3:$A$14,0))</f>
        <v>0</v>
      </c>
      <c r="J108">
        <f>SUMIFS($I$3:$I$518,$A$3:$A$518,A108)</f>
        <v>0</v>
      </c>
      <c r="K108" s="5">
        <f>J108/SUM(Question_Bank!$M$3:$M$14)</f>
        <v>0</v>
      </c>
      <c r="L108" s="5">
        <f>SUMIFS($I$3:$I$518,$A$3:$A$518,A108,$E$3:$E$518,E108)/SUMIFS(Question_Bank!$M$3:$M$14,Question_Bank!$B$3:$B$14,E108)</f>
        <v>0</v>
      </c>
      <c r="M108" t="s">
        <v>280</v>
      </c>
    </row>
    <row r="109" spans="1:13">
      <c r="A109" t="s">
        <v>279</v>
      </c>
      <c r="B109" t="s">
        <v>263</v>
      </c>
      <c r="C109" t="s">
        <v>227</v>
      </c>
      <c r="D109" t="s">
        <v>104</v>
      </c>
      <c r="E109" t="s">
        <v>96</v>
      </c>
      <c r="F109" t="s">
        <v>20</v>
      </c>
      <c r="G109">
        <f>INDEX(Question_Bank!$J$3:$J$14,MATCH(D109,Question_Bank!$A$3:$A$14,0))</f>
        <v>0</v>
      </c>
      <c r="H109">
        <f>IF(F109=G109,1,0)</f>
        <v>0</v>
      </c>
      <c r="I109">
        <f>H109*INDEX(Question_Bank!$M$3:$M$14,MATCH(D109,Question_Bank!$A$3:$A$14,0))</f>
        <v>0</v>
      </c>
      <c r="J109">
        <f>SUMIFS($I$3:$I$518,$A$3:$A$518,A109)</f>
        <v>0</v>
      </c>
      <c r="K109" s="5">
        <f>J109/SUM(Question_Bank!$M$3:$M$14)</f>
        <v>0</v>
      </c>
      <c r="L109" s="5">
        <f>SUMIFS($I$3:$I$518,$A$3:$A$518,A109,$E$3:$E$518,E109)/SUMIFS(Question_Bank!$M$3:$M$14,Question_Bank!$B$3:$B$14,E109)</f>
        <v>0</v>
      </c>
      <c r="M109" t="s">
        <v>280</v>
      </c>
    </row>
    <row r="110" spans="1:13">
      <c r="A110" t="s">
        <v>279</v>
      </c>
      <c r="B110" t="s">
        <v>263</v>
      </c>
      <c r="C110" t="s">
        <v>227</v>
      </c>
      <c r="D110" t="s">
        <v>112</v>
      </c>
      <c r="E110" t="s">
        <v>96</v>
      </c>
      <c r="F110" t="s">
        <v>34</v>
      </c>
      <c r="G110">
        <f>INDEX(Question_Bank!$J$3:$J$14,MATCH(D110,Question_Bank!$A$3:$A$14,0))</f>
        <v>0</v>
      </c>
      <c r="H110">
        <f>IF(F110=G110,1,0)</f>
        <v>0</v>
      </c>
      <c r="I110">
        <f>H110*INDEX(Question_Bank!$M$3:$M$14,MATCH(D110,Question_Bank!$A$3:$A$14,0))</f>
        <v>0</v>
      </c>
      <c r="J110">
        <f>SUMIFS($I$3:$I$518,$A$3:$A$518,A110)</f>
        <v>0</v>
      </c>
      <c r="K110" s="5">
        <f>J110/SUM(Question_Bank!$M$3:$M$14)</f>
        <v>0</v>
      </c>
      <c r="L110" s="5">
        <f>SUMIFS($I$3:$I$518,$A$3:$A$518,A110,$E$3:$E$518,E110)/SUMIFS(Question_Bank!$M$3:$M$14,Question_Bank!$B$3:$B$14,E110)</f>
        <v>0</v>
      </c>
      <c r="M110" t="s">
        <v>280</v>
      </c>
    </row>
    <row r="111" spans="1:13">
      <c r="A111" t="s">
        <v>281</v>
      </c>
      <c r="B111" t="s">
        <v>263</v>
      </c>
      <c r="C111" t="s">
        <v>227</v>
      </c>
      <c r="D111" t="s">
        <v>14</v>
      </c>
      <c r="E111" t="s">
        <v>15</v>
      </c>
      <c r="F111" t="s">
        <v>23</v>
      </c>
      <c r="G111">
        <f>INDEX(Question_Bank!$J$3:$J$14,MATCH(D111,Question_Bank!$A$3:$A$14,0))</f>
        <v>0</v>
      </c>
      <c r="H111">
        <f>IF(F111=G111,1,0)</f>
        <v>0</v>
      </c>
      <c r="I111">
        <f>H111*INDEX(Question_Bank!$M$3:$M$14,MATCH(D111,Question_Bank!$A$3:$A$14,0))</f>
        <v>0</v>
      </c>
      <c r="J111">
        <f>SUMIFS($I$3:$I$518,$A$3:$A$518,A111)</f>
        <v>0</v>
      </c>
      <c r="K111" s="5">
        <f>J111/SUM(Question_Bank!$M$3:$M$14)</f>
        <v>0</v>
      </c>
      <c r="L111" s="5">
        <f>SUMIFS($I$3:$I$518,$A$3:$A$518,A111,$E$3:$E$518,E111)/SUMIFS(Question_Bank!$M$3:$M$14,Question_Bank!$B$3:$B$14,E111)</f>
        <v>0</v>
      </c>
      <c r="M111" t="s">
        <v>282</v>
      </c>
    </row>
    <row r="112" spans="1:13">
      <c r="A112" t="s">
        <v>281</v>
      </c>
      <c r="B112" t="s">
        <v>263</v>
      </c>
      <c r="C112" t="s">
        <v>227</v>
      </c>
      <c r="D112" t="s">
        <v>26</v>
      </c>
      <c r="E112" t="s">
        <v>15</v>
      </c>
      <c r="F112" t="s">
        <v>34</v>
      </c>
      <c r="G112">
        <f>INDEX(Question_Bank!$J$3:$J$14,MATCH(D112,Question_Bank!$A$3:$A$14,0))</f>
        <v>0</v>
      </c>
      <c r="H112">
        <f>IF(F112=G112,1,0)</f>
        <v>0</v>
      </c>
      <c r="I112">
        <f>H112*INDEX(Question_Bank!$M$3:$M$14,MATCH(D112,Question_Bank!$A$3:$A$14,0))</f>
        <v>0</v>
      </c>
      <c r="J112">
        <f>SUMIFS($I$3:$I$518,$A$3:$A$518,A112)</f>
        <v>0</v>
      </c>
      <c r="K112" s="5">
        <f>J112/SUM(Question_Bank!$M$3:$M$14)</f>
        <v>0</v>
      </c>
      <c r="L112" s="5">
        <f>SUMIFS($I$3:$I$518,$A$3:$A$518,A112,$E$3:$E$518,E112)/SUMIFS(Question_Bank!$M$3:$M$14,Question_Bank!$B$3:$B$14,E112)</f>
        <v>0</v>
      </c>
      <c r="M112" t="s">
        <v>282</v>
      </c>
    </row>
    <row r="113" spans="1:13">
      <c r="A113" t="s">
        <v>281</v>
      </c>
      <c r="B113" t="s">
        <v>263</v>
      </c>
      <c r="C113" t="s">
        <v>227</v>
      </c>
      <c r="D113" t="s">
        <v>37</v>
      </c>
      <c r="E113" t="s">
        <v>15</v>
      </c>
      <c r="F113" t="s">
        <v>20</v>
      </c>
      <c r="G113">
        <f>INDEX(Question_Bank!$J$3:$J$14,MATCH(D113,Question_Bank!$A$3:$A$14,0))</f>
        <v>0</v>
      </c>
      <c r="H113">
        <f>IF(F113=G113,1,0)</f>
        <v>0</v>
      </c>
      <c r="I113">
        <f>H113*INDEX(Question_Bank!$M$3:$M$14,MATCH(D113,Question_Bank!$A$3:$A$14,0))</f>
        <v>0</v>
      </c>
      <c r="J113">
        <f>SUMIFS($I$3:$I$518,$A$3:$A$518,A113)</f>
        <v>0</v>
      </c>
      <c r="K113" s="5">
        <f>J113/SUM(Question_Bank!$M$3:$M$14)</f>
        <v>0</v>
      </c>
      <c r="L113" s="5">
        <f>SUMIFS($I$3:$I$518,$A$3:$A$518,A113,$E$3:$E$518,E113)/SUMIFS(Question_Bank!$M$3:$M$14,Question_Bank!$B$3:$B$14,E113)</f>
        <v>0</v>
      </c>
      <c r="M113" t="s">
        <v>282</v>
      </c>
    </row>
    <row r="114" spans="1:13">
      <c r="A114" t="s">
        <v>281</v>
      </c>
      <c r="B114" t="s">
        <v>263</v>
      </c>
      <c r="C114" t="s">
        <v>227</v>
      </c>
      <c r="D114" t="s">
        <v>45</v>
      </c>
      <c r="E114" t="s">
        <v>46</v>
      </c>
      <c r="F114" t="s">
        <v>31</v>
      </c>
      <c r="G114">
        <f>INDEX(Question_Bank!$J$3:$J$14,MATCH(D114,Question_Bank!$A$3:$A$14,0))</f>
        <v>0</v>
      </c>
      <c r="H114">
        <f>IF(F114=G114,1,0)</f>
        <v>0</v>
      </c>
      <c r="I114">
        <f>H114*INDEX(Question_Bank!$M$3:$M$14,MATCH(D114,Question_Bank!$A$3:$A$14,0))</f>
        <v>0</v>
      </c>
      <c r="J114">
        <f>SUMIFS($I$3:$I$518,$A$3:$A$518,A114)</f>
        <v>0</v>
      </c>
      <c r="K114" s="5">
        <f>J114/SUM(Question_Bank!$M$3:$M$14)</f>
        <v>0</v>
      </c>
      <c r="L114" s="5">
        <f>SUMIFS($I$3:$I$518,$A$3:$A$518,A114,$E$3:$E$518,E114)/SUMIFS(Question_Bank!$M$3:$M$14,Question_Bank!$B$3:$B$14,E114)</f>
        <v>0</v>
      </c>
      <c r="M114" t="s">
        <v>282</v>
      </c>
    </row>
    <row r="115" spans="1:13">
      <c r="A115" t="s">
        <v>281</v>
      </c>
      <c r="B115" t="s">
        <v>263</v>
      </c>
      <c r="C115" t="s">
        <v>227</v>
      </c>
      <c r="D115" t="s">
        <v>54</v>
      </c>
      <c r="E115" t="s">
        <v>46</v>
      </c>
      <c r="F115" t="s">
        <v>23</v>
      </c>
      <c r="G115">
        <f>INDEX(Question_Bank!$J$3:$J$14,MATCH(D115,Question_Bank!$A$3:$A$14,0))</f>
        <v>0</v>
      </c>
      <c r="H115">
        <f>IF(F115=G115,1,0)</f>
        <v>0</v>
      </c>
      <c r="I115">
        <f>H115*INDEX(Question_Bank!$M$3:$M$14,MATCH(D115,Question_Bank!$A$3:$A$14,0))</f>
        <v>0</v>
      </c>
      <c r="J115">
        <f>SUMIFS($I$3:$I$518,$A$3:$A$518,A115)</f>
        <v>0</v>
      </c>
      <c r="K115" s="5">
        <f>J115/SUM(Question_Bank!$M$3:$M$14)</f>
        <v>0</v>
      </c>
      <c r="L115" s="5">
        <f>SUMIFS($I$3:$I$518,$A$3:$A$518,A115,$E$3:$E$518,E115)/SUMIFS(Question_Bank!$M$3:$M$14,Question_Bank!$B$3:$B$14,E115)</f>
        <v>0</v>
      </c>
      <c r="M115" t="s">
        <v>282</v>
      </c>
    </row>
    <row r="116" spans="1:13">
      <c r="A116" t="s">
        <v>281</v>
      </c>
      <c r="B116" t="s">
        <v>263</v>
      </c>
      <c r="C116" t="s">
        <v>227</v>
      </c>
      <c r="D116" t="s">
        <v>62</v>
      </c>
      <c r="E116" t="s">
        <v>46</v>
      </c>
      <c r="F116" t="s">
        <v>34</v>
      </c>
      <c r="G116">
        <f>INDEX(Question_Bank!$J$3:$J$14,MATCH(D116,Question_Bank!$A$3:$A$14,0))</f>
        <v>0</v>
      </c>
      <c r="H116">
        <f>IF(F116=G116,1,0)</f>
        <v>0</v>
      </c>
      <c r="I116">
        <f>H116*INDEX(Question_Bank!$M$3:$M$14,MATCH(D116,Question_Bank!$A$3:$A$14,0))</f>
        <v>0</v>
      </c>
      <c r="J116">
        <f>SUMIFS($I$3:$I$518,$A$3:$A$518,A116)</f>
        <v>0</v>
      </c>
      <c r="K116" s="5">
        <f>J116/SUM(Question_Bank!$M$3:$M$14)</f>
        <v>0</v>
      </c>
      <c r="L116" s="5">
        <f>SUMIFS($I$3:$I$518,$A$3:$A$518,A116,$E$3:$E$518,E116)/SUMIFS(Question_Bank!$M$3:$M$14,Question_Bank!$B$3:$B$14,E116)</f>
        <v>0</v>
      </c>
      <c r="M116" t="s">
        <v>282</v>
      </c>
    </row>
    <row r="117" spans="1:13">
      <c r="A117" t="s">
        <v>281</v>
      </c>
      <c r="B117" t="s">
        <v>263</v>
      </c>
      <c r="C117" t="s">
        <v>227</v>
      </c>
      <c r="D117" t="s">
        <v>70</v>
      </c>
      <c r="E117" t="s">
        <v>71</v>
      </c>
      <c r="F117" t="s">
        <v>20</v>
      </c>
      <c r="G117">
        <f>INDEX(Question_Bank!$J$3:$J$14,MATCH(D117,Question_Bank!$A$3:$A$14,0))</f>
        <v>0</v>
      </c>
      <c r="H117">
        <f>IF(F117=G117,1,0)</f>
        <v>0</v>
      </c>
      <c r="I117">
        <f>H117*INDEX(Question_Bank!$M$3:$M$14,MATCH(D117,Question_Bank!$A$3:$A$14,0))</f>
        <v>0</v>
      </c>
      <c r="J117">
        <f>SUMIFS($I$3:$I$518,$A$3:$A$518,A117)</f>
        <v>0</v>
      </c>
      <c r="K117" s="5">
        <f>J117/SUM(Question_Bank!$M$3:$M$14)</f>
        <v>0</v>
      </c>
      <c r="L117" s="5">
        <f>SUMIFS($I$3:$I$518,$A$3:$A$518,A117,$E$3:$E$518,E117)/SUMIFS(Question_Bank!$M$3:$M$14,Question_Bank!$B$3:$B$14,E117)</f>
        <v>0</v>
      </c>
      <c r="M117" t="s">
        <v>282</v>
      </c>
    </row>
    <row r="118" spans="1:13">
      <c r="A118" t="s">
        <v>281</v>
      </c>
      <c r="B118" t="s">
        <v>263</v>
      </c>
      <c r="C118" t="s">
        <v>227</v>
      </c>
      <c r="D118" t="s">
        <v>79</v>
      </c>
      <c r="E118" t="s">
        <v>71</v>
      </c>
      <c r="F118" t="s">
        <v>31</v>
      </c>
      <c r="G118">
        <f>INDEX(Question_Bank!$J$3:$J$14,MATCH(D118,Question_Bank!$A$3:$A$14,0))</f>
        <v>0</v>
      </c>
      <c r="H118">
        <f>IF(F118=G118,1,0)</f>
        <v>0</v>
      </c>
      <c r="I118">
        <f>H118*INDEX(Question_Bank!$M$3:$M$14,MATCH(D118,Question_Bank!$A$3:$A$14,0))</f>
        <v>0</v>
      </c>
      <c r="J118">
        <f>SUMIFS($I$3:$I$518,$A$3:$A$518,A118)</f>
        <v>0</v>
      </c>
      <c r="K118" s="5">
        <f>J118/SUM(Question_Bank!$M$3:$M$14)</f>
        <v>0</v>
      </c>
      <c r="L118" s="5">
        <f>SUMIFS($I$3:$I$518,$A$3:$A$518,A118,$E$3:$E$518,E118)/SUMIFS(Question_Bank!$M$3:$M$14,Question_Bank!$B$3:$B$14,E118)</f>
        <v>0</v>
      </c>
      <c r="M118" t="s">
        <v>282</v>
      </c>
    </row>
    <row r="119" spans="1:13">
      <c r="A119" t="s">
        <v>281</v>
      </c>
      <c r="B119" t="s">
        <v>263</v>
      </c>
      <c r="C119" t="s">
        <v>227</v>
      </c>
      <c r="D119" t="s">
        <v>87</v>
      </c>
      <c r="E119" t="s">
        <v>71</v>
      </c>
      <c r="F119" t="s">
        <v>23</v>
      </c>
      <c r="G119">
        <f>INDEX(Question_Bank!$J$3:$J$14,MATCH(D119,Question_Bank!$A$3:$A$14,0))</f>
        <v>0</v>
      </c>
      <c r="H119">
        <f>IF(F119=G119,1,0)</f>
        <v>0</v>
      </c>
      <c r="I119">
        <f>H119*INDEX(Question_Bank!$M$3:$M$14,MATCH(D119,Question_Bank!$A$3:$A$14,0))</f>
        <v>0</v>
      </c>
      <c r="J119">
        <f>SUMIFS($I$3:$I$518,$A$3:$A$518,A119)</f>
        <v>0</v>
      </c>
      <c r="K119" s="5">
        <f>J119/SUM(Question_Bank!$M$3:$M$14)</f>
        <v>0</v>
      </c>
      <c r="L119" s="5">
        <f>SUMIFS($I$3:$I$518,$A$3:$A$518,A119,$E$3:$E$518,E119)/SUMIFS(Question_Bank!$M$3:$M$14,Question_Bank!$B$3:$B$14,E119)</f>
        <v>0</v>
      </c>
      <c r="M119" t="s">
        <v>282</v>
      </c>
    </row>
    <row r="120" spans="1:13">
      <c r="A120" t="s">
        <v>281</v>
      </c>
      <c r="B120" t="s">
        <v>263</v>
      </c>
      <c r="C120" t="s">
        <v>227</v>
      </c>
      <c r="D120" t="s">
        <v>95</v>
      </c>
      <c r="E120" t="s">
        <v>96</v>
      </c>
      <c r="F120" t="s">
        <v>34</v>
      </c>
      <c r="G120">
        <f>INDEX(Question_Bank!$J$3:$J$14,MATCH(D120,Question_Bank!$A$3:$A$14,0))</f>
        <v>0</v>
      </c>
      <c r="H120">
        <f>IF(F120=G120,1,0)</f>
        <v>0</v>
      </c>
      <c r="I120">
        <f>H120*INDEX(Question_Bank!$M$3:$M$14,MATCH(D120,Question_Bank!$A$3:$A$14,0))</f>
        <v>0</v>
      </c>
      <c r="J120">
        <f>SUMIFS($I$3:$I$518,$A$3:$A$518,A120)</f>
        <v>0</v>
      </c>
      <c r="K120" s="5">
        <f>J120/SUM(Question_Bank!$M$3:$M$14)</f>
        <v>0</v>
      </c>
      <c r="L120" s="5">
        <f>SUMIFS($I$3:$I$518,$A$3:$A$518,A120,$E$3:$E$518,E120)/SUMIFS(Question_Bank!$M$3:$M$14,Question_Bank!$B$3:$B$14,E120)</f>
        <v>0</v>
      </c>
      <c r="M120" t="s">
        <v>282</v>
      </c>
    </row>
    <row r="121" spans="1:13">
      <c r="A121" t="s">
        <v>281</v>
      </c>
      <c r="B121" t="s">
        <v>263</v>
      </c>
      <c r="C121" t="s">
        <v>227</v>
      </c>
      <c r="D121" t="s">
        <v>104</v>
      </c>
      <c r="E121" t="s">
        <v>96</v>
      </c>
      <c r="F121" t="s">
        <v>20</v>
      </c>
      <c r="G121">
        <f>INDEX(Question_Bank!$J$3:$J$14,MATCH(D121,Question_Bank!$A$3:$A$14,0))</f>
        <v>0</v>
      </c>
      <c r="H121">
        <f>IF(F121=G121,1,0)</f>
        <v>0</v>
      </c>
      <c r="I121">
        <f>H121*INDEX(Question_Bank!$M$3:$M$14,MATCH(D121,Question_Bank!$A$3:$A$14,0))</f>
        <v>0</v>
      </c>
      <c r="J121">
        <f>SUMIFS($I$3:$I$518,$A$3:$A$518,A121)</f>
        <v>0</v>
      </c>
      <c r="K121" s="5">
        <f>J121/SUM(Question_Bank!$M$3:$M$14)</f>
        <v>0</v>
      </c>
      <c r="L121" s="5">
        <f>SUMIFS($I$3:$I$518,$A$3:$A$518,A121,$E$3:$E$518,E121)/SUMIFS(Question_Bank!$M$3:$M$14,Question_Bank!$B$3:$B$14,E121)</f>
        <v>0</v>
      </c>
      <c r="M121" t="s">
        <v>282</v>
      </c>
    </row>
    <row r="122" spans="1:13">
      <c r="A122" t="s">
        <v>281</v>
      </c>
      <c r="B122" t="s">
        <v>263</v>
      </c>
      <c r="C122" t="s">
        <v>227</v>
      </c>
      <c r="D122" t="s">
        <v>112</v>
      </c>
      <c r="E122" t="s">
        <v>96</v>
      </c>
      <c r="F122" t="s">
        <v>31</v>
      </c>
      <c r="G122">
        <f>INDEX(Question_Bank!$J$3:$J$14,MATCH(D122,Question_Bank!$A$3:$A$14,0))</f>
        <v>0</v>
      </c>
      <c r="H122">
        <f>IF(F122=G122,1,0)</f>
        <v>0</v>
      </c>
      <c r="I122">
        <f>H122*INDEX(Question_Bank!$M$3:$M$14,MATCH(D122,Question_Bank!$A$3:$A$14,0))</f>
        <v>0</v>
      </c>
      <c r="J122">
        <f>SUMIFS($I$3:$I$518,$A$3:$A$518,A122)</f>
        <v>0</v>
      </c>
      <c r="K122" s="5">
        <f>J122/SUM(Question_Bank!$M$3:$M$14)</f>
        <v>0</v>
      </c>
      <c r="L122" s="5">
        <f>SUMIFS($I$3:$I$518,$A$3:$A$518,A122,$E$3:$E$518,E122)/SUMIFS(Question_Bank!$M$3:$M$14,Question_Bank!$B$3:$B$14,E122)</f>
        <v>0</v>
      </c>
      <c r="M122" t="s">
        <v>282</v>
      </c>
    </row>
    <row r="123" spans="1:13">
      <c r="A123" t="s">
        <v>283</v>
      </c>
      <c r="B123" t="s">
        <v>263</v>
      </c>
      <c r="C123" t="s">
        <v>227</v>
      </c>
      <c r="D123" t="s">
        <v>14</v>
      </c>
      <c r="E123" t="s">
        <v>15</v>
      </c>
      <c r="F123" t="s">
        <v>23</v>
      </c>
      <c r="G123">
        <f>INDEX(Question_Bank!$J$3:$J$14,MATCH(D123,Question_Bank!$A$3:$A$14,0))</f>
        <v>0</v>
      </c>
      <c r="H123">
        <f>IF(F123=G123,1,0)</f>
        <v>0</v>
      </c>
      <c r="I123">
        <f>H123*INDEX(Question_Bank!$M$3:$M$14,MATCH(D123,Question_Bank!$A$3:$A$14,0))</f>
        <v>0</v>
      </c>
      <c r="J123">
        <f>SUMIFS($I$3:$I$518,$A$3:$A$518,A123)</f>
        <v>0</v>
      </c>
      <c r="K123" s="5">
        <f>J123/SUM(Question_Bank!$M$3:$M$14)</f>
        <v>0</v>
      </c>
      <c r="L123" s="5">
        <f>SUMIFS($I$3:$I$518,$A$3:$A$518,A123,$E$3:$E$518,E123)/SUMIFS(Question_Bank!$M$3:$M$14,Question_Bank!$B$3:$B$14,E123)</f>
        <v>0</v>
      </c>
      <c r="M123" t="s">
        <v>284</v>
      </c>
    </row>
    <row r="124" spans="1:13">
      <c r="A124" t="s">
        <v>283</v>
      </c>
      <c r="B124" t="s">
        <v>263</v>
      </c>
      <c r="C124" t="s">
        <v>227</v>
      </c>
      <c r="D124" t="s">
        <v>26</v>
      </c>
      <c r="E124" t="s">
        <v>15</v>
      </c>
      <c r="F124" t="s">
        <v>34</v>
      </c>
      <c r="G124">
        <f>INDEX(Question_Bank!$J$3:$J$14,MATCH(D124,Question_Bank!$A$3:$A$14,0))</f>
        <v>0</v>
      </c>
      <c r="H124">
        <f>IF(F124=G124,1,0)</f>
        <v>0</v>
      </c>
      <c r="I124">
        <f>H124*INDEX(Question_Bank!$M$3:$M$14,MATCH(D124,Question_Bank!$A$3:$A$14,0))</f>
        <v>0</v>
      </c>
      <c r="J124">
        <f>SUMIFS($I$3:$I$518,$A$3:$A$518,A124)</f>
        <v>0</v>
      </c>
      <c r="K124" s="5">
        <f>J124/SUM(Question_Bank!$M$3:$M$14)</f>
        <v>0</v>
      </c>
      <c r="L124" s="5">
        <f>SUMIFS($I$3:$I$518,$A$3:$A$518,A124,$E$3:$E$518,E124)/SUMIFS(Question_Bank!$M$3:$M$14,Question_Bank!$B$3:$B$14,E124)</f>
        <v>0</v>
      </c>
      <c r="M124" t="s">
        <v>284</v>
      </c>
    </row>
    <row r="125" spans="1:13">
      <c r="A125" t="s">
        <v>283</v>
      </c>
      <c r="B125" t="s">
        <v>263</v>
      </c>
      <c r="C125" t="s">
        <v>227</v>
      </c>
      <c r="D125" t="s">
        <v>37</v>
      </c>
      <c r="E125" t="s">
        <v>15</v>
      </c>
      <c r="F125" t="s">
        <v>20</v>
      </c>
      <c r="G125">
        <f>INDEX(Question_Bank!$J$3:$J$14,MATCH(D125,Question_Bank!$A$3:$A$14,0))</f>
        <v>0</v>
      </c>
      <c r="H125">
        <f>IF(F125=G125,1,0)</f>
        <v>0</v>
      </c>
      <c r="I125">
        <f>H125*INDEX(Question_Bank!$M$3:$M$14,MATCH(D125,Question_Bank!$A$3:$A$14,0))</f>
        <v>0</v>
      </c>
      <c r="J125">
        <f>SUMIFS($I$3:$I$518,$A$3:$A$518,A125)</f>
        <v>0</v>
      </c>
      <c r="K125" s="5">
        <f>J125/SUM(Question_Bank!$M$3:$M$14)</f>
        <v>0</v>
      </c>
      <c r="L125" s="5">
        <f>SUMIFS($I$3:$I$518,$A$3:$A$518,A125,$E$3:$E$518,E125)/SUMIFS(Question_Bank!$M$3:$M$14,Question_Bank!$B$3:$B$14,E125)</f>
        <v>0</v>
      </c>
      <c r="M125" t="s">
        <v>284</v>
      </c>
    </row>
    <row r="126" spans="1:13">
      <c r="A126" t="s">
        <v>283</v>
      </c>
      <c r="B126" t="s">
        <v>263</v>
      </c>
      <c r="C126" t="s">
        <v>227</v>
      </c>
      <c r="D126" t="s">
        <v>45</v>
      </c>
      <c r="E126" t="s">
        <v>46</v>
      </c>
      <c r="F126" t="s">
        <v>31</v>
      </c>
      <c r="G126">
        <f>INDEX(Question_Bank!$J$3:$J$14,MATCH(D126,Question_Bank!$A$3:$A$14,0))</f>
        <v>0</v>
      </c>
      <c r="H126">
        <f>IF(F126=G126,1,0)</f>
        <v>0</v>
      </c>
      <c r="I126">
        <f>H126*INDEX(Question_Bank!$M$3:$M$14,MATCH(D126,Question_Bank!$A$3:$A$14,0))</f>
        <v>0</v>
      </c>
      <c r="J126">
        <f>SUMIFS($I$3:$I$518,$A$3:$A$518,A126)</f>
        <v>0</v>
      </c>
      <c r="K126" s="5">
        <f>J126/SUM(Question_Bank!$M$3:$M$14)</f>
        <v>0</v>
      </c>
      <c r="L126" s="5">
        <f>SUMIFS($I$3:$I$518,$A$3:$A$518,A126,$E$3:$E$518,E126)/SUMIFS(Question_Bank!$M$3:$M$14,Question_Bank!$B$3:$B$14,E126)</f>
        <v>0</v>
      </c>
      <c r="M126" t="s">
        <v>284</v>
      </c>
    </row>
    <row r="127" spans="1:13">
      <c r="A127" t="s">
        <v>283</v>
      </c>
      <c r="B127" t="s">
        <v>263</v>
      </c>
      <c r="C127" t="s">
        <v>227</v>
      </c>
      <c r="D127" t="s">
        <v>54</v>
      </c>
      <c r="E127" t="s">
        <v>46</v>
      </c>
      <c r="F127" t="s">
        <v>23</v>
      </c>
      <c r="G127">
        <f>INDEX(Question_Bank!$J$3:$J$14,MATCH(D127,Question_Bank!$A$3:$A$14,0))</f>
        <v>0</v>
      </c>
      <c r="H127">
        <f>IF(F127=G127,1,0)</f>
        <v>0</v>
      </c>
      <c r="I127">
        <f>H127*INDEX(Question_Bank!$M$3:$M$14,MATCH(D127,Question_Bank!$A$3:$A$14,0))</f>
        <v>0</v>
      </c>
      <c r="J127">
        <f>SUMIFS($I$3:$I$518,$A$3:$A$518,A127)</f>
        <v>0</v>
      </c>
      <c r="K127" s="5">
        <f>J127/SUM(Question_Bank!$M$3:$M$14)</f>
        <v>0</v>
      </c>
      <c r="L127" s="5">
        <f>SUMIFS($I$3:$I$518,$A$3:$A$518,A127,$E$3:$E$518,E127)/SUMIFS(Question_Bank!$M$3:$M$14,Question_Bank!$B$3:$B$14,E127)</f>
        <v>0</v>
      </c>
      <c r="M127" t="s">
        <v>284</v>
      </c>
    </row>
    <row r="128" spans="1:13">
      <c r="A128" t="s">
        <v>283</v>
      </c>
      <c r="B128" t="s">
        <v>263</v>
      </c>
      <c r="C128" t="s">
        <v>227</v>
      </c>
      <c r="D128" t="s">
        <v>62</v>
      </c>
      <c r="E128" t="s">
        <v>46</v>
      </c>
      <c r="F128" t="s">
        <v>34</v>
      </c>
      <c r="G128">
        <f>INDEX(Question_Bank!$J$3:$J$14,MATCH(D128,Question_Bank!$A$3:$A$14,0))</f>
        <v>0</v>
      </c>
      <c r="H128">
        <f>IF(F128=G128,1,0)</f>
        <v>0</v>
      </c>
      <c r="I128">
        <f>H128*INDEX(Question_Bank!$M$3:$M$14,MATCH(D128,Question_Bank!$A$3:$A$14,0))</f>
        <v>0</v>
      </c>
      <c r="J128">
        <f>SUMIFS($I$3:$I$518,$A$3:$A$518,A128)</f>
        <v>0</v>
      </c>
      <c r="K128" s="5">
        <f>J128/SUM(Question_Bank!$M$3:$M$14)</f>
        <v>0</v>
      </c>
      <c r="L128" s="5">
        <f>SUMIFS($I$3:$I$518,$A$3:$A$518,A128,$E$3:$E$518,E128)/SUMIFS(Question_Bank!$M$3:$M$14,Question_Bank!$B$3:$B$14,E128)</f>
        <v>0</v>
      </c>
      <c r="M128" t="s">
        <v>284</v>
      </c>
    </row>
    <row r="129" spans="1:13">
      <c r="A129" t="s">
        <v>283</v>
      </c>
      <c r="B129" t="s">
        <v>263</v>
      </c>
      <c r="C129" t="s">
        <v>227</v>
      </c>
      <c r="D129" t="s">
        <v>70</v>
      </c>
      <c r="E129" t="s">
        <v>71</v>
      </c>
      <c r="F129" t="s">
        <v>20</v>
      </c>
      <c r="G129">
        <f>INDEX(Question_Bank!$J$3:$J$14,MATCH(D129,Question_Bank!$A$3:$A$14,0))</f>
        <v>0</v>
      </c>
      <c r="H129">
        <f>IF(F129=G129,1,0)</f>
        <v>0</v>
      </c>
      <c r="I129">
        <f>H129*INDEX(Question_Bank!$M$3:$M$14,MATCH(D129,Question_Bank!$A$3:$A$14,0))</f>
        <v>0</v>
      </c>
      <c r="J129">
        <f>SUMIFS($I$3:$I$518,$A$3:$A$518,A129)</f>
        <v>0</v>
      </c>
      <c r="K129" s="5">
        <f>J129/SUM(Question_Bank!$M$3:$M$14)</f>
        <v>0</v>
      </c>
      <c r="L129" s="5">
        <f>SUMIFS($I$3:$I$518,$A$3:$A$518,A129,$E$3:$E$518,E129)/SUMIFS(Question_Bank!$M$3:$M$14,Question_Bank!$B$3:$B$14,E129)</f>
        <v>0</v>
      </c>
      <c r="M129" t="s">
        <v>284</v>
      </c>
    </row>
    <row r="130" spans="1:13">
      <c r="A130" t="s">
        <v>283</v>
      </c>
      <c r="B130" t="s">
        <v>263</v>
      </c>
      <c r="C130" t="s">
        <v>227</v>
      </c>
      <c r="D130" t="s">
        <v>79</v>
      </c>
      <c r="E130" t="s">
        <v>71</v>
      </c>
      <c r="F130" t="s">
        <v>31</v>
      </c>
      <c r="G130">
        <f>INDEX(Question_Bank!$J$3:$J$14,MATCH(D130,Question_Bank!$A$3:$A$14,0))</f>
        <v>0</v>
      </c>
      <c r="H130">
        <f>IF(F130=G130,1,0)</f>
        <v>0</v>
      </c>
      <c r="I130">
        <f>H130*INDEX(Question_Bank!$M$3:$M$14,MATCH(D130,Question_Bank!$A$3:$A$14,0))</f>
        <v>0</v>
      </c>
      <c r="J130">
        <f>SUMIFS($I$3:$I$518,$A$3:$A$518,A130)</f>
        <v>0</v>
      </c>
      <c r="K130" s="5">
        <f>J130/SUM(Question_Bank!$M$3:$M$14)</f>
        <v>0</v>
      </c>
      <c r="L130" s="5">
        <f>SUMIFS($I$3:$I$518,$A$3:$A$518,A130,$E$3:$E$518,E130)/SUMIFS(Question_Bank!$M$3:$M$14,Question_Bank!$B$3:$B$14,E130)</f>
        <v>0</v>
      </c>
      <c r="M130" t="s">
        <v>284</v>
      </c>
    </row>
    <row r="131" spans="1:13">
      <c r="A131" t="s">
        <v>283</v>
      </c>
      <c r="B131" t="s">
        <v>263</v>
      </c>
      <c r="C131" t="s">
        <v>227</v>
      </c>
      <c r="D131" t="s">
        <v>87</v>
      </c>
      <c r="E131" t="s">
        <v>71</v>
      </c>
      <c r="F131" t="s">
        <v>23</v>
      </c>
      <c r="G131">
        <f>INDEX(Question_Bank!$J$3:$J$14,MATCH(D131,Question_Bank!$A$3:$A$14,0))</f>
        <v>0</v>
      </c>
      <c r="H131">
        <f>IF(F131=G131,1,0)</f>
        <v>0</v>
      </c>
      <c r="I131">
        <f>H131*INDEX(Question_Bank!$M$3:$M$14,MATCH(D131,Question_Bank!$A$3:$A$14,0))</f>
        <v>0</v>
      </c>
      <c r="J131">
        <f>SUMIFS($I$3:$I$518,$A$3:$A$518,A131)</f>
        <v>0</v>
      </c>
      <c r="K131" s="5">
        <f>J131/SUM(Question_Bank!$M$3:$M$14)</f>
        <v>0</v>
      </c>
      <c r="L131" s="5">
        <f>SUMIFS($I$3:$I$518,$A$3:$A$518,A131,$E$3:$E$518,E131)/SUMIFS(Question_Bank!$M$3:$M$14,Question_Bank!$B$3:$B$14,E131)</f>
        <v>0</v>
      </c>
      <c r="M131" t="s">
        <v>284</v>
      </c>
    </row>
    <row r="132" spans="1:13">
      <c r="A132" t="s">
        <v>283</v>
      </c>
      <c r="B132" t="s">
        <v>263</v>
      </c>
      <c r="C132" t="s">
        <v>227</v>
      </c>
      <c r="D132" t="s">
        <v>95</v>
      </c>
      <c r="E132" t="s">
        <v>96</v>
      </c>
      <c r="F132" t="s">
        <v>34</v>
      </c>
      <c r="G132">
        <f>INDEX(Question_Bank!$J$3:$J$14,MATCH(D132,Question_Bank!$A$3:$A$14,0))</f>
        <v>0</v>
      </c>
      <c r="H132">
        <f>IF(F132=G132,1,0)</f>
        <v>0</v>
      </c>
      <c r="I132">
        <f>H132*INDEX(Question_Bank!$M$3:$M$14,MATCH(D132,Question_Bank!$A$3:$A$14,0))</f>
        <v>0</v>
      </c>
      <c r="J132">
        <f>SUMIFS($I$3:$I$518,$A$3:$A$518,A132)</f>
        <v>0</v>
      </c>
      <c r="K132" s="5">
        <f>J132/SUM(Question_Bank!$M$3:$M$14)</f>
        <v>0</v>
      </c>
      <c r="L132" s="5">
        <f>SUMIFS($I$3:$I$518,$A$3:$A$518,A132,$E$3:$E$518,E132)/SUMIFS(Question_Bank!$M$3:$M$14,Question_Bank!$B$3:$B$14,E132)</f>
        <v>0</v>
      </c>
      <c r="M132" t="s">
        <v>284</v>
      </c>
    </row>
    <row r="133" spans="1:13">
      <c r="A133" t="s">
        <v>283</v>
      </c>
      <c r="B133" t="s">
        <v>263</v>
      </c>
      <c r="C133" t="s">
        <v>227</v>
      </c>
      <c r="D133" t="s">
        <v>104</v>
      </c>
      <c r="E133" t="s">
        <v>96</v>
      </c>
      <c r="F133" t="s">
        <v>20</v>
      </c>
      <c r="G133">
        <f>INDEX(Question_Bank!$J$3:$J$14,MATCH(D133,Question_Bank!$A$3:$A$14,0))</f>
        <v>0</v>
      </c>
      <c r="H133">
        <f>IF(F133=G133,1,0)</f>
        <v>0</v>
      </c>
      <c r="I133">
        <f>H133*INDEX(Question_Bank!$M$3:$M$14,MATCH(D133,Question_Bank!$A$3:$A$14,0))</f>
        <v>0</v>
      </c>
      <c r="J133">
        <f>SUMIFS($I$3:$I$518,$A$3:$A$518,A133)</f>
        <v>0</v>
      </c>
      <c r="K133" s="5">
        <f>J133/SUM(Question_Bank!$M$3:$M$14)</f>
        <v>0</v>
      </c>
      <c r="L133" s="5">
        <f>SUMIFS($I$3:$I$518,$A$3:$A$518,A133,$E$3:$E$518,E133)/SUMIFS(Question_Bank!$M$3:$M$14,Question_Bank!$B$3:$B$14,E133)</f>
        <v>0</v>
      </c>
      <c r="M133" t="s">
        <v>284</v>
      </c>
    </row>
    <row r="134" spans="1:13">
      <c r="A134" t="s">
        <v>283</v>
      </c>
      <c r="B134" t="s">
        <v>263</v>
      </c>
      <c r="C134" t="s">
        <v>227</v>
      </c>
      <c r="D134" t="s">
        <v>112</v>
      </c>
      <c r="E134" t="s">
        <v>96</v>
      </c>
      <c r="F134" t="s">
        <v>31</v>
      </c>
      <c r="G134">
        <f>INDEX(Question_Bank!$J$3:$J$14,MATCH(D134,Question_Bank!$A$3:$A$14,0))</f>
        <v>0</v>
      </c>
      <c r="H134">
        <f>IF(F134=G134,1,0)</f>
        <v>0</v>
      </c>
      <c r="I134">
        <f>H134*INDEX(Question_Bank!$M$3:$M$14,MATCH(D134,Question_Bank!$A$3:$A$14,0))</f>
        <v>0</v>
      </c>
      <c r="J134">
        <f>SUMIFS($I$3:$I$518,$A$3:$A$518,A134)</f>
        <v>0</v>
      </c>
      <c r="K134" s="5">
        <f>J134/SUM(Question_Bank!$M$3:$M$14)</f>
        <v>0</v>
      </c>
      <c r="L134" s="5">
        <f>SUMIFS($I$3:$I$518,$A$3:$A$518,A134,$E$3:$E$518,E134)/SUMIFS(Question_Bank!$M$3:$M$14,Question_Bank!$B$3:$B$14,E134)</f>
        <v>0</v>
      </c>
      <c r="M134" t="s">
        <v>284</v>
      </c>
    </row>
    <row r="135" spans="1:13">
      <c r="A135" t="s">
        <v>285</v>
      </c>
      <c r="B135" t="s">
        <v>263</v>
      </c>
      <c r="C135" t="s">
        <v>227</v>
      </c>
      <c r="D135" t="s">
        <v>14</v>
      </c>
      <c r="E135" t="s">
        <v>15</v>
      </c>
      <c r="F135" t="s">
        <v>23</v>
      </c>
      <c r="G135">
        <f>INDEX(Question_Bank!$J$3:$J$14,MATCH(D135,Question_Bank!$A$3:$A$14,0))</f>
        <v>0</v>
      </c>
      <c r="H135">
        <f>IF(F135=G135,1,0)</f>
        <v>0</v>
      </c>
      <c r="I135">
        <f>H135*INDEX(Question_Bank!$M$3:$M$14,MATCH(D135,Question_Bank!$A$3:$A$14,0))</f>
        <v>0</v>
      </c>
      <c r="J135">
        <f>SUMIFS($I$3:$I$518,$A$3:$A$518,A135)</f>
        <v>0</v>
      </c>
      <c r="K135" s="5">
        <f>J135/SUM(Question_Bank!$M$3:$M$14)</f>
        <v>0</v>
      </c>
      <c r="L135" s="5">
        <f>SUMIFS($I$3:$I$518,$A$3:$A$518,A135,$E$3:$E$518,E135)/SUMIFS(Question_Bank!$M$3:$M$14,Question_Bank!$B$3:$B$14,E135)</f>
        <v>0</v>
      </c>
      <c r="M135" t="s">
        <v>286</v>
      </c>
    </row>
    <row r="136" spans="1:13">
      <c r="A136" t="s">
        <v>285</v>
      </c>
      <c r="B136" t="s">
        <v>263</v>
      </c>
      <c r="C136" t="s">
        <v>227</v>
      </c>
      <c r="D136" t="s">
        <v>26</v>
      </c>
      <c r="E136" t="s">
        <v>15</v>
      </c>
      <c r="F136" t="s">
        <v>20</v>
      </c>
      <c r="G136">
        <f>INDEX(Question_Bank!$J$3:$J$14,MATCH(D136,Question_Bank!$A$3:$A$14,0))</f>
        <v>0</v>
      </c>
      <c r="H136">
        <f>IF(F136=G136,1,0)</f>
        <v>0</v>
      </c>
      <c r="I136">
        <f>H136*INDEX(Question_Bank!$M$3:$M$14,MATCH(D136,Question_Bank!$A$3:$A$14,0))</f>
        <v>0</v>
      </c>
      <c r="J136">
        <f>SUMIFS($I$3:$I$518,$A$3:$A$518,A136)</f>
        <v>0</v>
      </c>
      <c r="K136" s="5">
        <f>J136/SUM(Question_Bank!$M$3:$M$14)</f>
        <v>0</v>
      </c>
      <c r="L136" s="5">
        <f>SUMIFS($I$3:$I$518,$A$3:$A$518,A136,$E$3:$E$518,E136)/SUMIFS(Question_Bank!$M$3:$M$14,Question_Bank!$B$3:$B$14,E136)</f>
        <v>0</v>
      </c>
      <c r="M136" t="s">
        <v>286</v>
      </c>
    </row>
    <row r="137" spans="1:13">
      <c r="A137" t="s">
        <v>285</v>
      </c>
      <c r="B137" t="s">
        <v>263</v>
      </c>
      <c r="C137" t="s">
        <v>227</v>
      </c>
      <c r="D137" t="s">
        <v>37</v>
      </c>
      <c r="E137" t="s">
        <v>15</v>
      </c>
      <c r="F137" t="s">
        <v>34</v>
      </c>
      <c r="G137">
        <f>INDEX(Question_Bank!$J$3:$J$14,MATCH(D137,Question_Bank!$A$3:$A$14,0))</f>
        <v>0</v>
      </c>
      <c r="H137">
        <f>IF(F137=G137,1,0)</f>
        <v>0</v>
      </c>
      <c r="I137">
        <f>H137*INDEX(Question_Bank!$M$3:$M$14,MATCH(D137,Question_Bank!$A$3:$A$14,0))</f>
        <v>0</v>
      </c>
      <c r="J137">
        <f>SUMIFS($I$3:$I$518,$A$3:$A$518,A137)</f>
        <v>0</v>
      </c>
      <c r="K137" s="5">
        <f>J137/SUM(Question_Bank!$M$3:$M$14)</f>
        <v>0</v>
      </c>
      <c r="L137" s="5">
        <f>SUMIFS($I$3:$I$518,$A$3:$A$518,A137,$E$3:$E$518,E137)/SUMIFS(Question_Bank!$M$3:$M$14,Question_Bank!$B$3:$B$14,E137)</f>
        <v>0</v>
      </c>
      <c r="M137" t="s">
        <v>286</v>
      </c>
    </row>
    <row r="138" spans="1:13">
      <c r="A138" t="s">
        <v>285</v>
      </c>
      <c r="B138" t="s">
        <v>263</v>
      </c>
      <c r="C138" t="s">
        <v>227</v>
      </c>
      <c r="D138" t="s">
        <v>45</v>
      </c>
      <c r="E138" t="s">
        <v>46</v>
      </c>
      <c r="F138" t="s">
        <v>31</v>
      </c>
      <c r="G138">
        <f>INDEX(Question_Bank!$J$3:$J$14,MATCH(D138,Question_Bank!$A$3:$A$14,0))</f>
        <v>0</v>
      </c>
      <c r="H138">
        <f>IF(F138=G138,1,0)</f>
        <v>0</v>
      </c>
      <c r="I138">
        <f>H138*INDEX(Question_Bank!$M$3:$M$14,MATCH(D138,Question_Bank!$A$3:$A$14,0))</f>
        <v>0</v>
      </c>
      <c r="J138">
        <f>SUMIFS($I$3:$I$518,$A$3:$A$518,A138)</f>
        <v>0</v>
      </c>
      <c r="K138" s="5">
        <f>J138/SUM(Question_Bank!$M$3:$M$14)</f>
        <v>0</v>
      </c>
      <c r="L138" s="5">
        <f>SUMIFS($I$3:$I$518,$A$3:$A$518,A138,$E$3:$E$518,E138)/SUMIFS(Question_Bank!$M$3:$M$14,Question_Bank!$B$3:$B$14,E138)</f>
        <v>0</v>
      </c>
      <c r="M138" t="s">
        <v>286</v>
      </c>
    </row>
    <row r="139" spans="1:13">
      <c r="A139" t="s">
        <v>285</v>
      </c>
      <c r="B139" t="s">
        <v>263</v>
      </c>
      <c r="C139" t="s">
        <v>227</v>
      </c>
      <c r="D139" t="s">
        <v>54</v>
      </c>
      <c r="E139" t="s">
        <v>46</v>
      </c>
      <c r="F139" t="s">
        <v>34</v>
      </c>
      <c r="G139">
        <f>INDEX(Question_Bank!$J$3:$J$14,MATCH(D139,Question_Bank!$A$3:$A$14,0))</f>
        <v>0</v>
      </c>
      <c r="H139">
        <f>IF(F139=G139,1,0)</f>
        <v>0</v>
      </c>
      <c r="I139">
        <f>H139*INDEX(Question_Bank!$M$3:$M$14,MATCH(D139,Question_Bank!$A$3:$A$14,0))</f>
        <v>0</v>
      </c>
      <c r="J139">
        <f>SUMIFS($I$3:$I$518,$A$3:$A$518,A139)</f>
        <v>0</v>
      </c>
      <c r="K139" s="5">
        <f>J139/SUM(Question_Bank!$M$3:$M$14)</f>
        <v>0</v>
      </c>
      <c r="L139" s="5">
        <f>SUMIFS($I$3:$I$518,$A$3:$A$518,A139,$E$3:$E$518,E139)/SUMIFS(Question_Bank!$M$3:$M$14,Question_Bank!$B$3:$B$14,E139)</f>
        <v>0</v>
      </c>
      <c r="M139" t="s">
        <v>286</v>
      </c>
    </row>
    <row r="140" spans="1:13">
      <c r="A140" t="s">
        <v>285</v>
      </c>
      <c r="B140" t="s">
        <v>263</v>
      </c>
      <c r="C140" t="s">
        <v>227</v>
      </c>
      <c r="D140" t="s">
        <v>62</v>
      </c>
      <c r="E140" t="s">
        <v>46</v>
      </c>
      <c r="F140" t="s">
        <v>31</v>
      </c>
      <c r="G140">
        <f>INDEX(Question_Bank!$J$3:$J$14,MATCH(D140,Question_Bank!$A$3:$A$14,0))</f>
        <v>0</v>
      </c>
      <c r="H140">
        <f>IF(F140=G140,1,0)</f>
        <v>0</v>
      </c>
      <c r="I140">
        <f>H140*INDEX(Question_Bank!$M$3:$M$14,MATCH(D140,Question_Bank!$A$3:$A$14,0))</f>
        <v>0</v>
      </c>
      <c r="J140">
        <f>SUMIFS($I$3:$I$518,$A$3:$A$518,A140)</f>
        <v>0</v>
      </c>
      <c r="K140" s="5">
        <f>J140/SUM(Question_Bank!$M$3:$M$14)</f>
        <v>0</v>
      </c>
      <c r="L140" s="5">
        <f>SUMIFS($I$3:$I$518,$A$3:$A$518,A140,$E$3:$E$518,E140)/SUMIFS(Question_Bank!$M$3:$M$14,Question_Bank!$B$3:$B$14,E140)</f>
        <v>0</v>
      </c>
      <c r="M140" t="s">
        <v>286</v>
      </c>
    </row>
    <row r="141" spans="1:13">
      <c r="A141" t="s">
        <v>285</v>
      </c>
      <c r="B141" t="s">
        <v>263</v>
      </c>
      <c r="C141" t="s">
        <v>227</v>
      </c>
      <c r="D141" t="s">
        <v>70</v>
      </c>
      <c r="E141" t="s">
        <v>71</v>
      </c>
      <c r="F141" t="s">
        <v>23</v>
      </c>
      <c r="G141">
        <f>INDEX(Question_Bank!$J$3:$J$14,MATCH(D141,Question_Bank!$A$3:$A$14,0))</f>
        <v>0</v>
      </c>
      <c r="H141">
        <f>IF(F141=G141,1,0)</f>
        <v>0</v>
      </c>
      <c r="I141">
        <f>H141*INDEX(Question_Bank!$M$3:$M$14,MATCH(D141,Question_Bank!$A$3:$A$14,0))</f>
        <v>0</v>
      </c>
      <c r="J141">
        <f>SUMIFS($I$3:$I$518,$A$3:$A$518,A141)</f>
        <v>0</v>
      </c>
      <c r="K141" s="5">
        <f>J141/SUM(Question_Bank!$M$3:$M$14)</f>
        <v>0</v>
      </c>
      <c r="L141" s="5">
        <f>SUMIFS($I$3:$I$518,$A$3:$A$518,A141,$E$3:$E$518,E141)/SUMIFS(Question_Bank!$M$3:$M$14,Question_Bank!$B$3:$B$14,E141)</f>
        <v>0</v>
      </c>
      <c r="M141" t="s">
        <v>286</v>
      </c>
    </row>
    <row r="142" spans="1:13">
      <c r="A142" t="s">
        <v>285</v>
      </c>
      <c r="B142" t="s">
        <v>263</v>
      </c>
      <c r="C142" t="s">
        <v>227</v>
      </c>
      <c r="D142" t="s">
        <v>79</v>
      </c>
      <c r="E142" t="s">
        <v>71</v>
      </c>
      <c r="F142" t="s">
        <v>31</v>
      </c>
      <c r="G142">
        <f>INDEX(Question_Bank!$J$3:$J$14,MATCH(D142,Question_Bank!$A$3:$A$14,0))</f>
        <v>0</v>
      </c>
      <c r="H142">
        <f>IF(F142=G142,1,0)</f>
        <v>0</v>
      </c>
      <c r="I142">
        <f>H142*INDEX(Question_Bank!$M$3:$M$14,MATCH(D142,Question_Bank!$A$3:$A$14,0))</f>
        <v>0</v>
      </c>
      <c r="J142">
        <f>SUMIFS($I$3:$I$518,$A$3:$A$518,A142)</f>
        <v>0</v>
      </c>
      <c r="K142" s="5">
        <f>J142/SUM(Question_Bank!$M$3:$M$14)</f>
        <v>0</v>
      </c>
      <c r="L142" s="5">
        <f>SUMIFS($I$3:$I$518,$A$3:$A$518,A142,$E$3:$E$518,E142)/SUMIFS(Question_Bank!$M$3:$M$14,Question_Bank!$B$3:$B$14,E142)</f>
        <v>0</v>
      </c>
      <c r="M142" t="s">
        <v>286</v>
      </c>
    </row>
    <row r="143" spans="1:13">
      <c r="A143" t="s">
        <v>285</v>
      </c>
      <c r="B143" t="s">
        <v>263</v>
      </c>
      <c r="C143" t="s">
        <v>227</v>
      </c>
      <c r="D143" t="s">
        <v>87</v>
      </c>
      <c r="E143" t="s">
        <v>71</v>
      </c>
      <c r="F143" t="s">
        <v>20</v>
      </c>
      <c r="G143">
        <f>INDEX(Question_Bank!$J$3:$J$14,MATCH(D143,Question_Bank!$A$3:$A$14,0))</f>
        <v>0</v>
      </c>
      <c r="H143">
        <f>IF(F143=G143,1,0)</f>
        <v>0</v>
      </c>
      <c r="I143">
        <f>H143*INDEX(Question_Bank!$M$3:$M$14,MATCH(D143,Question_Bank!$A$3:$A$14,0))</f>
        <v>0</v>
      </c>
      <c r="J143">
        <f>SUMIFS($I$3:$I$518,$A$3:$A$518,A143)</f>
        <v>0</v>
      </c>
      <c r="K143" s="5">
        <f>J143/SUM(Question_Bank!$M$3:$M$14)</f>
        <v>0</v>
      </c>
      <c r="L143" s="5">
        <f>SUMIFS($I$3:$I$518,$A$3:$A$518,A143,$E$3:$E$518,E143)/SUMIFS(Question_Bank!$M$3:$M$14,Question_Bank!$B$3:$B$14,E143)</f>
        <v>0</v>
      </c>
      <c r="M143" t="s">
        <v>286</v>
      </c>
    </row>
    <row r="144" spans="1:13">
      <c r="A144" t="s">
        <v>285</v>
      </c>
      <c r="B144" t="s">
        <v>263</v>
      </c>
      <c r="C144" t="s">
        <v>227</v>
      </c>
      <c r="D144" t="s">
        <v>95</v>
      </c>
      <c r="E144" t="s">
        <v>96</v>
      </c>
      <c r="F144" t="s">
        <v>34</v>
      </c>
      <c r="G144">
        <f>INDEX(Question_Bank!$J$3:$J$14,MATCH(D144,Question_Bank!$A$3:$A$14,0))</f>
        <v>0</v>
      </c>
      <c r="H144">
        <f>IF(F144=G144,1,0)</f>
        <v>0</v>
      </c>
      <c r="I144">
        <f>H144*INDEX(Question_Bank!$M$3:$M$14,MATCH(D144,Question_Bank!$A$3:$A$14,0))</f>
        <v>0</v>
      </c>
      <c r="J144">
        <f>SUMIFS($I$3:$I$518,$A$3:$A$518,A144)</f>
        <v>0</v>
      </c>
      <c r="K144" s="5">
        <f>J144/SUM(Question_Bank!$M$3:$M$14)</f>
        <v>0</v>
      </c>
      <c r="L144" s="5">
        <f>SUMIFS($I$3:$I$518,$A$3:$A$518,A144,$E$3:$E$518,E144)/SUMIFS(Question_Bank!$M$3:$M$14,Question_Bank!$B$3:$B$14,E144)</f>
        <v>0</v>
      </c>
      <c r="M144" t="s">
        <v>286</v>
      </c>
    </row>
    <row r="145" spans="1:13">
      <c r="A145" t="s">
        <v>285</v>
      </c>
      <c r="B145" t="s">
        <v>263</v>
      </c>
      <c r="C145" t="s">
        <v>227</v>
      </c>
      <c r="D145" t="s">
        <v>104</v>
      </c>
      <c r="E145" t="s">
        <v>96</v>
      </c>
      <c r="F145" t="s">
        <v>20</v>
      </c>
      <c r="G145">
        <f>INDEX(Question_Bank!$J$3:$J$14,MATCH(D145,Question_Bank!$A$3:$A$14,0))</f>
        <v>0</v>
      </c>
      <c r="H145">
        <f>IF(F145=G145,1,0)</f>
        <v>0</v>
      </c>
      <c r="I145">
        <f>H145*INDEX(Question_Bank!$M$3:$M$14,MATCH(D145,Question_Bank!$A$3:$A$14,0))</f>
        <v>0</v>
      </c>
      <c r="J145">
        <f>SUMIFS($I$3:$I$518,$A$3:$A$518,A145)</f>
        <v>0</v>
      </c>
      <c r="K145" s="5">
        <f>J145/SUM(Question_Bank!$M$3:$M$14)</f>
        <v>0</v>
      </c>
      <c r="L145" s="5">
        <f>SUMIFS($I$3:$I$518,$A$3:$A$518,A145,$E$3:$E$518,E145)/SUMIFS(Question_Bank!$M$3:$M$14,Question_Bank!$B$3:$B$14,E145)</f>
        <v>0</v>
      </c>
      <c r="M145" t="s">
        <v>286</v>
      </c>
    </row>
    <row r="146" spans="1:13">
      <c r="A146" t="s">
        <v>285</v>
      </c>
      <c r="B146" t="s">
        <v>263</v>
      </c>
      <c r="C146" t="s">
        <v>227</v>
      </c>
      <c r="D146" t="s">
        <v>112</v>
      </c>
      <c r="E146" t="s">
        <v>96</v>
      </c>
      <c r="F146" t="s">
        <v>31</v>
      </c>
      <c r="G146">
        <f>INDEX(Question_Bank!$J$3:$J$14,MATCH(D146,Question_Bank!$A$3:$A$14,0))</f>
        <v>0</v>
      </c>
      <c r="H146">
        <f>IF(F146=G146,1,0)</f>
        <v>0</v>
      </c>
      <c r="I146">
        <f>H146*INDEX(Question_Bank!$M$3:$M$14,MATCH(D146,Question_Bank!$A$3:$A$14,0))</f>
        <v>0</v>
      </c>
      <c r="J146">
        <f>SUMIFS($I$3:$I$518,$A$3:$A$518,A146)</f>
        <v>0</v>
      </c>
      <c r="K146" s="5">
        <f>J146/SUM(Question_Bank!$M$3:$M$14)</f>
        <v>0</v>
      </c>
      <c r="L146" s="5">
        <f>SUMIFS($I$3:$I$518,$A$3:$A$518,A146,$E$3:$E$518,E146)/SUMIFS(Question_Bank!$M$3:$M$14,Question_Bank!$B$3:$B$14,E146)</f>
        <v>0</v>
      </c>
      <c r="M146" t="s">
        <v>286</v>
      </c>
    </row>
    <row r="147" spans="1:13">
      <c r="A147" t="s">
        <v>287</v>
      </c>
      <c r="B147" t="s">
        <v>263</v>
      </c>
      <c r="C147" t="s">
        <v>227</v>
      </c>
      <c r="D147" t="s">
        <v>14</v>
      </c>
      <c r="E147" t="s">
        <v>15</v>
      </c>
      <c r="F147" t="s">
        <v>23</v>
      </c>
      <c r="G147">
        <f>INDEX(Question_Bank!$J$3:$J$14,MATCH(D147,Question_Bank!$A$3:$A$14,0))</f>
        <v>0</v>
      </c>
      <c r="H147">
        <f>IF(F147=G147,1,0)</f>
        <v>0</v>
      </c>
      <c r="I147">
        <f>H147*INDEX(Question_Bank!$M$3:$M$14,MATCH(D147,Question_Bank!$A$3:$A$14,0))</f>
        <v>0</v>
      </c>
      <c r="J147">
        <f>SUMIFS($I$3:$I$518,$A$3:$A$518,A147)</f>
        <v>0</v>
      </c>
      <c r="K147" s="5">
        <f>J147/SUM(Question_Bank!$M$3:$M$14)</f>
        <v>0</v>
      </c>
      <c r="L147" s="5">
        <f>SUMIFS($I$3:$I$518,$A$3:$A$518,A147,$E$3:$E$518,E147)/SUMIFS(Question_Bank!$M$3:$M$14,Question_Bank!$B$3:$B$14,E147)</f>
        <v>0</v>
      </c>
      <c r="M147" t="s">
        <v>288</v>
      </c>
    </row>
    <row r="148" spans="1:13">
      <c r="A148" t="s">
        <v>287</v>
      </c>
      <c r="B148" t="s">
        <v>263</v>
      </c>
      <c r="C148" t="s">
        <v>227</v>
      </c>
      <c r="D148" t="s">
        <v>26</v>
      </c>
      <c r="E148" t="s">
        <v>15</v>
      </c>
      <c r="F148" t="s">
        <v>34</v>
      </c>
      <c r="G148">
        <f>INDEX(Question_Bank!$J$3:$J$14,MATCH(D148,Question_Bank!$A$3:$A$14,0))</f>
        <v>0</v>
      </c>
      <c r="H148">
        <f>IF(F148=G148,1,0)</f>
        <v>0</v>
      </c>
      <c r="I148">
        <f>H148*INDEX(Question_Bank!$M$3:$M$14,MATCH(D148,Question_Bank!$A$3:$A$14,0))</f>
        <v>0</v>
      </c>
      <c r="J148">
        <f>SUMIFS($I$3:$I$518,$A$3:$A$518,A148)</f>
        <v>0</v>
      </c>
      <c r="K148" s="5">
        <f>J148/SUM(Question_Bank!$M$3:$M$14)</f>
        <v>0</v>
      </c>
      <c r="L148" s="5">
        <f>SUMIFS($I$3:$I$518,$A$3:$A$518,A148,$E$3:$E$518,E148)/SUMIFS(Question_Bank!$M$3:$M$14,Question_Bank!$B$3:$B$14,E148)</f>
        <v>0</v>
      </c>
      <c r="M148" t="s">
        <v>288</v>
      </c>
    </row>
    <row r="149" spans="1:13">
      <c r="A149" t="s">
        <v>287</v>
      </c>
      <c r="B149" t="s">
        <v>263</v>
      </c>
      <c r="C149" t="s">
        <v>227</v>
      </c>
      <c r="D149" t="s">
        <v>37</v>
      </c>
      <c r="E149" t="s">
        <v>15</v>
      </c>
      <c r="F149" t="s">
        <v>20</v>
      </c>
      <c r="G149">
        <f>INDEX(Question_Bank!$J$3:$J$14,MATCH(D149,Question_Bank!$A$3:$A$14,0))</f>
        <v>0</v>
      </c>
      <c r="H149">
        <f>IF(F149=G149,1,0)</f>
        <v>0</v>
      </c>
      <c r="I149">
        <f>H149*INDEX(Question_Bank!$M$3:$M$14,MATCH(D149,Question_Bank!$A$3:$A$14,0))</f>
        <v>0</v>
      </c>
      <c r="J149">
        <f>SUMIFS($I$3:$I$518,$A$3:$A$518,A149)</f>
        <v>0</v>
      </c>
      <c r="K149" s="5">
        <f>J149/SUM(Question_Bank!$M$3:$M$14)</f>
        <v>0</v>
      </c>
      <c r="L149" s="5">
        <f>SUMIFS($I$3:$I$518,$A$3:$A$518,A149,$E$3:$E$518,E149)/SUMIFS(Question_Bank!$M$3:$M$14,Question_Bank!$B$3:$B$14,E149)</f>
        <v>0</v>
      </c>
      <c r="M149" t="s">
        <v>288</v>
      </c>
    </row>
    <row r="150" spans="1:13">
      <c r="A150" t="s">
        <v>287</v>
      </c>
      <c r="B150" t="s">
        <v>263</v>
      </c>
      <c r="C150" t="s">
        <v>227</v>
      </c>
      <c r="D150" t="s">
        <v>45</v>
      </c>
      <c r="E150" t="s">
        <v>46</v>
      </c>
      <c r="F150" t="s">
        <v>31</v>
      </c>
      <c r="G150">
        <f>INDEX(Question_Bank!$J$3:$J$14,MATCH(D150,Question_Bank!$A$3:$A$14,0))</f>
        <v>0</v>
      </c>
      <c r="H150">
        <f>IF(F150=G150,1,0)</f>
        <v>0</v>
      </c>
      <c r="I150">
        <f>H150*INDEX(Question_Bank!$M$3:$M$14,MATCH(D150,Question_Bank!$A$3:$A$14,0))</f>
        <v>0</v>
      </c>
      <c r="J150">
        <f>SUMIFS($I$3:$I$518,$A$3:$A$518,A150)</f>
        <v>0</v>
      </c>
      <c r="K150" s="5">
        <f>J150/SUM(Question_Bank!$M$3:$M$14)</f>
        <v>0</v>
      </c>
      <c r="L150" s="5">
        <f>SUMIFS($I$3:$I$518,$A$3:$A$518,A150,$E$3:$E$518,E150)/SUMIFS(Question_Bank!$M$3:$M$14,Question_Bank!$B$3:$B$14,E150)</f>
        <v>0</v>
      </c>
      <c r="M150" t="s">
        <v>288</v>
      </c>
    </row>
    <row r="151" spans="1:13">
      <c r="A151" t="s">
        <v>287</v>
      </c>
      <c r="B151" t="s">
        <v>263</v>
      </c>
      <c r="C151" t="s">
        <v>227</v>
      </c>
      <c r="D151" t="s">
        <v>54</v>
      </c>
      <c r="E151" t="s">
        <v>46</v>
      </c>
      <c r="F151" t="s">
        <v>23</v>
      </c>
      <c r="G151">
        <f>INDEX(Question_Bank!$J$3:$J$14,MATCH(D151,Question_Bank!$A$3:$A$14,0))</f>
        <v>0</v>
      </c>
      <c r="H151">
        <f>IF(F151=G151,1,0)</f>
        <v>0</v>
      </c>
      <c r="I151">
        <f>H151*INDEX(Question_Bank!$M$3:$M$14,MATCH(D151,Question_Bank!$A$3:$A$14,0))</f>
        <v>0</v>
      </c>
      <c r="J151">
        <f>SUMIFS($I$3:$I$518,$A$3:$A$518,A151)</f>
        <v>0</v>
      </c>
      <c r="K151" s="5">
        <f>J151/SUM(Question_Bank!$M$3:$M$14)</f>
        <v>0</v>
      </c>
      <c r="L151" s="5">
        <f>SUMIFS($I$3:$I$518,$A$3:$A$518,A151,$E$3:$E$518,E151)/SUMIFS(Question_Bank!$M$3:$M$14,Question_Bank!$B$3:$B$14,E151)</f>
        <v>0</v>
      </c>
      <c r="M151" t="s">
        <v>288</v>
      </c>
    </row>
    <row r="152" spans="1:13">
      <c r="A152" t="s">
        <v>287</v>
      </c>
      <c r="B152" t="s">
        <v>263</v>
      </c>
      <c r="C152" t="s">
        <v>227</v>
      </c>
      <c r="D152" t="s">
        <v>62</v>
      </c>
      <c r="E152" t="s">
        <v>46</v>
      </c>
      <c r="F152" t="s">
        <v>34</v>
      </c>
      <c r="G152">
        <f>INDEX(Question_Bank!$J$3:$J$14,MATCH(D152,Question_Bank!$A$3:$A$14,0))</f>
        <v>0</v>
      </c>
      <c r="H152">
        <f>IF(F152=G152,1,0)</f>
        <v>0</v>
      </c>
      <c r="I152">
        <f>H152*INDEX(Question_Bank!$M$3:$M$14,MATCH(D152,Question_Bank!$A$3:$A$14,0))</f>
        <v>0</v>
      </c>
      <c r="J152">
        <f>SUMIFS($I$3:$I$518,$A$3:$A$518,A152)</f>
        <v>0</v>
      </c>
      <c r="K152" s="5">
        <f>J152/SUM(Question_Bank!$M$3:$M$14)</f>
        <v>0</v>
      </c>
      <c r="L152" s="5">
        <f>SUMIFS($I$3:$I$518,$A$3:$A$518,A152,$E$3:$E$518,E152)/SUMIFS(Question_Bank!$M$3:$M$14,Question_Bank!$B$3:$B$14,E152)</f>
        <v>0</v>
      </c>
      <c r="M152" t="s">
        <v>288</v>
      </c>
    </row>
    <row r="153" spans="1:13">
      <c r="A153" t="s">
        <v>287</v>
      </c>
      <c r="B153" t="s">
        <v>263</v>
      </c>
      <c r="C153" t="s">
        <v>227</v>
      </c>
      <c r="D153" t="s">
        <v>70</v>
      </c>
      <c r="E153" t="s">
        <v>71</v>
      </c>
      <c r="F153" t="s">
        <v>20</v>
      </c>
      <c r="G153">
        <f>INDEX(Question_Bank!$J$3:$J$14,MATCH(D153,Question_Bank!$A$3:$A$14,0))</f>
        <v>0</v>
      </c>
      <c r="H153">
        <f>IF(F153=G153,1,0)</f>
        <v>0</v>
      </c>
      <c r="I153">
        <f>H153*INDEX(Question_Bank!$M$3:$M$14,MATCH(D153,Question_Bank!$A$3:$A$14,0))</f>
        <v>0</v>
      </c>
      <c r="J153">
        <f>SUMIFS($I$3:$I$518,$A$3:$A$518,A153)</f>
        <v>0</v>
      </c>
      <c r="K153" s="5">
        <f>J153/SUM(Question_Bank!$M$3:$M$14)</f>
        <v>0</v>
      </c>
      <c r="L153" s="5">
        <f>SUMIFS($I$3:$I$518,$A$3:$A$518,A153,$E$3:$E$518,E153)/SUMIFS(Question_Bank!$M$3:$M$14,Question_Bank!$B$3:$B$14,E153)</f>
        <v>0</v>
      </c>
      <c r="M153" t="s">
        <v>288</v>
      </c>
    </row>
    <row r="154" spans="1:13">
      <c r="A154" t="s">
        <v>287</v>
      </c>
      <c r="B154" t="s">
        <v>263</v>
      </c>
      <c r="C154" t="s">
        <v>227</v>
      </c>
      <c r="D154" t="s">
        <v>79</v>
      </c>
      <c r="E154" t="s">
        <v>71</v>
      </c>
      <c r="F154" t="s">
        <v>31</v>
      </c>
      <c r="G154">
        <f>INDEX(Question_Bank!$J$3:$J$14,MATCH(D154,Question_Bank!$A$3:$A$14,0))</f>
        <v>0</v>
      </c>
      <c r="H154">
        <f>IF(F154=G154,1,0)</f>
        <v>0</v>
      </c>
      <c r="I154">
        <f>H154*INDEX(Question_Bank!$M$3:$M$14,MATCH(D154,Question_Bank!$A$3:$A$14,0))</f>
        <v>0</v>
      </c>
      <c r="J154">
        <f>SUMIFS($I$3:$I$518,$A$3:$A$518,A154)</f>
        <v>0</v>
      </c>
      <c r="K154" s="5">
        <f>J154/SUM(Question_Bank!$M$3:$M$14)</f>
        <v>0</v>
      </c>
      <c r="L154" s="5">
        <f>SUMIFS($I$3:$I$518,$A$3:$A$518,A154,$E$3:$E$518,E154)/SUMIFS(Question_Bank!$M$3:$M$14,Question_Bank!$B$3:$B$14,E154)</f>
        <v>0</v>
      </c>
      <c r="M154" t="s">
        <v>288</v>
      </c>
    </row>
    <row r="155" spans="1:13">
      <c r="A155" t="s">
        <v>287</v>
      </c>
      <c r="B155" t="s">
        <v>263</v>
      </c>
      <c r="C155" t="s">
        <v>227</v>
      </c>
      <c r="D155" t="s">
        <v>87</v>
      </c>
      <c r="E155" t="s">
        <v>71</v>
      </c>
      <c r="F155" t="s">
        <v>23</v>
      </c>
      <c r="G155">
        <f>INDEX(Question_Bank!$J$3:$J$14,MATCH(D155,Question_Bank!$A$3:$A$14,0))</f>
        <v>0</v>
      </c>
      <c r="H155">
        <f>IF(F155=G155,1,0)</f>
        <v>0</v>
      </c>
      <c r="I155">
        <f>H155*INDEX(Question_Bank!$M$3:$M$14,MATCH(D155,Question_Bank!$A$3:$A$14,0))</f>
        <v>0</v>
      </c>
      <c r="J155">
        <f>SUMIFS($I$3:$I$518,$A$3:$A$518,A155)</f>
        <v>0</v>
      </c>
      <c r="K155" s="5">
        <f>J155/SUM(Question_Bank!$M$3:$M$14)</f>
        <v>0</v>
      </c>
      <c r="L155" s="5">
        <f>SUMIFS($I$3:$I$518,$A$3:$A$518,A155,$E$3:$E$518,E155)/SUMIFS(Question_Bank!$M$3:$M$14,Question_Bank!$B$3:$B$14,E155)</f>
        <v>0</v>
      </c>
      <c r="M155" t="s">
        <v>288</v>
      </c>
    </row>
    <row r="156" spans="1:13">
      <c r="A156" t="s">
        <v>287</v>
      </c>
      <c r="B156" t="s">
        <v>263</v>
      </c>
      <c r="C156" t="s">
        <v>227</v>
      </c>
      <c r="D156" t="s">
        <v>95</v>
      </c>
      <c r="E156" t="s">
        <v>96</v>
      </c>
      <c r="F156" t="s">
        <v>34</v>
      </c>
      <c r="G156">
        <f>INDEX(Question_Bank!$J$3:$J$14,MATCH(D156,Question_Bank!$A$3:$A$14,0))</f>
        <v>0</v>
      </c>
      <c r="H156">
        <f>IF(F156=G156,1,0)</f>
        <v>0</v>
      </c>
      <c r="I156">
        <f>H156*INDEX(Question_Bank!$M$3:$M$14,MATCH(D156,Question_Bank!$A$3:$A$14,0))</f>
        <v>0</v>
      </c>
      <c r="J156">
        <f>SUMIFS($I$3:$I$518,$A$3:$A$518,A156)</f>
        <v>0</v>
      </c>
      <c r="K156" s="5">
        <f>J156/SUM(Question_Bank!$M$3:$M$14)</f>
        <v>0</v>
      </c>
      <c r="L156" s="5">
        <f>SUMIFS($I$3:$I$518,$A$3:$A$518,A156,$E$3:$E$518,E156)/SUMIFS(Question_Bank!$M$3:$M$14,Question_Bank!$B$3:$B$14,E156)</f>
        <v>0</v>
      </c>
      <c r="M156" t="s">
        <v>288</v>
      </c>
    </row>
    <row r="157" spans="1:13">
      <c r="A157" t="s">
        <v>287</v>
      </c>
      <c r="B157" t="s">
        <v>263</v>
      </c>
      <c r="C157" t="s">
        <v>227</v>
      </c>
      <c r="D157" t="s">
        <v>104</v>
      </c>
      <c r="E157" t="s">
        <v>96</v>
      </c>
      <c r="F157" t="s">
        <v>20</v>
      </c>
      <c r="G157">
        <f>INDEX(Question_Bank!$J$3:$J$14,MATCH(D157,Question_Bank!$A$3:$A$14,0))</f>
        <v>0</v>
      </c>
      <c r="H157">
        <f>IF(F157=G157,1,0)</f>
        <v>0</v>
      </c>
      <c r="I157">
        <f>H157*INDEX(Question_Bank!$M$3:$M$14,MATCH(D157,Question_Bank!$A$3:$A$14,0))</f>
        <v>0</v>
      </c>
      <c r="J157">
        <f>SUMIFS($I$3:$I$518,$A$3:$A$518,A157)</f>
        <v>0</v>
      </c>
      <c r="K157" s="5">
        <f>J157/SUM(Question_Bank!$M$3:$M$14)</f>
        <v>0</v>
      </c>
      <c r="L157" s="5">
        <f>SUMIFS($I$3:$I$518,$A$3:$A$518,A157,$E$3:$E$518,E157)/SUMIFS(Question_Bank!$M$3:$M$14,Question_Bank!$B$3:$B$14,E157)</f>
        <v>0</v>
      </c>
      <c r="M157" t="s">
        <v>288</v>
      </c>
    </row>
    <row r="158" spans="1:13">
      <c r="A158" t="s">
        <v>287</v>
      </c>
      <c r="B158" t="s">
        <v>263</v>
      </c>
      <c r="C158" t="s">
        <v>227</v>
      </c>
      <c r="D158" t="s">
        <v>112</v>
      </c>
      <c r="E158" t="s">
        <v>96</v>
      </c>
      <c r="F158" t="s">
        <v>31</v>
      </c>
      <c r="G158">
        <f>INDEX(Question_Bank!$J$3:$J$14,MATCH(D158,Question_Bank!$A$3:$A$14,0))</f>
        <v>0</v>
      </c>
      <c r="H158">
        <f>IF(F158=G158,1,0)</f>
        <v>0</v>
      </c>
      <c r="I158">
        <f>H158*INDEX(Question_Bank!$M$3:$M$14,MATCH(D158,Question_Bank!$A$3:$A$14,0))</f>
        <v>0</v>
      </c>
      <c r="J158">
        <f>SUMIFS($I$3:$I$518,$A$3:$A$518,A158)</f>
        <v>0</v>
      </c>
      <c r="K158" s="5">
        <f>J158/SUM(Question_Bank!$M$3:$M$14)</f>
        <v>0</v>
      </c>
      <c r="L158" s="5">
        <f>SUMIFS($I$3:$I$518,$A$3:$A$518,A158,$E$3:$E$518,E158)/SUMIFS(Question_Bank!$M$3:$M$14,Question_Bank!$B$3:$B$14,E158)</f>
        <v>0</v>
      </c>
      <c r="M158" t="s">
        <v>288</v>
      </c>
    </row>
    <row r="159" spans="1:13">
      <c r="A159" t="s">
        <v>289</v>
      </c>
      <c r="B159" t="s">
        <v>263</v>
      </c>
      <c r="C159" t="s">
        <v>227</v>
      </c>
      <c r="D159" t="s">
        <v>14</v>
      </c>
      <c r="E159" t="s">
        <v>15</v>
      </c>
      <c r="F159" t="s">
        <v>23</v>
      </c>
      <c r="G159">
        <f>INDEX(Question_Bank!$J$3:$J$14,MATCH(D159,Question_Bank!$A$3:$A$14,0))</f>
        <v>0</v>
      </c>
      <c r="H159">
        <f>IF(F159=G159,1,0)</f>
        <v>0</v>
      </c>
      <c r="I159">
        <f>H159*INDEX(Question_Bank!$M$3:$M$14,MATCH(D159,Question_Bank!$A$3:$A$14,0))</f>
        <v>0</v>
      </c>
      <c r="J159">
        <f>SUMIFS($I$3:$I$518,$A$3:$A$518,A159)</f>
        <v>0</v>
      </c>
      <c r="K159" s="5">
        <f>J159/SUM(Question_Bank!$M$3:$M$14)</f>
        <v>0</v>
      </c>
      <c r="L159" s="5">
        <f>SUMIFS($I$3:$I$518,$A$3:$A$518,A159,$E$3:$E$518,E159)/SUMIFS(Question_Bank!$M$3:$M$14,Question_Bank!$B$3:$B$14,E159)</f>
        <v>0</v>
      </c>
      <c r="M159" t="s">
        <v>290</v>
      </c>
    </row>
    <row r="160" spans="1:13">
      <c r="A160" t="s">
        <v>289</v>
      </c>
      <c r="B160" t="s">
        <v>263</v>
      </c>
      <c r="C160" t="s">
        <v>227</v>
      </c>
      <c r="D160" t="s">
        <v>26</v>
      </c>
      <c r="E160" t="s">
        <v>15</v>
      </c>
      <c r="F160" t="s">
        <v>34</v>
      </c>
      <c r="G160">
        <f>INDEX(Question_Bank!$J$3:$J$14,MATCH(D160,Question_Bank!$A$3:$A$14,0))</f>
        <v>0</v>
      </c>
      <c r="H160">
        <f>IF(F160=G160,1,0)</f>
        <v>0</v>
      </c>
      <c r="I160">
        <f>H160*INDEX(Question_Bank!$M$3:$M$14,MATCH(D160,Question_Bank!$A$3:$A$14,0))</f>
        <v>0</v>
      </c>
      <c r="J160">
        <f>SUMIFS($I$3:$I$518,$A$3:$A$518,A160)</f>
        <v>0</v>
      </c>
      <c r="K160" s="5">
        <f>J160/SUM(Question_Bank!$M$3:$M$14)</f>
        <v>0</v>
      </c>
      <c r="L160" s="5">
        <f>SUMIFS($I$3:$I$518,$A$3:$A$518,A160,$E$3:$E$518,E160)/SUMIFS(Question_Bank!$M$3:$M$14,Question_Bank!$B$3:$B$14,E160)</f>
        <v>0</v>
      </c>
      <c r="M160" t="s">
        <v>290</v>
      </c>
    </row>
    <row r="161" spans="1:13">
      <c r="A161" t="s">
        <v>289</v>
      </c>
      <c r="B161" t="s">
        <v>263</v>
      </c>
      <c r="C161" t="s">
        <v>227</v>
      </c>
      <c r="D161" t="s">
        <v>37</v>
      </c>
      <c r="E161" t="s">
        <v>15</v>
      </c>
      <c r="F161" t="s">
        <v>20</v>
      </c>
      <c r="G161">
        <f>INDEX(Question_Bank!$J$3:$J$14,MATCH(D161,Question_Bank!$A$3:$A$14,0))</f>
        <v>0</v>
      </c>
      <c r="H161">
        <f>IF(F161=G161,1,0)</f>
        <v>0</v>
      </c>
      <c r="I161">
        <f>H161*INDEX(Question_Bank!$M$3:$M$14,MATCH(D161,Question_Bank!$A$3:$A$14,0))</f>
        <v>0</v>
      </c>
      <c r="J161">
        <f>SUMIFS($I$3:$I$518,$A$3:$A$518,A161)</f>
        <v>0</v>
      </c>
      <c r="K161" s="5">
        <f>J161/SUM(Question_Bank!$M$3:$M$14)</f>
        <v>0</v>
      </c>
      <c r="L161" s="5">
        <f>SUMIFS($I$3:$I$518,$A$3:$A$518,A161,$E$3:$E$518,E161)/SUMIFS(Question_Bank!$M$3:$M$14,Question_Bank!$B$3:$B$14,E161)</f>
        <v>0</v>
      </c>
      <c r="M161" t="s">
        <v>290</v>
      </c>
    </row>
    <row r="162" spans="1:13">
      <c r="A162" t="s">
        <v>289</v>
      </c>
      <c r="B162" t="s">
        <v>263</v>
      </c>
      <c r="C162" t="s">
        <v>227</v>
      </c>
      <c r="D162" t="s">
        <v>45</v>
      </c>
      <c r="E162" t="s">
        <v>46</v>
      </c>
      <c r="F162" t="s">
        <v>31</v>
      </c>
      <c r="G162">
        <f>INDEX(Question_Bank!$J$3:$J$14,MATCH(D162,Question_Bank!$A$3:$A$14,0))</f>
        <v>0</v>
      </c>
      <c r="H162">
        <f>IF(F162=G162,1,0)</f>
        <v>0</v>
      </c>
      <c r="I162">
        <f>H162*INDEX(Question_Bank!$M$3:$M$14,MATCH(D162,Question_Bank!$A$3:$A$14,0))</f>
        <v>0</v>
      </c>
      <c r="J162">
        <f>SUMIFS($I$3:$I$518,$A$3:$A$518,A162)</f>
        <v>0</v>
      </c>
      <c r="K162" s="5">
        <f>J162/SUM(Question_Bank!$M$3:$M$14)</f>
        <v>0</v>
      </c>
      <c r="L162" s="5">
        <f>SUMIFS($I$3:$I$518,$A$3:$A$518,A162,$E$3:$E$518,E162)/SUMIFS(Question_Bank!$M$3:$M$14,Question_Bank!$B$3:$B$14,E162)</f>
        <v>0</v>
      </c>
      <c r="M162" t="s">
        <v>290</v>
      </c>
    </row>
    <row r="163" spans="1:13">
      <c r="A163" t="s">
        <v>289</v>
      </c>
      <c r="B163" t="s">
        <v>263</v>
      </c>
      <c r="C163" t="s">
        <v>227</v>
      </c>
      <c r="D163" t="s">
        <v>54</v>
      </c>
      <c r="E163" t="s">
        <v>46</v>
      </c>
      <c r="F163" t="s">
        <v>23</v>
      </c>
      <c r="G163">
        <f>INDEX(Question_Bank!$J$3:$J$14,MATCH(D163,Question_Bank!$A$3:$A$14,0))</f>
        <v>0</v>
      </c>
      <c r="H163">
        <f>IF(F163=G163,1,0)</f>
        <v>0</v>
      </c>
      <c r="I163">
        <f>H163*INDEX(Question_Bank!$M$3:$M$14,MATCH(D163,Question_Bank!$A$3:$A$14,0))</f>
        <v>0</v>
      </c>
      <c r="J163">
        <f>SUMIFS($I$3:$I$518,$A$3:$A$518,A163)</f>
        <v>0</v>
      </c>
      <c r="K163" s="5">
        <f>J163/SUM(Question_Bank!$M$3:$M$14)</f>
        <v>0</v>
      </c>
      <c r="L163" s="5">
        <f>SUMIFS($I$3:$I$518,$A$3:$A$518,A163,$E$3:$E$518,E163)/SUMIFS(Question_Bank!$M$3:$M$14,Question_Bank!$B$3:$B$14,E163)</f>
        <v>0</v>
      </c>
      <c r="M163" t="s">
        <v>290</v>
      </c>
    </row>
    <row r="164" spans="1:13">
      <c r="A164" t="s">
        <v>289</v>
      </c>
      <c r="B164" t="s">
        <v>263</v>
      </c>
      <c r="C164" t="s">
        <v>227</v>
      </c>
      <c r="D164" t="s">
        <v>62</v>
      </c>
      <c r="E164" t="s">
        <v>46</v>
      </c>
      <c r="F164" t="s">
        <v>34</v>
      </c>
      <c r="G164">
        <f>INDEX(Question_Bank!$J$3:$J$14,MATCH(D164,Question_Bank!$A$3:$A$14,0))</f>
        <v>0</v>
      </c>
      <c r="H164">
        <f>IF(F164=G164,1,0)</f>
        <v>0</v>
      </c>
      <c r="I164">
        <f>H164*INDEX(Question_Bank!$M$3:$M$14,MATCH(D164,Question_Bank!$A$3:$A$14,0))</f>
        <v>0</v>
      </c>
      <c r="J164">
        <f>SUMIFS($I$3:$I$518,$A$3:$A$518,A164)</f>
        <v>0</v>
      </c>
      <c r="K164" s="5">
        <f>J164/SUM(Question_Bank!$M$3:$M$14)</f>
        <v>0</v>
      </c>
      <c r="L164" s="5">
        <f>SUMIFS($I$3:$I$518,$A$3:$A$518,A164,$E$3:$E$518,E164)/SUMIFS(Question_Bank!$M$3:$M$14,Question_Bank!$B$3:$B$14,E164)</f>
        <v>0</v>
      </c>
      <c r="M164" t="s">
        <v>290</v>
      </c>
    </row>
    <row r="165" spans="1:13">
      <c r="A165" t="s">
        <v>289</v>
      </c>
      <c r="B165" t="s">
        <v>263</v>
      </c>
      <c r="C165" t="s">
        <v>227</v>
      </c>
      <c r="D165" t="s">
        <v>70</v>
      </c>
      <c r="E165" t="s">
        <v>71</v>
      </c>
      <c r="F165" t="s">
        <v>20</v>
      </c>
      <c r="G165">
        <f>INDEX(Question_Bank!$J$3:$J$14,MATCH(D165,Question_Bank!$A$3:$A$14,0))</f>
        <v>0</v>
      </c>
      <c r="H165">
        <f>IF(F165=G165,1,0)</f>
        <v>0</v>
      </c>
      <c r="I165">
        <f>H165*INDEX(Question_Bank!$M$3:$M$14,MATCH(D165,Question_Bank!$A$3:$A$14,0))</f>
        <v>0</v>
      </c>
      <c r="J165">
        <f>SUMIFS($I$3:$I$518,$A$3:$A$518,A165)</f>
        <v>0</v>
      </c>
      <c r="K165" s="5">
        <f>J165/SUM(Question_Bank!$M$3:$M$14)</f>
        <v>0</v>
      </c>
      <c r="L165" s="5">
        <f>SUMIFS($I$3:$I$518,$A$3:$A$518,A165,$E$3:$E$518,E165)/SUMIFS(Question_Bank!$M$3:$M$14,Question_Bank!$B$3:$B$14,E165)</f>
        <v>0</v>
      </c>
      <c r="M165" t="s">
        <v>290</v>
      </c>
    </row>
    <row r="166" spans="1:13">
      <c r="A166" t="s">
        <v>289</v>
      </c>
      <c r="B166" t="s">
        <v>263</v>
      </c>
      <c r="C166" t="s">
        <v>227</v>
      </c>
      <c r="D166" t="s">
        <v>79</v>
      </c>
      <c r="E166" t="s">
        <v>71</v>
      </c>
      <c r="F166" t="s">
        <v>31</v>
      </c>
      <c r="G166">
        <f>INDEX(Question_Bank!$J$3:$J$14,MATCH(D166,Question_Bank!$A$3:$A$14,0))</f>
        <v>0</v>
      </c>
      <c r="H166">
        <f>IF(F166=G166,1,0)</f>
        <v>0</v>
      </c>
      <c r="I166">
        <f>H166*INDEX(Question_Bank!$M$3:$M$14,MATCH(D166,Question_Bank!$A$3:$A$14,0))</f>
        <v>0</v>
      </c>
      <c r="J166">
        <f>SUMIFS($I$3:$I$518,$A$3:$A$518,A166)</f>
        <v>0</v>
      </c>
      <c r="K166" s="5">
        <f>J166/SUM(Question_Bank!$M$3:$M$14)</f>
        <v>0</v>
      </c>
      <c r="L166" s="5">
        <f>SUMIFS($I$3:$I$518,$A$3:$A$518,A166,$E$3:$E$518,E166)/SUMIFS(Question_Bank!$M$3:$M$14,Question_Bank!$B$3:$B$14,E166)</f>
        <v>0</v>
      </c>
      <c r="M166" t="s">
        <v>290</v>
      </c>
    </row>
    <row r="167" spans="1:13">
      <c r="A167" t="s">
        <v>289</v>
      </c>
      <c r="B167" t="s">
        <v>263</v>
      </c>
      <c r="C167" t="s">
        <v>227</v>
      </c>
      <c r="D167" t="s">
        <v>87</v>
      </c>
      <c r="E167" t="s">
        <v>71</v>
      </c>
      <c r="F167" t="s">
        <v>23</v>
      </c>
      <c r="G167">
        <f>INDEX(Question_Bank!$J$3:$J$14,MATCH(D167,Question_Bank!$A$3:$A$14,0))</f>
        <v>0</v>
      </c>
      <c r="H167">
        <f>IF(F167=G167,1,0)</f>
        <v>0</v>
      </c>
      <c r="I167">
        <f>H167*INDEX(Question_Bank!$M$3:$M$14,MATCH(D167,Question_Bank!$A$3:$A$14,0))</f>
        <v>0</v>
      </c>
      <c r="J167">
        <f>SUMIFS($I$3:$I$518,$A$3:$A$518,A167)</f>
        <v>0</v>
      </c>
      <c r="K167" s="5">
        <f>J167/SUM(Question_Bank!$M$3:$M$14)</f>
        <v>0</v>
      </c>
      <c r="L167" s="5">
        <f>SUMIFS($I$3:$I$518,$A$3:$A$518,A167,$E$3:$E$518,E167)/SUMIFS(Question_Bank!$M$3:$M$14,Question_Bank!$B$3:$B$14,E167)</f>
        <v>0</v>
      </c>
      <c r="M167" t="s">
        <v>290</v>
      </c>
    </row>
    <row r="168" spans="1:13">
      <c r="A168" t="s">
        <v>289</v>
      </c>
      <c r="B168" t="s">
        <v>263</v>
      </c>
      <c r="C168" t="s">
        <v>227</v>
      </c>
      <c r="D168" t="s">
        <v>95</v>
      </c>
      <c r="E168" t="s">
        <v>96</v>
      </c>
      <c r="F168" t="s">
        <v>34</v>
      </c>
      <c r="G168">
        <f>INDEX(Question_Bank!$J$3:$J$14,MATCH(D168,Question_Bank!$A$3:$A$14,0))</f>
        <v>0</v>
      </c>
      <c r="H168">
        <f>IF(F168=G168,1,0)</f>
        <v>0</v>
      </c>
      <c r="I168">
        <f>H168*INDEX(Question_Bank!$M$3:$M$14,MATCH(D168,Question_Bank!$A$3:$A$14,0))</f>
        <v>0</v>
      </c>
      <c r="J168">
        <f>SUMIFS($I$3:$I$518,$A$3:$A$518,A168)</f>
        <v>0</v>
      </c>
      <c r="K168" s="5">
        <f>J168/SUM(Question_Bank!$M$3:$M$14)</f>
        <v>0</v>
      </c>
      <c r="L168" s="5">
        <f>SUMIFS($I$3:$I$518,$A$3:$A$518,A168,$E$3:$E$518,E168)/SUMIFS(Question_Bank!$M$3:$M$14,Question_Bank!$B$3:$B$14,E168)</f>
        <v>0</v>
      </c>
      <c r="M168" t="s">
        <v>290</v>
      </c>
    </row>
    <row r="169" spans="1:13">
      <c r="A169" t="s">
        <v>289</v>
      </c>
      <c r="B169" t="s">
        <v>263</v>
      </c>
      <c r="C169" t="s">
        <v>227</v>
      </c>
      <c r="D169" t="s">
        <v>104</v>
      </c>
      <c r="E169" t="s">
        <v>96</v>
      </c>
      <c r="F169" t="s">
        <v>20</v>
      </c>
      <c r="G169">
        <f>INDEX(Question_Bank!$J$3:$J$14,MATCH(D169,Question_Bank!$A$3:$A$14,0))</f>
        <v>0</v>
      </c>
      <c r="H169">
        <f>IF(F169=G169,1,0)</f>
        <v>0</v>
      </c>
      <c r="I169">
        <f>H169*INDEX(Question_Bank!$M$3:$M$14,MATCH(D169,Question_Bank!$A$3:$A$14,0))</f>
        <v>0</v>
      </c>
      <c r="J169">
        <f>SUMIFS($I$3:$I$518,$A$3:$A$518,A169)</f>
        <v>0</v>
      </c>
      <c r="K169" s="5">
        <f>J169/SUM(Question_Bank!$M$3:$M$14)</f>
        <v>0</v>
      </c>
      <c r="L169" s="5">
        <f>SUMIFS($I$3:$I$518,$A$3:$A$518,A169,$E$3:$E$518,E169)/SUMIFS(Question_Bank!$M$3:$M$14,Question_Bank!$B$3:$B$14,E169)</f>
        <v>0</v>
      </c>
      <c r="M169" t="s">
        <v>290</v>
      </c>
    </row>
    <row r="170" spans="1:13">
      <c r="A170" t="s">
        <v>289</v>
      </c>
      <c r="B170" t="s">
        <v>263</v>
      </c>
      <c r="C170" t="s">
        <v>227</v>
      </c>
      <c r="D170" t="s">
        <v>112</v>
      </c>
      <c r="E170" t="s">
        <v>96</v>
      </c>
      <c r="F170" t="s">
        <v>31</v>
      </c>
      <c r="G170">
        <f>INDEX(Question_Bank!$J$3:$J$14,MATCH(D170,Question_Bank!$A$3:$A$14,0))</f>
        <v>0</v>
      </c>
      <c r="H170">
        <f>IF(F170=G170,1,0)</f>
        <v>0</v>
      </c>
      <c r="I170">
        <f>H170*INDEX(Question_Bank!$M$3:$M$14,MATCH(D170,Question_Bank!$A$3:$A$14,0))</f>
        <v>0</v>
      </c>
      <c r="J170">
        <f>SUMIFS($I$3:$I$518,$A$3:$A$518,A170)</f>
        <v>0</v>
      </c>
      <c r="K170" s="5">
        <f>J170/SUM(Question_Bank!$M$3:$M$14)</f>
        <v>0</v>
      </c>
      <c r="L170" s="5">
        <f>SUMIFS($I$3:$I$518,$A$3:$A$518,A170,$E$3:$E$518,E170)/SUMIFS(Question_Bank!$M$3:$M$14,Question_Bank!$B$3:$B$14,E170)</f>
        <v>0</v>
      </c>
      <c r="M170" t="s">
        <v>290</v>
      </c>
    </row>
    <row r="171" spans="1:13">
      <c r="A171" t="s">
        <v>291</v>
      </c>
      <c r="B171" t="s">
        <v>263</v>
      </c>
      <c r="C171" t="s">
        <v>227</v>
      </c>
      <c r="D171" t="s">
        <v>14</v>
      </c>
      <c r="E171" t="s">
        <v>15</v>
      </c>
      <c r="F171" t="s">
        <v>23</v>
      </c>
      <c r="G171">
        <f>INDEX(Question_Bank!$J$3:$J$14,MATCH(D171,Question_Bank!$A$3:$A$14,0))</f>
        <v>0</v>
      </c>
      <c r="H171">
        <f>IF(F171=G171,1,0)</f>
        <v>0</v>
      </c>
      <c r="I171">
        <f>H171*INDEX(Question_Bank!$M$3:$M$14,MATCH(D171,Question_Bank!$A$3:$A$14,0))</f>
        <v>0</v>
      </c>
      <c r="J171">
        <f>SUMIFS($I$3:$I$518,$A$3:$A$518,A171)</f>
        <v>0</v>
      </c>
      <c r="K171" s="5">
        <f>J171/SUM(Question_Bank!$M$3:$M$14)</f>
        <v>0</v>
      </c>
      <c r="L171" s="5">
        <f>SUMIFS($I$3:$I$518,$A$3:$A$518,A171,$E$3:$E$518,E171)/SUMIFS(Question_Bank!$M$3:$M$14,Question_Bank!$B$3:$B$14,E171)</f>
        <v>0</v>
      </c>
      <c r="M171" t="s">
        <v>292</v>
      </c>
    </row>
    <row r="172" spans="1:13">
      <c r="A172" t="s">
        <v>291</v>
      </c>
      <c r="B172" t="s">
        <v>263</v>
      </c>
      <c r="C172" t="s">
        <v>227</v>
      </c>
      <c r="D172" t="s">
        <v>26</v>
      </c>
      <c r="E172" t="s">
        <v>15</v>
      </c>
      <c r="F172" t="s">
        <v>34</v>
      </c>
      <c r="G172">
        <f>INDEX(Question_Bank!$J$3:$J$14,MATCH(D172,Question_Bank!$A$3:$A$14,0))</f>
        <v>0</v>
      </c>
      <c r="H172">
        <f>IF(F172=G172,1,0)</f>
        <v>0</v>
      </c>
      <c r="I172">
        <f>H172*INDEX(Question_Bank!$M$3:$M$14,MATCH(D172,Question_Bank!$A$3:$A$14,0))</f>
        <v>0</v>
      </c>
      <c r="J172">
        <f>SUMIFS($I$3:$I$518,$A$3:$A$518,A172)</f>
        <v>0</v>
      </c>
      <c r="K172" s="5">
        <f>J172/SUM(Question_Bank!$M$3:$M$14)</f>
        <v>0</v>
      </c>
      <c r="L172" s="5">
        <f>SUMIFS($I$3:$I$518,$A$3:$A$518,A172,$E$3:$E$518,E172)/SUMIFS(Question_Bank!$M$3:$M$14,Question_Bank!$B$3:$B$14,E172)</f>
        <v>0</v>
      </c>
      <c r="M172" t="s">
        <v>292</v>
      </c>
    </row>
    <row r="173" spans="1:13">
      <c r="A173" t="s">
        <v>291</v>
      </c>
      <c r="B173" t="s">
        <v>263</v>
      </c>
      <c r="C173" t="s">
        <v>227</v>
      </c>
      <c r="D173" t="s">
        <v>37</v>
      </c>
      <c r="E173" t="s">
        <v>15</v>
      </c>
      <c r="F173" t="s">
        <v>20</v>
      </c>
      <c r="G173">
        <f>INDEX(Question_Bank!$J$3:$J$14,MATCH(D173,Question_Bank!$A$3:$A$14,0))</f>
        <v>0</v>
      </c>
      <c r="H173">
        <f>IF(F173=G173,1,0)</f>
        <v>0</v>
      </c>
      <c r="I173">
        <f>H173*INDEX(Question_Bank!$M$3:$M$14,MATCH(D173,Question_Bank!$A$3:$A$14,0))</f>
        <v>0</v>
      </c>
      <c r="J173">
        <f>SUMIFS($I$3:$I$518,$A$3:$A$518,A173)</f>
        <v>0</v>
      </c>
      <c r="K173" s="5">
        <f>J173/SUM(Question_Bank!$M$3:$M$14)</f>
        <v>0</v>
      </c>
      <c r="L173" s="5">
        <f>SUMIFS($I$3:$I$518,$A$3:$A$518,A173,$E$3:$E$518,E173)/SUMIFS(Question_Bank!$M$3:$M$14,Question_Bank!$B$3:$B$14,E173)</f>
        <v>0</v>
      </c>
      <c r="M173" t="s">
        <v>292</v>
      </c>
    </row>
    <row r="174" spans="1:13">
      <c r="A174" t="s">
        <v>291</v>
      </c>
      <c r="B174" t="s">
        <v>263</v>
      </c>
      <c r="C174" t="s">
        <v>227</v>
      </c>
      <c r="D174" t="s">
        <v>45</v>
      </c>
      <c r="E174" t="s">
        <v>46</v>
      </c>
      <c r="F174" t="s">
        <v>20</v>
      </c>
      <c r="G174">
        <f>INDEX(Question_Bank!$J$3:$J$14,MATCH(D174,Question_Bank!$A$3:$A$14,0))</f>
        <v>0</v>
      </c>
      <c r="H174">
        <f>IF(F174=G174,1,0)</f>
        <v>0</v>
      </c>
      <c r="I174">
        <f>H174*INDEX(Question_Bank!$M$3:$M$14,MATCH(D174,Question_Bank!$A$3:$A$14,0))</f>
        <v>0</v>
      </c>
      <c r="J174">
        <f>SUMIFS($I$3:$I$518,$A$3:$A$518,A174)</f>
        <v>0</v>
      </c>
      <c r="K174" s="5">
        <f>J174/SUM(Question_Bank!$M$3:$M$14)</f>
        <v>0</v>
      </c>
      <c r="L174" s="5">
        <f>SUMIFS($I$3:$I$518,$A$3:$A$518,A174,$E$3:$E$518,E174)/SUMIFS(Question_Bank!$M$3:$M$14,Question_Bank!$B$3:$B$14,E174)</f>
        <v>0</v>
      </c>
      <c r="M174" t="s">
        <v>292</v>
      </c>
    </row>
    <row r="175" spans="1:13">
      <c r="A175" t="s">
        <v>291</v>
      </c>
      <c r="B175" t="s">
        <v>263</v>
      </c>
      <c r="C175" t="s">
        <v>227</v>
      </c>
      <c r="D175" t="s">
        <v>54</v>
      </c>
      <c r="E175" t="s">
        <v>46</v>
      </c>
      <c r="F175" t="s">
        <v>23</v>
      </c>
      <c r="G175">
        <f>INDEX(Question_Bank!$J$3:$J$14,MATCH(D175,Question_Bank!$A$3:$A$14,0))</f>
        <v>0</v>
      </c>
      <c r="H175">
        <f>IF(F175=G175,1,0)</f>
        <v>0</v>
      </c>
      <c r="I175">
        <f>H175*INDEX(Question_Bank!$M$3:$M$14,MATCH(D175,Question_Bank!$A$3:$A$14,0))</f>
        <v>0</v>
      </c>
      <c r="J175">
        <f>SUMIFS($I$3:$I$518,$A$3:$A$518,A175)</f>
        <v>0</v>
      </c>
      <c r="K175" s="5">
        <f>J175/SUM(Question_Bank!$M$3:$M$14)</f>
        <v>0</v>
      </c>
      <c r="L175" s="5">
        <f>SUMIFS($I$3:$I$518,$A$3:$A$518,A175,$E$3:$E$518,E175)/SUMIFS(Question_Bank!$M$3:$M$14,Question_Bank!$B$3:$B$14,E175)</f>
        <v>0</v>
      </c>
      <c r="M175" t="s">
        <v>292</v>
      </c>
    </row>
    <row r="176" spans="1:13">
      <c r="A176" t="s">
        <v>291</v>
      </c>
      <c r="B176" t="s">
        <v>263</v>
      </c>
      <c r="C176" t="s">
        <v>227</v>
      </c>
      <c r="D176" t="s">
        <v>62</v>
      </c>
      <c r="E176" t="s">
        <v>46</v>
      </c>
      <c r="F176" t="s">
        <v>34</v>
      </c>
      <c r="G176">
        <f>INDEX(Question_Bank!$J$3:$J$14,MATCH(D176,Question_Bank!$A$3:$A$14,0))</f>
        <v>0</v>
      </c>
      <c r="H176">
        <f>IF(F176=G176,1,0)</f>
        <v>0</v>
      </c>
      <c r="I176">
        <f>H176*INDEX(Question_Bank!$M$3:$M$14,MATCH(D176,Question_Bank!$A$3:$A$14,0))</f>
        <v>0</v>
      </c>
      <c r="J176">
        <f>SUMIFS($I$3:$I$518,$A$3:$A$518,A176)</f>
        <v>0</v>
      </c>
      <c r="K176" s="5">
        <f>J176/SUM(Question_Bank!$M$3:$M$14)</f>
        <v>0</v>
      </c>
      <c r="L176" s="5">
        <f>SUMIFS($I$3:$I$518,$A$3:$A$518,A176,$E$3:$E$518,E176)/SUMIFS(Question_Bank!$M$3:$M$14,Question_Bank!$B$3:$B$14,E176)</f>
        <v>0</v>
      </c>
      <c r="M176" t="s">
        <v>292</v>
      </c>
    </row>
    <row r="177" spans="1:13">
      <c r="A177" t="s">
        <v>291</v>
      </c>
      <c r="B177" t="s">
        <v>263</v>
      </c>
      <c r="C177" t="s">
        <v>227</v>
      </c>
      <c r="D177" t="s">
        <v>70</v>
      </c>
      <c r="E177" t="s">
        <v>71</v>
      </c>
      <c r="F177" t="s">
        <v>20</v>
      </c>
      <c r="G177">
        <f>INDEX(Question_Bank!$J$3:$J$14,MATCH(D177,Question_Bank!$A$3:$A$14,0))</f>
        <v>0</v>
      </c>
      <c r="H177">
        <f>IF(F177=G177,1,0)</f>
        <v>0</v>
      </c>
      <c r="I177">
        <f>H177*INDEX(Question_Bank!$M$3:$M$14,MATCH(D177,Question_Bank!$A$3:$A$14,0))</f>
        <v>0</v>
      </c>
      <c r="J177">
        <f>SUMIFS($I$3:$I$518,$A$3:$A$518,A177)</f>
        <v>0</v>
      </c>
      <c r="K177" s="5">
        <f>J177/SUM(Question_Bank!$M$3:$M$14)</f>
        <v>0</v>
      </c>
      <c r="L177" s="5">
        <f>SUMIFS($I$3:$I$518,$A$3:$A$518,A177,$E$3:$E$518,E177)/SUMIFS(Question_Bank!$M$3:$M$14,Question_Bank!$B$3:$B$14,E177)</f>
        <v>0</v>
      </c>
      <c r="M177" t="s">
        <v>292</v>
      </c>
    </row>
    <row r="178" spans="1:13">
      <c r="A178" t="s">
        <v>291</v>
      </c>
      <c r="B178" t="s">
        <v>263</v>
      </c>
      <c r="C178" t="s">
        <v>227</v>
      </c>
      <c r="D178" t="s">
        <v>79</v>
      </c>
      <c r="E178" t="s">
        <v>71</v>
      </c>
      <c r="F178" t="s">
        <v>31</v>
      </c>
      <c r="G178">
        <f>INDEX(Question_Bank!$J$3:$J$14,MATCH(D178,Question_Bank!$A$3:$A$14,0))</f>
        <v>0</v>
      </c>
      <c r="H178">
        <f>IF(F178=G178,1,0)</f>
        <v>0</v>
      </c>
      <c r="I178">
        <f>H178*INDEX(Question_Bank!$M$3:$M$14,MATCH(D178,Question_Bank!$A$3:$A$14,0))</f>
        <v>0</v>
      </c>
      <c r="J178">
        <f>SUMIFS($I$3:$I$518,$A$3:$A$518,A178)</f>
        <v>0</v>
      </c>
      <c r="K178" s="5">
        <f>J178/SUM(Question_Bank!$M$3:$M$14)</f>
        <v>0</v>
      </c>
      <c r="L178" s="5">
        <f>SUMIFS($I$3:$I$518,$A$3:$A$518,A178,$E$3:$E$518,E178)/SUMIFS(Question_Bank!$M$3:$M$14,Question_Bank!$B$3:$B$14,E178)</f>
        <v>0</v>
      </c>
      <c r="M178" t="s">
        <v>292</v>
      </c>
    </row>
    <row r="179" spans="1:13">
      <c r="A179" t="s">
        <v>291</v>
      </c>
      <c r="B179" t="s">
        <v>263</v>
      </c>
      <c r="C179" t="s">
        <v>227</v>
      </c>
      <c r="D179" t="s">
        <v>87</v>
      </c>
      <c r="E179" t="s">
        <v>71</v>
      </c>
      <c r="F179" t="s">
        <v>23</v>
      </c>
      <c r="G179">
        <f>INDEX(Question_Bank!$J$3:$J$14,MATCH(D179,Question_Bank!$A$3:$A$14,0))</f>
        <v>0</v>
      </c>
      <c r="H179">
        <f>IF(F179=G179,1,0)</f>
        <v>0</v>
      </c>
      <c r="I179">
        <f>H179*INDEX(Question_Bank!$M$3:$M$14,MATCH(D179,Question_Bank!$A$3:$A$14,0))</f>
        <v>0</v>
      </c>
      <c r="J179">
        <f>SUMIFS($I$3:$I$518,$A$3:$A$518,A179)</f>
        <v>0</v>
      </c>
      <c r="K179" s="5">
        <f>J179/SUM(Question_Bank!$M$3:$M$14)</f>
        <v>0</v>
      </c>
      <c r="L179" s="5">
        <f>SUMIFS($I$3:$I$518,$A$3:$A$518,A179,$E$3:$E$518,E179)/SUMIFS(Question_Bank!$M$3:$M$14,Question_Bank!$B$3:$B$14,E179)</f>
        <v>0</v>
      </c>
      <c r="M179" t="s">
        <v>292</v>
      </c>
    </row>
    <row r="180" spans="1:13">
      <c r="A180" t="s">
        <v>291</v>
      </c>
      <c r="B180" t="s">
        <v>263</v>
      </c>
      <c r="C180" t="s">
        <v>227</v>
      </c>
      <c r="D180" t="s">
        <v>95</v>
      </c>
      <c r="E180" t="s">
        <v>96</v>
      </c>
      <c r="F180" t="s">
        <v>34</v>
      </c>
      <c r="G180">
        <f>INDEX(Question_Bank!$J$3:$J$14,MATCH(D180,Question_Bank!$A$3:$A$14,0))</f>
        <v>0</v>
      </c>
      <c r="H180">
        <f>IF(F180=G180,1,0)</f>
        <v>0</v>
      </c>
      <c r="I180">
        <f>H180*INDEX(Question_Bank!$M$3:$M$14,MATCH(D180,Question_Bank!$A$3:$A$14,0))</f>
        <v>0</v>
      </c>
      <c r="J180">
        <f>SUMIFS($I$3:$I$518,$A$3:$A$518,A180)</f>
        <v>0</v>
      </c>
      <c r="K180" s="5">
        <f>J180/SUM(Question_Bank!$M$3:$M$14)</f>
        <v>0</v>
      </c>
      <c r="L180" s="5">
        <f>SUMIFS($I$3:$I$518,$A$3:$A$518,A180,$E$3:$E$518,E180)/SUMIFS(Question_Bank!$M$3:$M$14,Question_Bank!$B$3:$B$14,E180)</f>
        <v>0</v>
      </c>
      <c r="M180" t="s">
        <v>292</v>
      </c>
    </row>
    <row r="181" spans="1:13">
      <c r="A181" t="s">
        <v>291</v>
      </c>
      <c r="B181" t="s">
        <v>263</v>
      </c>
      <c r="C181" t="s">
        <v>227</v>
      </c>
      <c r="D181" t="s">
        <v>104</v>
      </c>
      <c r="E181" t="s">
        <v>96</v>
      </c>
      <c r="F181" t="s">
        <v>20</v>
      </c>
      <c r="G181">
        <f>INDEX(Question_Bank!$J$3:$J$14,MATCH(D181,Question_Bank!$A$3:$A$14,0))</f>
        <v>0</v>
      </c>
      <c r="H181">
        <f>IF(F181=G181,1,0)</f>
        <v>0</v>
      </c>
      <c r="I181">
        <f>H181*INDEX(Question_Bank!$M$3:$M$14,MATCH(D181,Question_Bank!$A$3:$A$14,0))</f>
        <v>0</v>
      </c>
      <c r="J181">
        <f>SUMIFS($I$3:$I$518,$A$3:$A$518,A181)</f>
        <v>0</v>
      </c>
      <c r="K181" s="5">
        <f>J181/SUM(Question_Bank!$M$3:$M$14)</f>
        <v>0</v>
      </c>
      <c r="L181" s="5">
        <f>SUMIFS($I$3:$I$518,$A$3:$A$518,A181,$E$3:$E$518,E181)/SUMIFS(Question_Bank!$M$3:$M$14,Question_Bank!$B$3:$B$14,E181)</f>
        <v>0</v>
      </c>
      <c r="M181" t="s">
        <v>292</v>
      </c>
    </row>
    <row r="182" spans="1:13">
      <c r="A182" t="s">
        <v>291</v>
      </c>
      <c r="B182" t="s">
        <v>263</v>
      </c>
      <c r="C182" t="s">
        <v>227</v>
      </c>
      <c r="D182" t="s">
        <v>112</v>
      </c>
      <c r="E182" t="s">
        <v>96</v>
      </c>
      <c r="F182" t="s">
        <v>31</v>
      </c>
      <c r="G182">
        <f>INDEX(Question_Bank!$J$3:$J$14,MATCH(D182,Question_Bank!$A$3:$A$14,0))</f>
        <v>0</v>
      </c>
      <c r="H182">
        <f>IF(F182=G182,1,0)</f>
        <v>0</v>
      </c>
      <c r="I182">
        <f>H182*INDEX(Question_Bank!$M$3:$M$14,MATCH(D182,Question_Bank!$A$3:$A$14,0))</f>
        <v>0</v>
      </c>
      <c r="J182">
        <f>SUMIFS($I$3:$I$518,$A$3:$A$518,A182)</f>
        <v>0</v>
      </c>
      <c r="K182" s="5">
        <f>J182/SUM(Question_Bank!$M$3:$M$14)</f>
        <v>0</v>
      </c>
      <c r="L182" s="5">
        <f>SUMIFS($I$3:$I$518,$A$3:$A$518,A182,$E$3:$E$518,E182)/SUMIFS(Question_Bank!$M$3:$M$14,Question_Bank!$B$3:$B$14,E182)</f>
        <v>0</v>
      </c>
      <c r="M182" t="s">
        <v>292</v>
      </c>
    </row>
    <row r="183" spans="1:13">
      <c r="A183" t="s">
        <v>293</v>
      </c>
      <c r="B183" t="s">
        <v>263</v>
      </c>
      <c r="C183" t="s">
        <v>227</v>
      </c>
      <c r="D183" t="s">
        <v>14</v>
      </c>
      <c r="E183" t="s">
        <v>15</v>
      </c>
      <c r="F183" t="s">
        <v>23</v>
      </c>
      <c r="G183">
        <f>INDEX(Question_Bank!$J$3:$J$14,MATCH(D183,Question_Bank!$A$3:$A$14,0))</f>
        <v>0</v>
      </c>
      <c r="H183">
        <f>IF(F183=G183,1,0)</f>
        <v>0</v>
      </c>
      <c r="I183">
        <f>H183*INDEX(Question_Bank!$M$3:$M$14,MATCH(D183,Question_Bank!$A$3:$A$14,0))</f>
        <v>0</v>
      </c>
      <c r="J183">
        <f>SUMIFS($I$3:$I$518,$A$3:$A$518,A183)</f>
        <v>0</v>
      </c>
      <c r="K183" s="5">
        <f>J183/SUM(Question_Bank!$M$3:$M$14)</f>
        <v>0</v>
      </c>
      <c r="L183" s="5">
        <f>SUMIFS($I$3:$I$518,$A$3:$A$518,A183,$E$3:$E$518,E183)/SUMIFS(Question_Bank!$M$3:$M$14,Question_Bank!$B$3:$B$14,E183)</f>
        <v>0</v>
      </c>
      <c r="M183" t="s">
        <v>294</v>
      </c>
    </row>
    <row r="184" spans="1:13">
      <c r="A184" t="s">
        <v>293</v>
      </c>
      <c r="B184" t="s">
        <v>263</v>
      </c>
      <c r="C184" t="s">
        <v>227</v>
      </c>
      <c r="D184" t="s">
        <v>26</v>
      </c>
      <c r="E184" t="s">
        <v>15</v>
      </c>
      <c r="F184" t="s">
        <v>34</v>
      </c>
      <c r="G184">
        <f>INDEX(Question_Bank!$J$3:$J$14,MATCH(D184,Question_Bank!$A$3:$A$14,0))</f>
        <v>0</v>
      </c>
      <c r="H184">
        <f>IF(F184=G184,1,0)</f>
        <v>0</v>
      </c>
      <c r="I184">
        <f>H184*INDEX(Question_Bank!$M$3:$M$14,MATCH(D184,Question_Bank!$A$3:$A$14,0))</f>
        <v>0</v>
      </c>
      <c r="J184">
        <f>SUMIFS($I$3:$I$518,$A$3:$A$518,A184)</f>
        <v>0</v>
      </c>
      <c r="K184" s="5">
        <f>J184/SUM(Question_Bank!$M$3:$M$14)</f>
        <v>0</v>
      </c>
      <c r="L184" s="5">
        <f>SUMIFS($I$3:$I$518,$A$3:$A$518,A184,$E$3:$E$518,E184)/SUMIFS(Question_Bank!$M$3:$M$14,Question_Bank!$B$3:$B$14,E184)</f>
        <v>0</v>
      </c>
      <c r="M184" t="s">
        <v>294</v>
      </c>
    </row>
    <row r="185" spans="1:13">
      <c r="A185" t="s">
        <v>293</v>
      </c>
      <c r="B185" t="s">
        <v>263</v>
      </c>
      <c r="C185" t="s">
        <v>227</v>
      </c>
      <c r="D185" t="s">
        <v>37</v>
      </c>
      <c r="E185" t="s">
        <v>15</v>
      </c>
      <c r="F185" t="s">
        <v>20</v>
      </c>
      <c r="G185">
        <f>INDEX(Question_Bank!$J$3:$J$14,MATCH(D185,Question_Bank!$A$3:$A$14,0))</f>
        <v>0</v>
      </c>
      <c r="H185">
        <f>IF(F185=G185,1,0)</f>
        <v>0</v>
      </c>
      <c r="I185">
        <f>H185*INDEX(Question_Bank!$M$3:$M$14,MATCH(D185,Question_Bank!$A$3:$A$14,0))</f>
        <v>0</v>
      </c>
      <c r="J185">
        <f>SUMIFS($I$3:$I$518,$A$3:$A$518,A185)</f>
        <v>0</v>
      </c>
      <c r="K185" s="5">
        <f>J185/SUM(Question_Bank!$M$3:$M$14)</f>
        <v>0</v>
      </c>
      <c r="L185" s="5">
        <f>SUMIFS($I$3:$I$518,$A$3:$A$518,A185,$E$3:$E$518,E185)/SUMIFS(Question_Bank!$M$3:$M$14,Question_Bank!$B$3:$B$14,E185)</f>
        <v>0</v>
      </c>
      <c r="M185" t="s">
        <v>294</v>
      </c>
    </row>
    <row r="186" spans="1:13">
      <c r="A186" t="s">
        <v>293</v>
      </c>
      <c r="B186" t="s">
        <v>263</v>
      </c>
      <c r="C186" t="s">
        <v>227</v>
      </c>
      <c r="D186" t="s">
        <v>45</v>
      </c>
      <c r="E186" t="s">
        <v>46</v>
      </c>
      <c r="F186" t="s">
        <v>31</v>
      </c>
      <c r="G186">
        <f>INDEX(Question_Bank!$J$3:$J$14,MATCH(D186,Question_Bank!$A$3:$A$14,0))</f>
        <v>0</v>
      </c>
      <c r="H186">
        <f>IF(F186=G186,1,0)</f>
        <v>0</v>
      </c>
      <c r="I186">
        <f>H186*INDEX(Question_Bank!$M$3:$M$14,MATCH(D186,Question_Bank!$A$3:$A$14,0))</f>
        <v>0</v>
      </c>
      <c r="J186">
        <f>SUMIFS($I$3:$I$518,$A$3:$A$518,A186)</f>
        <v>0</v>
      </c>
      <c r="K186" s="5">
        <f>J186/SUM(Question_Bank!$M$3:$M$14)</f>
        <v>0</v>
      </c>
      <c r="L186" s="5">
        <f>SUMIFS($I$3:$I$518,$A$3:$A$518,A186,$E$3:$E$518,E186)/SUMIFS(Question_Bank!$M$3:$M$14,Question_Bank!$B$3:$B$14,E186)</f>
        <v>0</v>
      </c>
      <c r="M186" t="s">
        <v>294</v>
      </c>
    </row>
    <row r="187" spans="1:13">
      <c r="A187" t="s">
        <v>293</v>
      </c>
      <c r="B187" t="s">
        <v>263</v>
      </c>
      <c r="C187" t="s">
        <v>227</v>
      </c>
      <c r="D187" t="s">
        <v>54</v>
      </c>
      <c r="E187" t="s">
        <v>46</v>
      </c>
      <c r="F187" t="s">
        <v>23</v>
      </c>
      <c r="G187">
        <f>INDEX(Question_Bank!$J$3:$J$14,MATCH(D187,Question_Bank!$A$3:$A$14,0))</f>
        <v>0</v>
      </c>
      <c r="H187">
        <f>IF(F187=G187,1,0)</f>
        <v>0</v>
      </c>
      <c r="I187">
        <f>H187*INDEX(Question_Bank!$M$3:$M$14,MATCH(D187,Question_Bank!$A$3:$A$14,0))</f>
        <v>0</v>
      </c>
      <c r="J187">
        <f>SUMIFS($I$3:$I$518,$A$3:$A$518,A187)</f>
        <v>0</v>
      </c>
      <c r="K187" s="5">
        <f>J187/SUM(Question_Bank!$M$3:$M$14)</f>
        <v>0</v>
      </c>
      <c r="L187" s="5">
        <f>SUMIFS($I$3:$I$518,$A$3:$A$518,A187,$E$3:$E$518,E187)/SUMIFS(Question_Bank!$M$3:$M$14,Question_Bank!$B$3:$B$14,E187)</f>
        <v>0</v>
      </c>
      <c r="M187" t="s">
        <v>294</v>
      </c>
    </row>
    <row r="188" spans="1:13">
      <c r="A188" t="s">
        <v>293</v>
      </c>
      <c r="B188" t="s">
        <v>263</v>
      </c>
      <c r="C188" t="s">
        <v>227</v>
      </c>
      <c r="D188" t="s">
        <v>62</v>
      </c>
      <c r="E188" t="s">
        <v>46</v>
      </c>
      <c r="F188" t="s">
        <v>31</v>
      </c>
      <c r="G188">
        <f>INDEX(Question_Bank!$J$3:$J$14,MATCH(D188,Question_Bank!$A$3:$A$14,0))</f>
        <v>0</v>
      </c>
      <c r="H188">
        <f>IF(F188=G188,1,0)</f>
        <v>0</v>
      </c>
      <c r="I188">
        <f>H188*INDEX(Question_Bank!$M$3:$M$14,MATCH(D188,Question_Bank!$A$3:$A$14,0))</f>
        <v>0</v>
      </c>
      <c r="J188">
        <f>SUMIFS($I$3:$I$518,$A$3:$A$518,A188)</f>
        <v>0</v>
      </c>
      <c r="K188" s="5">
        <f>J188/SUM(Question_Bank!$M$3:$M$14)</f>
        <v>0</v>
      </c>
      <c r="L188" s="5">
        <f>SUMIFS($I$3:$I$518,$A$3:$A$518,A188,$E$3:$E$518,E188)/SUMIFS(Question_Bank!$M$3:$M$14,Question_Bank!$B$3:$B$14,E188)</f>
        <v>0</v>
      </c>
      <c r="M188" t="s">
        <v>294</v>
      </c>
    </row>
    <row r="189" spans="1:13">
      <c r="A189" t="s">
        <v>293</v>
      </c>
      <c r="B189" t="s">
        <v>263</v>
      </c>
      <c r="C189" t="s">
        <v>227</v>
      </c>
      <c r="D189" t="s">
        <v>70</v>
      </c>
      <c r="E189" t="s">
        <v>71</v>
      </c>
      <c r="F189" t="s">
        <v>20</v>
      </c>
      <c r="G189">
        <f>INDEX(Question_Bank!$J$3:$J$14,MATCH(D189,Question_Bank!$A$3:$A$14,0))</f>
        <v>0</v>
      </c>
      <c r="H189">
        <f>IF(F189=G189,1,0)</f>
        <v>0</v>
      </c>
      <c r="I189">
        <f>H189*INDEX(Question_Bank!$M$3:$M$14,MATCH(D189,Question_Bank!$A$3:$A$14,0))</f>
        <v>0</v>
      </c>
      <c r="J189">
        <f>SUMIFS($I$3:$I$518,$A$3:$A$518,A189)</f>
        <v>0</v>
      </c>
      <c r="K189" s="5">
        <f>J189/SUM(Question_Bank!$M$3:$M$14)</f>
        <v>0</v>
      </c>
      <c r="L189" s="5">
        <f>SUMIFS($I$3:$I$518,$A$3:$A$518,A189,$E$3:$E$518,E189)/SUMIFS(Question_Bank!$M$3:$M$14,Question_Bank!$B$3:$B$14,E189)</f>
        <v>0</v>
      </c>
      <c r="M189" t="s">
        <v>294</v>
      </c>
    </row>
    <row r="190" spans="1:13">
      <c r="A190" t="s">
        <v>293</v>
      </c>
      <c r="B190" t="s">
        <v>263</v>
      </c>
      <c r="C190" t="s">
        <v>227</v>
      </c>
      <c r="D190" t="s">
        <v>79</v>
      </c>
      <c r="E190" t="s">
        <v>71</v>
      </c>
      <c r="F190" t="s">
        <v>34</v>
      </c>
      <c r="G190">
        <f>INDEX(Question_Bank!$J$3:$J$14,MATCH(D190,Question_Bank!$A$3:$A$14,0))</f>
        <v>0</v>
      </c>
      <c r="H190">
        <f>IF(F190=G190,1,0)</f>
        <v>0</v>
      </c>
      <c r="I190">
        <f>H190*INDEX(Question_Bank!$M$3:$M$14,MATCH(D190,Question_Bank!$A$3:$A$14,0))</f>
        <v>0</v>
      </c>
      <c r="J190">
        <f>SUMIFS($I$3:$I$518,$A$3:$A$518,A190)</f>
        <v>0</v>
      </c>
      <c r="K190" s="5">
        <f>J190/SUM(Question_Bank!$M$3:$M$14)</f>
        <v>0</v>
      </c>
      <c r="L190" s="5">
        <f>SUMIFS($I$3:$I$518,$A$3:$A$518,A190,$E$3:$E$518,E190)/SUMIFS(Question_Bank!$M$3:$M$14,Question_Bank!$B$3:$B$14,E190)</f>
        <v>0</v>
      </c>
      <c r="M190" t="s">
        <v>294</v>
      </c>
    </row>
    <row r="191" spans="1:13">
      <c r="A191" t="s">
        <v>293</v>
      </c>
      <c r="B191" t="s">
        <v>263</v>
      </c>
      <c r="C191" t="s">
        <v>227</v>
      </c>
      <c r="D191" t="s">
        <v>87</v>
      </c>
      <c r="E191" t="s">
        <v>71</v>
      </c>
      <c r="F191" t="s">
        <v>23</v>
      </c>
      <c r="G191">
        <f>INDEX(Question_Bank!$J$3:$J$14,MATCH(D191,Question_Bank!$A$3:$A$14,0))</f>
        <v>0</v>
      </c>
      <c r="H191">
        <f>IF(F191=G191,1,0)</f>
        <v>0</v>
      </c>
      <c r="I191">
        <f>H191*INDEX(Question_Bank!$M$3:$M$14,MATCH(D191,Question_Bank!$A$3:$A$14,0))</f>
        <v>0</v>
      </c>
      <c r="J191">
        <f>SUMIFS($I$3:$I$518,$A$3:$A$518,A191)</f>
        <v>0</v>
      </c>
      <c r="K191" s="5">
        <f>J191/SUM(Question_Bank!$M$3:$M$14)</f>
        <v>0</v>
      </c>
      <c r="L191" s="5">
        <f>SUMIFS($I$3:$I$518,$A$3:$A$518,A191,$E$3:$E$518,E191)/SUMIFS(Question_Bank!$M$3:$M$14,Question_Bank!$B$3:$B$14,E191)</f>
        <v>0</v>
      </c>
      <c r="M191" t="s">
        <v>294</v>
      </c>
    </row>
    <row r="192" spans="1:13">
      <c r="A192" t="s">
        <v>293</v>
      </c>
      <c r="B192" t="s">
        <v>263</v>
      </c>
      <c r="C192" t="s">
        <v>227</v>
      </c>
      <c r="D192" t="s">
        <v>95</v>
      </c>
      <c r="E192" t="s">
        <v>96</v>
      </c>
      <c r="F192" t="s">
        <v>34</v>
      </c>
      <c r="G192">
        <f>INDEX(Question_Bank!$J$3:$J$14,MATCH(D192,Question_Bank!$A$3:$A$14,0))</f>
        <v>0</v>
      </c>
      <c r="H192">
        <f>IF(F192=G192,1,0)</f>
        <v>0</v>
      </c>
      <c r="I192">
        <f>H192*INDEX(Question_Bank!$M$3:$M$14,MATCH(D192,Question_Bank!$A$3:$A$14,0))</f>
        <v>0</v>
      </c>
      <c r="J192">
        <f>SUMIFS($I$3:$I$518,$A$3:$A$518,A192)</f>
        <v>0</v>
      </c>
      <c r="K192" s="5">
        <f>J192/SUM(Question_Bank!$M$3:$M$14)</f>
        <v>0</v>
      </c>
      <c r="L192" s="5">
        <f>SUMIFS($I$3:$I$518,$A$3:$A$518,A192,$E$3:$E$518,E192)/SUMIFS(Question_Bank!$M$3:$M$14,Question_Bank!$B$3:$B$14,E192)</f>
        <v>0</v>
      </c>
      <c r="M192" t="s">
        <v>294</v>
      </c>
    </row>
    <row r="193" spans="1:13">
      <c r="A193" t="s">
        <v>293</v>
      </c>
      <c r="B193" t="s">
        <v>263</v>
      </c>
      <c r="C193" t="s">
        <v>227</v>
      </c>
      <c r="D193" t="s">
        <v>104</v>
      </c>
      <c r="E193" t="s">
        <v>96</v>
      </c>
      <c r="F193" t="s">
        <v>20</v>
      </c>
      <c r="G193">
        <f>INDEX(Question_Bank!$J$3:$J$14,MATCH(D193,Question_Bank!$A$3:$A$14,0))</f>
        <v>0</v>
      </c>
      <c r="H193">
        <f>IF(F193=G193,1,0)</f>
        <v>0</v>
      </c>
      <c r="I193">
        <f>H193*INDEX(Question_Bank!$M$3:$M$14,MATCH(D193,Question_Bank!$A$3:$A$14,0))</f>
        <v>0</v>
      </c>
      <c r="J193">
        <f>SUMIFS($I$3:$I$518,$A$3:$A$518,A193)</f>
        <v>0</v>
      </c>
      <c r="K193" s="5">
        <f>J193/SUM(Question_Bank!$M$3:$M$14)</f>
        <v>0</v>
      </c>
      <c r="L193" s="5">
        <f>SUMIFS($I$3:$I$518,$A$3:$A$518,A193,$E$3:$E$518,E193)/SUMIFS(Question_Bank!$M$3:$M$14,Question_Bank!$B$3:$B$14,E193)</f>
        <v>0</v>
      </c>
      <c r="M193" t="s">
        <v>294</v>
      </c>
    </row>
    <row r="194" spans="1:13">
      <c r="A194" t="s">
        <v>293</v>
      </c>
      <c r="B194" t="s">
        <v>263</v>
      </c>
      <c r="C194" t="s">
        <v>227</v>
      </c>
      <c r="D194" t="s">
        <v>112</v>
      </c>
      <c r="E194" t="s">
        <v>96</v>
      </c>
      <c r="F194" t="s">
        <v>20</v>
      </c>
      <c r="G194">
        <f>INDEX(Question_Bank!$J$3:$J$14,MATCH(D194,Question_Bank!$A$3:$A$14,0))</f>
        <v>0</v>
      </c>
      <c r="H194">
        <f>IF(F194=G194,1,0)</f>
        <v>0</v>
      </c>
      <c r="I194">
        <f>H194*INDEX(Question_Bank!$M$3:$M$14,MATCH(D194,Question_Bank!$A$3:$A$14,0))</f>
        <v>0</v>
      </c>
      <c r="J194">
        <f>SUMIFS($I$3:$I$518,$A$3:$A$518,A194)</f>
        <v>0</v>
      </c>
      <c r="K194" s="5">
        <f>J194/SUM(Question_Bank!$M$3:$M$14)</f>
        <v>0</v>
      </c>
      <c r="L194" s="5">
        <f>SUMIFS($I$3:$I$518,$A$3:$A$518,A194,$E$3:$E$518,E194)/SUMIFS(Question_Bank!$M$3:$M$14,Question_Bank!$B$3:$B$14,E194)</f>
        <v>0</v>
      </c>
      <c r="M194" t="s">
        <v>294</v>
      </c>
    </row>
    <row r="195" spans="1:13">
      <c r="A195" t="s">
        <v>295</v>
      </c>
      <c r="B195" t="s">
        <v>263</v>
      </c>
      <c r="C195" t="s">
        <v>227</v>
      </c>
      <c r="D195" t="s">
        <v>14</v>
      </c>
      <c r="E195" t="s">
        <v>15</v>
      </c>
      <c r="F195" t="s">
        <v>23</v>
      </c>
      <c r="G195">
        <f>INDEX(Question_Bank!$J$3:$J$14,MATCH(D195,Question_Bank!$A$3:$A$14,0))</f>
        <v>0</v>
      </c>
      <c r="H195">
        <f>IF(F195=G195,1,0)</f>
        <v>0</v>
      </c>
      <c r="I195">
        <f>H195*INDEX(Question_Bank!$M$3:$M$14,MATCH(D195,Question_Bank!$A$3:$A$14,0))</f>
        <v>0</v>
      </c>
      <c r="J195">
        <f>SUMIFS($I$3:$I$518,$A$3:$A$518,A195)</f>
        <v>0</v>
      </c>
      <c r="K195" s="5">
        <f>J195/SUM(Question_Bank!$M$3:$M$14)</f>
        <v>0</v>
      </c>
      <c r="L195" s="5">
        <f>SUMIFS($I$3:$I$518,$A$3:$A$518,A195,$E$3:$E$518,E195)/SUMIFS(Question_Bank!$M$3:$M$14,Question_Bank!$B$3:$B$14,E195)</f>
        <v>0</v>
      </c>
      <c r="M195" t="s">
        <v>296</v>
      </c>
    </row>
    <row r="196" spans="1:13">
      <c r="A196" t="s">
        <v>295</v>
      </c>
      <c r="B196" t="s">
        <v>263</v>
      </c>
      <c r="C196" t="s">
        <v>227</v>
      </c>
      <c r="D196" t="s">
        <v>26</v>
      </c>
      <c r="E196" t="s">
        <v>15</v>
      </c>
      <c r="F196" t="s">
        <v>34</v>
      </c>
      <c r="G196">
        <f>INDEX(Question_Bank!$J$3:$J$14,MATCH(D196,Question_Bank!$A$3:$A$14,0))</f>
        <v>0</v>
      </c>
      <c r="H196">
        <f>IF(F196=G196,1,0)</f>
        <v>0</v>
      </c>
      <c r="I196">
        <f>H196*INDEX(Question_Bank!$M$3:$M$14,MATCH(D196,Question_Bank!$A$3:$A$14,0))</f>
        <v>0</v>
      </c>
      <c r="J196">
        <f>SUMIFS($I$3:$I$518,$A$3:$A$518,A196)</f>
        <v>0</v>
      </c>
      <c r="K196" s="5">
        <f>J196/SUM(Question_Bank!$M$3:$M$14)</f>
        <v>0</v>
      </c>
      <c r="L196" s="5">
        <f>SUMIFS($I$3:$I$518,$A$3:$A$518,A196,$E$3:$E$518,E196)/SUMIFS(Question_Bank!$M$3:$M$14,Question_Bank!$B$3:$B$14,E196)</f>
        <v>0</v>
      </c>
      <c r="M196" t="s">
        <v>296</v>
      </c>
    </row>
    <row r="197" spans="1:13">
      <c r="A197" t="s">
        <v>295</v>
      </c>
      <c r="B197" t="s">
        <v>263</v>
      </c>
      <c r="C197" t="s">
        <v>227</v>
      </c>
      <c r="D197" t="s">
        <v>37</v>
      </c>
      <c r="E197" t="s">
        <v>15</v>
      </c>
      <c r="F197" t="s">
        <v>20</v>
      </c>
      <c r="G197">
        <f>INDEX(Question_Bank!$J$3:$J$14,MATCH(D197,Question_Bank!$A$3:$A$14,0))</f>
        <v>0</v>
      </c>
      <c r="H197">
        <f>IF(F197=G197,1,0)</f>
        <v>0</v>
      </c>
      <c r="I197">
        <f>H197*INDEX(Question_Bank!$M$3:$M$14,MATCH(D197,Question_Bank!$A$3:$A$14,0))</f>
        <v>0</v>
      </c>
      <c r="J197">
        <f>SUMIFS($I$3:$I$518,$A$3:$A$518,A197)</f>
        <v>0</v>
      </c>
      <c r="K197" s="5">
        <f>J197/SUM(Question_Bank!$M$3:$M$14)</f>
        <v>0</v>
      </c>
      <c r="L197" s="5">
        <f>SUMIFS($I$3:$I$518,$A$3:$A$518,A197,$E$3:$E$518,E197)/SUMIFS(Question_Bank!$M$3:$M$14,Question_Bank!$B$3:$B$14,E197)</f>
        <v>0</v>
      </c>
      <c r="M197" t="s">
        <v>296</v>
      </c>
    </row>
    <row r="198" spans="1:13">
      <c r="A198" t="s">
        <v>295</v>
      </c>
      <c r="B198" t="s">
        <v>263</v>
      </c>
      <c r="C198" t="s">
        <v>227</v>
      </c>
      <c r="D198" t="s">
        <v>45</v>
      </c>
      <c r="E198" t="s">
        <v>46</v>
      </c>
      <c r="F198" t="s">
        <v>31</v>
      </c>
      <c r="G198">
        <f>INDEX(Question_Bank!$J$3:$J$14,MATCH(D198,Question_Bank!$A$3:$A$14,0))</f>
        <v>0</v>
      </c>
      <c r="H198">
        <f>IF(F198=G198,1,0)</f>
        <v>0</v>
      </c>
      <c r="I198">
        <f>H198*INDEX(Question_Bank!$M$3:$M$14,MATCH(D198,Question_Bank!$A$3:$A$14,0))</f>
        <v>0</v>
      </c>
      <c r="J198">
        <f>SUMIFS($I$3:$I$518,$A$3:$A$518,A198)</f>
        <v>0</v>
      </c>
      <c r="K198" s="5">
        <f>J198/SUM(Question_Bank!$M$3:$M$14)</f>
        <v>0</v>
      </c>
      <c r="L198" s="5">
        <f>SUMIFS($I$3:$I$518,$A$3:$A$518,A198,$E$3:$E$518,E198)/SUMIFS(Question_Bank!$M$3:$M$14,Question_Bank!$B$3:$B$14,E198)</f>
        <v>0</v>
      </c>
      <c r="M198" t="s">
        <v>296</v>
      </c>
    </row>
    <row r="199" spans="1:13">
      <c r="A199" t="s">
        <v>295</v>
      </c>
      <c r="B199" t="s">
        <v>263</v>
      </c>
      <c r="C199" t="s">
        <v>227</v>
      </c>
      <c r="D199" t="s">
        <v>54</v>
      </c>
      <c r="E199" t="s">
        <v>46</v>
      </c>
      <c r="F199" t="s">
        <v>23</v>
      </c>
      <c r="G199">
        <f>INDEX(Question_Bank!$J$3:$J$14,MATCH(D199,Question_Bank!$A$3:$A$14,0))</f>
        <v>0</v>
      </c>
      <c r="H199">
        <f>IF(F199=G199,1,0)</f>
        <v>0</v>
      </c>
      <c r="I199">
        <f>H199*INDEX(Question_Bank!$M$3:$M$14,MATCH(D199,Question_Bank!$A$3:$A$14,0))</f>
        <v>0</v>
      </c>
      <c r="J199">
        <f>SUMIFS($I$3:$I$518,$A$3:$A$518,A199)</f>
        <v>0</v>
      </c>
      <c r="K199" s="5">
        <f>J199/SUM(Question_Bank!$M$3:$M$14)</f>
        <v>0</v>
      </c>
      <c r="L199" s="5">
        <f>SUMIFS($I$3:$I$518,$A$3:$A$518,A199,$E$3:$E$518,E199)/SUMIFS(Question_Bank!$M$3:$M$14,Question_Bank!$B$3:$B$14,E199)</f>
        <v>0</v>
      </c>
      <c r="M199" t="s">
        <v>296</v>
      </c>
    </row>
    <row r="200" spans="1:13">
      <c r="A200" t="s">
        <v>295</v>
      </c>
      <c r="B200" t="s">
        <v>263</v>
      </c>
      <c r="C200" t="s">
        <v>227</v>
      </c>
      <c r="D200" t="s">
        <v>62</v>
      </c>
      <c r="E200" t="s">
        <v>46</v>
      </c>
      <c r="F200" t="s">
        <v>34</v>
      </c>
      <c r="G200">
        <f>INDEX(Question_Bank!$J$3:$J$14,MATCH(D200,Question_Bank!$A$3:$A$14,0))</f>
        <v>0</v>
      </c>
      <c r="H200">
        <f>IF(F200=G200,1,0)</f>
        <v>0</v>
      </c>
      <c r="I200">
        <f>H200*INDEX(Question_Bank!$M$3:$M$14,MATCH(D200,Question_Bank!$A$3:$A$14,0))</f>
        <v>0</v>
      </c>
      <c r="J200">
        <f>SUMIFS($I$3:$I$518,$A$3:$A$518,A200)</f>
        <v>0</v>
      </c>
      <c r="K200" s="5">
        <f>J200/SUM(Question_Bank!$M$3:$M$14)</f>
        <v>0</v>
      </c>
      <c r="L200" s="5">
        <f>SUMIFS($I$3:$I$518,$A$3:$A$518,A200,$E$3:$E$518,E200)/SUMIFS(Question_Bank!$M$3:$M$14,Question_Bank!$B$3:$B$14,E200)</f>
        <v>0</v>
      </c>
      <c r="M200" t="s">
        <v>296</v>
      </c>
    </row>
    <row r="201" spans="1:13">
      <c r="A201" t="s">
        <v>295</v>
      </c>
      <c r="B201" t="s">
        <v>263</v>
      </c>
      <c r="C201" t="s">
        <v>227</v>
      </c>
      <c r="D201" t="s">
        <v>70</v>
      </c>
      <c r="E201" t="s">
        <v>71</v>
      </c>
      <c r="F201" t="s">
        <v>20</v>
      </c>
      <c r="G201">
        <f>INDEX(Question_Bank!$J$3:$J$14,MATCH(D201,Question_Bank!$A$3:$A$14,0))</f>
        <v>0</v>
      </c>
      <c r="H201">
        <f>IF(F201=G201,1,0)</f>
        <v>0</v>
      </c>
      <c r="I201">
        <f>H201*INDEX(Question_Bank!$M$3:$M$14,MATCH(D201,Question_Bank!$A$3:$A$14,0))</f>
        <v>0</v>
      </c>
      <c r="J201">
        <f>SUMIFS($I$3:$I$518,$A$3:$A$518,A201)</f>
        <v>0</v>
      </c>
      <c r="K201" s="5">
        <f>J201/SUM(Question_Bank!$M$3:$M$14)</f>
        <v>0</v>
      </c>
      <c r="L201" s="5">
        <f>SUMIFS($I$3:$I$518,$A$3:$A$518,A201,$E$3:$E$518,E201)/SUMIFS(Question_Bank!$M$3:$M$14,Question_Bank!$B$3:$B$14,E201)</f>
        <v>0</v>
      </c>
      <c r="M201" t="s">
        <v>296</v>
      </c>
    </row>
    <row r="202" spans="1:13">
      <c r="A202" t="s">
        <v>295</v>
      </c>
      <c r="B202" t="s">
        <v>263</v>
      </c>
      <c r="C202" t="s">
        <v>227</v>
      </c>
      <c r="D202" t="s">
        <v>79</v>
      </c>
      <c r="E202" t="s">
        <v>71</v>
      </c>
      <c r="F202" t="s">
        <v>31</v>
      </c>
      <c r="G202">
        <f>INDEX(Question_Bank!$J$3:$J$14,MATCH(D202,Question_Bank!$A$3:$A$14,0))</f>
        <v>0</v>
      </c>
      <c r="H202">
        <f>IF(F202=G202,1,0)</f>
        <v>0</v>
      </c>
      <c r="I202">
        <f>H202*INDEX(Question_Bank!$M$3:$M$14,MATCH(D202,Question_Bank!$A$3:$A$14,0))</f>
        <v>0</v>
      </c>
      <c r="J202">
        <f>SUMIFS($I$3:$I$518,$A$3:$A$518,A202)</f>
        <v>0</v>
      </c>
      <c r="K202" s="5">
        <f>J202/SUM(Question_Bank!$M$3:$M$14)</f>
        <v>0</v>
      </c>
      <c r="L202" s="5">
        <f>SUMIFS($I$3:$I$518,$A$3:$A$518,A202,$E$3:$E$518,E202)/SUMIFS(Question_Bank!$M$3:$M$14,Question_Bank!$B$3:$B$14,E202)</f>
        <v>0</v>
      </c>
      <c r="M202" t="s">
        <v>296</v>
      </c>
    </row>
    <row r="203" spans="1:13">
      <c r="A203" t="s">
        <v>295</v>
      </c>
      <c r="B203" t="s">
        <v>263</v>
      </c>
      <c r="C203" t="s">
        <v>227</v>
      </c>
      <c r="D203" t="s">
        <v>87</v>
      </c>
      <c r="E203" t="s">
        <v>71</v>
      </c>
      <c r="F203" t="s">
        <v>23</v>
      </c>
      <c r="G203">
        <f>INDEX(Question_Bank!$J$3:$J$14,MATCH(D203,Question_Bank!$A$3:$A$14,0))</f>
        <v>0</v>
      </c>
      <c r="H203">
        <f>IF(F203=G203,1,0)</f>
        <v>0</v>
      </c>
      <c r="I203">
        <f>H203*INDEX(Question_Bank!$M$3:$M$14,MATCH(D203,Question_Bank!$A$3:$A$14,0))</f>
        <v>0</v>
      </c>
      <c r="J203">
        <f>SUMIFS($I$3:$I$518,$A$3:$A$518,A203)</f>
        <v>0</v>
      </c>
      <c r="K203" s="5">
        <f>J203/SUM(Question_Bank!$M$3:$M$14)</f>
        <v>0</v>
      </c>
      <c r="L203" s="5">
        <f>SUMIFS($I$3:$I$518,$A$3:$A$518,A203,$E$3:$E$518,E203)/SUMIFS(Question_Bank!$M$3:$M$14,Question_Bank!$B$3:$B$14,E203)</f>
        <v>0</v>
      </c>
      <c r="M203" t="s">
        <v>296</v>
      </c>
    </row>
    <row r="204" spans="1:13">
      <c r="A204" t="s">
        <v>295</v>
      </c>
      <c r="B204" t="s">
        <v>263</v>
      </c>
      <c r="C204" t="s">
        <v>227</v>
      </c>
      <c r="D204" t="s">
        <v>95</v>
      </c>
      <c r="E204" t="s">
        <v>96</v>
      </c>
      <c r="F204" t="s">
        <v>34</v>
      </c>
      <c r="G204">
        <f>INDEX(Question_Bank!$J$3:$J$14,MATCH(D204,Question_Bank!$A$3:$A$14,0))</f>
        <v>0</v>
      </c>
      <c r="H204">
        <f>IF(F204=G204,1,0)</f>
        <v>0</v>
      </c>
      <c r="I204">
        <f>H204*INDEX(Question_Bank!$M$3:$M$14,MATCH(D204,Question_Bank!$A$3:$A$14,0))</f>
        <v>0</v>
      </c>
      <c r="J204">
        <f>SUMIFS($I$3:$I$518,$A$3:$A$518,A204)</f>
        <v>0</v>
      </c>
      <c r="K204" s="5">
        <f>J204/SUM(Question_Bank!$M$3:$M$14)</f>
        <v>0</v>
      </c>
      <c r="L204" s="5">
        <f>SUMIFS($I$3:$I$518,$A$3:$A$518,A204,$E$3:$E$518,E204)/SUMIFS(Question_Bank!$M$3:$M$14,Question_Bank!$B$3:$B$14,E204)</f>
        <v>0</v>
      </c>
      <c r="M204" t="s">
        <v>296</v>
      </c>
    </row>
    <row r="205" spans="1:13">
      <c r="A205" t="s">
        <v>295</v>
      </c>
      <c r="B205" t="s">
        <v>263</v>
      </c>
      <c r="C205" t="s">
        <v>227</v>
      </c>
      <c r="D205" t="s">
        <v>104</v>
      </c>
      <c r="E205" t="s">
        <v>96</v>
      </c>
      <c r="F205" t="s">
        <v>20</v>
      </c>
      <c r="G205">
        <f>INDEX(Question_Bank!$J$3:$J$14,MATCH(D205,Question_Bank!$A$3:$A$14,0))</f>
        <v>0</v>
      </c>
      <c r="H205">
        <f>IF(F205=G205,1,0)</f>
        <v>0</v>
      </c>
      <c r="I205">
        <f>H205*INDEX(Question_Bank!$M$3:$M$14,MATCH(D205,Question_Bank!$A$3:$A$14,0))</f>
        <v>0</v>
      </c>
      <c r="J205">
        <f>SUMIFS($I$3:$I$518,$A$3:$A$518,A205)</f>
        <v>0</v>
      </c>
      <c r="K205" s="5">
        <f>J205/SUM(Question_Bank!$M$3:$M$14)</f>
        <v>0</v>
      </c>
      <c r="L205" s="5">
        <f>SUMIFS($I$3:$I$518,$A$3:$A$518,A205,$E$3:$E$518,E205)/SUMIFS(Question_Bank!$M$3:$M$14,Question_Bank!$B$3:$B$14,E205)</f>
        <v>0</v>
      </c>
      <c r="M205" t="s">
        <v>296</v>
      </c>
    </row>
    <row r="206" spans="1:13">
      <c r="A206" t="s">
        <v>295</v>
      </c>
      <c r="B206" t="s">
        <v>263</v>
      </c>
      <c r="C206" t="s">
        <v>227</v>
      </c>
      <c r="D206" t="s">
        <v>112</v>
      </c>
      <c r="E206" t="s">
        <v>96</v>
      </c>
      <c r="F206" t="s">
        <v>31</v>
      </c>
      <c r="G206">
        <f>INDEX(Question_Bank!$J$3:$J$14,MATCH(D206,Question_Bank!$A$3:$A$14,0))</f>
        <v>0</v>
      </c>
      <c r="H206">
        <f>IF(F206=G206,1,0)</f>
        <v>0</v>
      </c>
      <c r="I206">
        <f>H206*INDEX(Question_Bank!$M$3:$M$14,MATCH(D206,Question_Bank!$A$3:$A$14,0))</f>
        <v>0</v>
      </c>
      <c r="J206">
        <f>SUMIFS($I$3:$I$518,$A$3:$A$518,A206)</f>
        <v>0</v>
      </c>
      <c r="K206" s="5">
        <f>J206/SUM(Question_Bank!$M$3:$M$14)</f>
        <v>0</v>
      </c>
      <c r="L206" s="5">
        <f>SUMIFS($I$3:$I$518,$A$3:$A$518,A206,$E$3:$E$518,E206)/SUMIFS(Question_Bank!$M$3:$M$14,Question_Bank!$B$3:$B$14,E206)</f>
        <v>0</v>
      </c>
      <c r="M206" t="s">
        <v>296</v>
      </c>
    </row>
    <row r="207" spans="1:13">
      <c r="A207" t="s">
        <v>297</v>
      </c>
      <c r="B207" t="s">
        <v>263</v>
      </c>
      <c r="C207" t="s">
        <v>227</v>
      </c>
      <c r="D207" t="s">
        <v>14</v>
      </c>
      <c r="E207" t="s">
        <v>15</v>
      </c>
      <c r="F207" t="s">
        <v>23</v>
      </c>
      <c r="G207">
        <f>INDEX(Question_Bank!$J$3:$J$14,MATCH(D207,Question_Bank!$A$3:$A$14,0))</f>
        <v>0</v>
      </c>
      <c r="H207">
        <f>IF(F207=G207,1,0)</f>
        <v>0</v>
      </c>
      <c r="I207">
        <f>H207*INDEX(Question_Bank!$M$3:$M$14,MATCH(D207,Question_Bank!$A$3:$A$14,0))</f>
        <v>0</v>
      </c>
      <c r="J207">
        <f>SUMIFS($I$3:$I$518,$A$3:$A$518,A207)</f>
        <v>0</v>
      </c>
      <c r="K207" s="5">
        <f>J207/SUM(Question_Bank!$M$3:$M$14)</f>
        <v>0</v>
      </c>
      <c r="L207" s="5">
        <f>SUMIFS($I$3:$I$518,$A$3:$A$518,A207,$E$3:$E$518,E207)/SUMIFS(Question_Bank!$M$3:$M$14,Question_Bank!$B$3:$B$14,E207)</f>
        <v>0</v>
      </c>
      <c r="M207" t="s">
        <v>298</v>
      </c>
    </row>
    <row r="208" spans="1:13">
      <c r="A208" t="s">
        <v>297</v>
      </c>
      <c r="B208" t="s">
        <v>263</v>
      </c>
      <c r="C208" t="s">
        <v>227</v>
      </c>
      <c r="D208" t="s">
        <v>26</v>
      </c>
      <c r="E208" t="s">
        <v>15</v>
      </c>
      <c r="F208" t="s">
        <v>34</v>
      </c>
      <c r="G208">
        <f>INDEX(Question_Bank!$J$3:$J$14,MATCH(D208,Question_Bank!$A$3:$A$14,0))</f>
        <v>0</v>
      </c>
      <c r="H208">
        <f>IF(F208=G208,1,0)</f>
        <v>0</v>
      </c>
      <c r="I208">
        <f>H208*INDEX(Question_Bank!$M$3:$M$14,MATCH(D208,Question_Bank!$A$3:$A$14,0))</f>
        <v>0</v>
      </c>
      <c r="J208">
        <f>SUMIFS($I$3:$I$518,$A$3:$A$518,A208)</f>
        <v>0</v>
      </c>
      <c r="K208" s="5">
        <f>J208/SUM(Question_Bank!$M$3:$M$14)</f>
        <v>0</v>
      </c>
      <c r="L208" s="5">
        <f>SUMIFS($I$3:$I$518,$A$3:$A$518,A208,$E$3:$E$518,E208)/SUMIFS(Question_Bank!$M$3:$M$14,Question_Bank!$B$3:$B$14,E208)</f>
        <v>0</v>
      </c>
      <c r="M208" t="s">
        <v>298</v>
      </c>
    </row>
    <row r="209" spans="1:13">
      <c r="A209" t="s">
        <v>297</v>
      </c>
      <c r="B209" t="s">
        <v>263</v>
      </c>
      <c r="C209" t="s">
        <v>227</v>
      </c>
      <c r="D209" t="s">
        <v>37</v>
      </c>
      <c r="E209" t="s">
        <v>15</v>
      </c>
      <c r="F209" t="s">
        <v>20</v>
      </c>
      <c r="G209">
        <f>INDEX(Question_Bank!$J$3:$J$14,MATCH(D209,Question_Bank!$A$3:$A$14,0))</f>
        <v>0</v>
      </c>
      <c r="H209">
        <f>IF(F209=G209,1,0)</f>
        <v>0</v>
      </c>
      <c r="I209">
        <f>H209*INDEX(Question_Bank!$M$3:$M$14,MATCH(D209,Question_Bank!$A$3:$A$14,0))</f>
        <v>0</v>
      </c>
      <c r="J209">
        <f>SUMIFS($I$3:$I$518,$A$3:$A$518,A209)</f>
        <v>0</v>
      </c>
      <c r="K209" s="5">
        <f>J209/SUM(Question_Bank!$M$3:$M$14)</f>
        <v>0</v>
      </c>
      <c r="L209" s="5">
        <f>SUMIFS($I$3:$I$518,$A$3:$A$518,A209,$E$3:$E$518,E209)/SUMIFS(Question_Bank!$M$3:$M$14,Question_Bank!$B$3:$B$14,E209)</f>
        <v>0</v>
      </c>
      <c r="M209" t="s">
        <v>298</v>
      </c>
    </row>
    <row r="210" spans="1:13">
      <c r="A210" t="s">
        <v>297</v>
      </c>
      <c r="B210" t="s">
        <v>263</v>
      </c>
      <c r="C210" t="s">
        <v>227</v>
      </c>
      <c r="D210" t="s">
        <v>45</v>
      </c>
      <c r="E210" t="s">
        <v>46</v>
      </c>
      <c r="F210" t="s">
        <v>31</v>
      </c>
      <c r="G210">
        <f>INDEX(Question_Bank!$J$3:$J$14,MATCH(D210,Question_Bank!$A$3:$A$14,0))</f>
        <v>0</v>
      </c>
      <c r="H210">
        <f>IF(F210=G210,1,0)</f>
        <v>0</v>
      </c>
      <c r="I210">
        <f>H210*INDEX(Question_Bank!$M$3:$M$14,MATCH(D210,Question_Bank!$A$3:$A$14,0))</f>
        <v>0</v>
      </c>
      <c r="J210">
        <f>SUMIFS($I$3:$I$518,$A$3:$A$518,A210)</f>
        <v>0</v>
      </c>
      <c r="K210" s="5">
        <f>J210/SUM(Question_Bank!$M$3:$M$14)</f>
        <v>0</v>
      </c>
      <c r="L210" s="5">
        <f>SUMIFS($I$3:$I$518,$A$3:$A$518,A210,$E$3:$E$518,E210)/SUMIFS(Question_Bank!$M$3:$M$14,Question_Bank!$B$3:$B$14,E210)</f>
        <v>0</v>
      </c>
      <c r="M210" t="s">
        <v>298</v>
      </c>
    </row>
    <row r="211" spans="1:13">
      <c r="A211" t="s">
        <v>297</v>
      </c>
      <c r="B211" t="s">
        <v>263</v>
      </c>
      <c r="C211" t="s">
        <v>227</v>
      </c>
      <c r="D211" t="s">
        <v>54</v>
      </c>
      <c r="E211" t="s">
        <v>46</v>
      </c>
      <c r="F211" t="s">
        <v>34</v>
      </c>
      <c r="G211">
        <f>INDEX(Question_Bank!$J$3:$J$14,MATCH(D211,Question_Bank!$A$3:$A$14,0))</f>
        <v>0</v>
      </c>
      <c r="H211">
        <f>IF(F211=G211,1,0)</f>
        <v>0</v>
      </c>
      <c r="I211">
        <f>H211*INDEX(Question_Bank!$M$3:$M$14,MATCH(D211,Question_Bank!$A$3:$A$14,0))</f>
        <v>0</v>
      </c>
      <c r="J211">
        <f>SUMIFS($I$3:$I$518,$A$3:$A$518,A211)</f>
        <v>0</v>
      </c>
      <c r="K211" s="5">
        <f>J211/SUM(Question_Bank!$M$3:$M$14)</f>
        <v>0</v>
      </c>
      <c r="L211" s="5">
        <f>SUMIFS($I$3:$I$518,$A$3:$A$518,A211,$E$3:$E$518,E211)/SUMIFS(Question_Bank!$M$3:$M$14,Question_Bank!$B$3:$B$14,E211)</f>
        <v>0</v>
      </c>
      <c r="M211" t="s">
        <v>298</v>
      </c>
    </row>
    <row r="212" spans="1:13">
      <c r="A212" t="s">
        <v>297</v>
      </c>
      <c r="B212" t="s">
        <v>263</v>
      </c>
      <c r="C212" t="s">
        <v>227</v>
      </c>
      <c r="D212" t="s">
        <v>62</v>
      </c>
      <c r="E212" t="s">
        <v>46</v>
      </c>
      <c r="F212" t="s">
        <v>34</v>
      </c>
      <c r="G212">
        <f>INDEX(Question_Bank!$J$3:$J$14,MATCH(D212,Question_Bank!$A$3:$A$14,0))</f>
        <v>0</v>
      </c>
      <c r="H212">
        <f>IF(F212=G212,1,0)</f>
        <v>0</v>
      </c>
      <c r="I212">
        <f>H212*INDEX(Question_Bank!$M$3:$M$14,MATCH(D212,Question_Bank!$A$3:$A$14,0))</f>
        <v>0</v>
      </c>
      <c r="J212">
        <f>SUMIFS($I$3:$I$518,$A$3:$A$518,A212)</f>
        <v>0</v>
      </c>
      <c r="K212" s="5">
        <f>J212/SUM(Question_Bank!$M$3:$M$14)</f>
        <v>0</v>
      </c>
      <c r="L212" s="5">
        <f>SUMIFS($I$3:$I$518,$A$3:$A$518,A212,$E$3:$E$518,E212)/SUMIFS(Question_Bank!$M$3:$M$14,Question_Bank!$B$3:$B$14,E212)</f>
        <v>0</v>
      </c>
      <c r="M212" t="s">
        <v>298</v>
      </c>
    </row>
    <row r="213" spans="1:13">
      <c r="A213" t="s">
        <v>297</v>
      </c>
      <c r="B213" t="s">
        <v>263</v>
      </c>
      <c r="C213" t="s">
        <v>227</v>
      </c>
      <c r="D213" t="s">
        <v>70</v>
      </c>
      <c r="E213" t="s">
        <v>71</v>
      </c>
      <c r="F213" t="s">
        <v>20</v>
      </c>
      <c r="G213">
        <f>INDEX(Question_Bank!$J$3:$J$14,MATCH(D213,Question_Bank!$A$3:$A$14,0))</f>
        <v>0</v>
      </c>
      <c r="H213">
        <f>IF(F213=G213,1,0)</f>
        <v>0</v>
      </c>
      <c r="I213">
        <f>H213*INDEX(Question_Bank!$M$3:$M$14,MATCH(D213,Question_Bank!$A$3:$A$14,0))</f>
        <v>0</v>
      </c>
      <c r="J213">
        <f>SUMIFS($I$3:$I$518,$A$3:$A$518,A213)</f>
        <v>0</v>
      </c>
      <c r="K213" s="5">
        <f>J213/SUM(Question_Bank!$M$3:$M$14)</f>
        <v>0</v>
      </c>
      <c r="L213" s="5">
        <f>SUMIFS($I$3:$I$518,$A$3:$A$518,A213,$E$3:$E$518,E213)/SUMIFS(Question_Bank!$M$3:$M$14,Question_Bank!$B$3:$B$14,E213)</f>
        <v>0</v>
      </c>
      <c r="M213" t="s">
        <v>298</v>
      </c>
    </row>
    <row r="214" spans="1:13">
      <c r="A214" t="s">
        <v>297</v>
      </c>
      <c r="B214" t="s">
        <v>263</v>
      </c>
      <c r="C214" t="s">
        <v>227</v>
      </c>
      <c r="D214" t="s">
        <v>79</v>
      </c>
      <c r="E214" t="s">
        <v>71</v>
      </c>
      <c r="F214" t="s">
        <v>31</v>
      </c>
      <c r="G214">
        <f>INDEX(Question_Bank!$J$3:$J$14,MATCH(D214,Question_Bank!$A$3:$A$14,0))</f>
        <v>0</v>
      </c>
      <c r="H214">
        <f>IF(F214=G214,1,0)</f>
        <v>0</v>
      </c>
      <c r="I214">
        <f>H214*INDEX(Question_Bank!$M$3:$M$14,MATCH(D214,Question_Bank!$A$3:$A$14,0))</f>
        <v>0</v>
      </c>
      <c r="J214">
        <f>SUMIFS($I$3:$I$518,$A$3:$A$518,A214)</f>
        <v>0</v>
      </c>
      <c r="K214" s="5">
        <f>J214/SUM(Question_Bank!$M$3:$M$14)</f>
        <v>0</v>
      </c>
      <c r="L214" s="5">
        <f>SUMIFS($I$3:$I$518,$A$3:$A$518,A214,$E$3:$E$518,E214)/SUMIFS(Question_Bank!$M$3:$M$14,Question_Bank!$B$3:$B$14,E214)</f>
        <v>0</v>
      </c>
      <c r="M214" t="s">
        <v>298</v>
      </c>
    </row>
    <row r="215" spans="1:13">
      <c r="A215" t="s">
        <v>297</v>
      </c>
      <c r="B215" t="s">
        <v>263</v>
      </c>
      <c r="C215" t="s">
        <v>227</v>
      </c>
      <c r="D215" t="s">
        <v>87</v>
      </c>
      <c r="E215" t="s">
        <v>71</v>
      </c>
      <c r="F215" t="s">
        <v>23</v>
      </c>
      <c r="G215">
        <f>INDEX(Question_Bank!$J$3:$J$14,MATCH(D215,Question_Bank!$A$3:$A$14,0))</f>
        <v>0</v>
      </c>
      <c r="H215">
        <f>IF(F215=G215,1,0)</f>
        <v>0</v>
      </c>
      <c r="I215">
        <f>H215*INDEX(Question_Bank!$M$3:$M$14,MATCH(D215,Question_Bank!$A$3:$A$14,0))</f>
        <v>0</v>
      </c>
      <c r="J215">
        <f>SUMIFS($I$3:$I$518,$A$3:$A$518,A215)</f>
        <v>0</v>
      </c>
      <c r="K215" s="5">
        <f>J215/SUM(Question_Bank!$M$3:$M$14)</f>
        <v>0</v>
      </c>
      <c r="L215" s="5">
        <f>SUMIFS($I$3:$I$518,$A$3:$A$518,A215,$E$3:$E$518,E215)/SUMIFS(Question_Bank!$M$3:$M$14,Question_Bank!$B$3:$B$14,E215)</f>
        <v>0</v>
      </c>
      <c r="M215" t="s">
        <v>298</v>
      </c>
    </row>
    <row r="216" spans="1:13">
      <c r="A216" t="s">
        <v>297</v>
      </c>
      <c r="B216" t="s">
        <v>263</v>
      </c>
      <c r="C216" t="s">
        <v>227</v>
      </c>
      <c r="D216" t="s">
        <v>95</v>
      </c>
      <c r="E216" t="s">
        <v>96</v>
      </c>
      <c r="F216" t="s">
        <v>34</v>
      </c>
      <c r="G216">
        <f>INDEX(Question_Bank!$J$3:$J$14,MATCH(D216,Question_Bank!$A$3:$A$14,0))</f>
        <v>0</v>
      </c>
      <c r="H216">
        <f>IF(F216=G216,1,0)</f>
        <v>0</v>
      </c>
      <c r="I216">
        <f>H216*INDEX(Question_Bank!$M$3:$M$14,MATCH(D216,Question_Bank!$A$3:$A$14,0))</f>
        <v>0</v>
      </c>
      <c r="J216">
        <f>SUMIFS($I$3:$I$518,$A$3:$A$518,A216)</f>
        <v>0</v>
      </c>
      <c r="K216" s="5">
        <f>J216/SUM(Question_Bank!$M$3:$M$14)</f>
        <v>0</v>
      </c>
      <c r="L216" s="5">
        <f>SUMIFS($I$3:$I$518,$A$3:$A$518,A216,$E$3:$E$518,E216)/SUMIFS(Question_Bank!$M$3:$M$14,Question_Bank!$B$3:$B$14,E216)</f>
        <v>0</v>
      </c>
      <c r="M216" t="s">
        <v>298</v>
      </c>
    </row>
    <row r="217" spans="1:13">
      <c r="A217" t="s">
        <v>297</v>
      </c>
      <c r="B217" t="s">
        <v>263</v>
      </c>
      <c r="C217" t="s">
        <v>227</v>
      </c>
      <c r="D217" t="s">
        <v>104</v>
      </c>
      <c r="E217" t="s">
        <v>96</v>
      </c>
      <c r="F217" t="s">
        <v>20</v>
      </c>
      <c r="G217">
        <f>INDEX(Question_Bank!$J$3:$J$14,MATCH(D217,Question_Bank!$A$3:$A$14,0))</f>
        <v>0</v>
      </c>
      <c r="H217">
        <f>IF(F217=G217,1,0)</f>
        <v>0</v>
      </c>
      <c r="I217">
        <f>H217*INDEX(Question_Bank!$M$3:$M$14,MATCH(D217,Question_Bank!$A$3:$A$14,0))</f>
        <v>0</v>
      </c>
      <c r="J217">
        <f>SUMIFS($I$3:$I$518,$A$3:$A$518,A217)</f>
        <v>0</v>
      </c>
      <c r="K217" s="5">
        <f>J217/SUM(Question_Bank!$M$3:$M$14)</f>
        <v>0</v>
      </c>
      <c r="L217" s="5">
        <f>SUMIFS($I$3:$I$518,$A$3:$A$518,A217,$E$3:$E$518,E217)/SUMIFS(Question_Bank!$M$3:$M$14,Question_Bank!$B$3:$B$14,E217)</f>
        <v>0</v>
      </c>
      <c r="M217" t="s">
        <v>298</v>
      </c>
    </row>
    <row r="218" spans="1:13">
      <c r="A218" t="s">
        <v>297</v>
      </c>
      <c r="B218" t="s">
        <v>263</v>
      </c>
      <c r="C218" t="s">
        <v>227</v>
      </c>
      <c r="D218" t="s">
        <v>112</v>
      </c>
      <c r="E218" t="s">
        <v>96</v>
      </c>
      <c r="F218" t="s">
        <v>34</v>
      </c>
      <c r="G218">
        <f>INDEX(Question_Bank!$J$3:$J$14,MATCH(D218,Question_Bank!$A$3:$A$14,0))</f>
        <v>0</v>
      </c>
      <c r="H218">
        <f>IF(F218=G218,1,0)</f>
        <v>0</v>
      </c>
      <c r="I218">
        <f>H218*INDEX(Question_Bank!$M$3:$M$14,MATCH(D218,Question_Bank!$A$3:$A$14,0))</f>
        <v>0</v>
      </c>
      <c r="J218">
        <f>SUMIFS($I$3:$I$518,$A$3:$A$518,A218)</f>
        <v>0</v>
      </c>
      <c r="K218" s="5">
        <f>J218/SUM(Question_Bank!$M$3:$M$14)</f>
        <v>0</v>
      </c>
      <c r="L218" s="5">
        <f>SUMIFS($I$3:$I$518,$A$3:$A$518,A218,$E$3:$E$518,E218)/SUMIFS(Question_Bank!$M$3:$M$14,Question_Bank!$B$3:$B$14,E218)</f>
        <v>0</v>
      </c>
      <c r="M218" t="s">
        <v>298</v>
      </c>
    </row>
    <row r="219" spans="1:13">
      <c r="A219" t="s">
        <v>299</v>
      </c>
      <c r="B219" t="s">
        <v>263</v>
      </c>
      <c r="C219" t="s">
        <v>227</v>
      </c>
      <c r="D219" t="s">
        <v>14</v>
      </c>
      <c r="E219" t="s">
        <v>15</v>
      </c>
      <c r="F219" t="s">
        <v>20</v>
      </c>
      <c r="G219">
        <f>INDEX(Question_Bank!$J$3:$J$14,MATCH(D219,Question_Bank!$A$3:$A$14,0))</f>
        <v>0</v>
      </c>
      <c r="H219">
        <f>IF(F219=G219,1,0)</f>
        <v>0</v>
      </c>
      <c r="I219">
        <f>H219*INDEX(Question_Bank!$M$3:$M$14,MATCH(D219,Question_Bank!$A$3:$A$14,0))</f>
        <v>0</v>
      </c>
      <c r="J219">
        <f>SUMIFS($I$3:$I$518,$A$3:$A$518,A219)</f>
        <v>0</v>
      </c>
      <c r="K219" s="5">
        <f>J219/SUM(Question_Bank!$M$3:$M$14)</f>
        <v>0</v>
      </c>
      <c r="L219" s="5">
        <f>SUMIFS($I$3:$I$518,$A$3:$A$518,A219,$E$3:$E$518,E219)/SUMIFS(Question_Bank!$M$3:$M$14,Question_Bank!$B$3:$B$14,E219)</f>
        <v>0</v>
      </c>
      <c r="M219" t="s">
        <v>300</v>
      </c>
    </row>
    <row r="220" spans="1:13">
      <c r="A220" t="s">
        <v>299</v>
      </c>
      <c r="B220" t="s">
        <v>263</v>
      </c>
      <c r="C220" t="s">
        <v>227</v>
      </c>
      <c r="D220" t="s">
        <v>26</v>
      </c>
      <c r="E220" t="s">
        <v>15</v>
      </c>
      <c r="F220" t="s">
        <v>34</v>
      </c>
      <c r="G220">
        <f>INDEX(Question_Bank!$J$3:$J$14,MATCH(D220,Question_Bank!$A$3:$A$14,0))</f>
        <v>0</v>
      </c>
      <c r="H220">
        <f>IF(F220=G220,1,0)</f>
        <v>0</v>
      </c>
      <c r="I220">
        <f>H220*INDEX(Question_Bank!$M$3:$M$14,MATCH(D220,Question_Bank!$A$3:$A$14,0))</f>
        <v>0</v>
      </c>
      <c r="J220">
        <f>SUMIFS($I$3:$I$518,$A$3:$A$518,A220)</f>
        <v>0</v>
      </c>
      <c r="K220" s="5">
        <f>J220/SUM(Question_Bank!$M$3:$M$14)</f>
        <v>0</v>
      </c>
      <c r="L220" s="5">
        <f>SUMIFS($I$3:$I$518,$A$3:$A$518,A220,$E$3:$E$518,E220)/SUMIFS(Question_Bank!$M$3:$M$14,Question_Bank!$B$3:$B$14,E220)</f>
        <v>0</v>
      </c>
      <c r="M220" t="s">
        <v>300</v>
      </c>
    </row>
    <row r="221" spans="1:13">
      <c r="A221" t="s">
        <v>299</v>
      </c>
      <c r="B221" t="s">
        <v>263</v>
      </c>
      <c r="C221" t="s">
        <v>227</v>
      </c>
      <c r="D221" t="s">
        <v>37</v>
      </c>
      <c r="E221" t="s">
        <v>15</v>
      </c>
      <c r="F221" t="s">
        <v>20</v>
      </c>
      <c r="G221">
        <f>INDEX(Question_Bank!$J$3:$J$14,MATCH(D221,Question_Bank!$A$3:$A$14,0))</f>
        <v>0</v>
      </c>
      <c r="H221">
        <f>IF(F221=G221,1,0)</f>
        <v>0</v>
      </c>
      <c r="I221">
        <f>H221*INDEX(Question_Bank!$M$3:$M$14,MATCH(D221,Question_Bank!$A$3:$A$14,0))</f>
        <v>0</v>
      </c>
      <c r="J221">
        <f>SUMIFS($I$3:$I$518,$A$3:$A$518,A221)</f>
        <v>0</v>
      </c>
      <c r="K221" s="5">
        <f>J221/SUM(Question_Bank!$M$3:$M$14)</f>
        <v>0</v>
      </c>
      <c r="L221" s="5">
        <f>SUMIFS($I$3:$I$518,$A$3:$A$518,A221,$E$3:$E$518,E221)/SUMIFS(Question_Bank!$M$3:$M$14,Question_Bank!$B$3:$B$14,E221)</f>
        <v>0</v>
      </c>
      <c r="M221" t="s">
        <v>300</v>
      </c>
    </row>
    <row r="222" spans="1:13">
      <c r="A222" t="s">
        <v>299</v>
      </c>
      <c r="B222" t="s">
        <v>263</v>
      </c>
      <c r="C222" t="s">
        <v>227</v>
      </c>
      <c r="D222" t="s">
        <v>45</v>
      </c>
      <c r="E222" t="s">
        <v>46</v>
      </c>
      <c r="F222" t="s">
        <v>23</v>
      </c>
      <c r="G222">
        <f>INDEX(Question_Bank!$J$3:$J$14,MATCH(D222,Question_Bank!$A$3:$A$14,0))</f>
        <v>0</v>
      </c>
      <c r="H222">
        <f>IF(F222=G222,1,0)</f>
        <v>0</v>
      </c>
      <c r="I222">
        <f>H222*INDEX(Question_Bank!$M$3:$M$14,MATCH(D222,Question_Bank!$A$3:$A$14,0))</f>
        <v>0</v>
      </c>
      <c r="J222">
        <f>SUMIFS($I$3:$I$518,$A$3:$A$518,A222)</f>
        <v>0</v>
      </c>
      <c r="K222" s="5">
        <f>J222/SUM(Question_Bank!$M$3:$M$14)</f>
        <v>0</v>
      </c>
      <c r="L222" s="5">
        <f>SUMIFS($I$3:$I$518,$A$3:$A$518,A222,$E$3:$E$518,E222)/SUMIFS(Question_Bank!$M$3:$M$14,Question_Bank!$B$3:$B$14,E222)</f>
        <v>0</v>
      </c>
      <c r="M222" t="s">
        <v>300</v>
      </c>
    </row>
    <row r="223" spans="1:13">
      <c r="A223" t="s">
        <v>299</v>
      </c>
      <c r="B223" t="s">
        <v>263</v>
      </c>
      <c r="C223" t="s">
        <v>227</v>
      </c>
      <c r="D223" t="s">
        <v>54</v>
      </c>
      <c r="E223" t="s">
        <v>46</v>
      </c>
      <c r="F223" t="s">
        <v>23</v>
      </c>
      <c r="G223">
        <f>INDEX(Question_Bank!$J$3:$J$14,MATCH(D223,Question_Bank!$A$3:$A$14,0))</f>
        <v>0</v>
      </c>
      <c r="H223">
        <f>IF(F223=G223,1,0)</f>
        <v>0</v>
      </c>
      <c r="I223">
        <f>H223*INDEX(Question_Bank!$M$3:$M$14,MATCH(D223,Question_Bank!$A$3:$A$14,0))</f>
        <v>0</v>
      </c>
      <c r="J223">
        <f>SUMIFS($I$3:$I$518,$A$3:$A$518,A223)</f>
        <v>0</v>
      </c>
      <c r="K223" s="5">
        <f>J223/SUM(Question_Bank!$M$3:$M$14)</f>
        <v>0</v>
      </c>
      <c r="L223" s="5">
        <f>SUMIFS($I$3:$I$518,$A$3:$A$518,A223,$E$3:$E$518,E223)/SUMIFS(Question_Bank!$M$3:$M$14,Question_Bank!$B$3:$B$14,E223)</f>
        <v>0</v>
      </c>
      <c r="M223" t="s">
        <v>300</v>
      </c>
    </row>
    <row r="224" spans="1:13">
      <c r="A224" t="s">
        <v>299</v>
      </c>
      <c r="B224" t="s">
        <v>263</v>
      </c>
      <c r="C224" t="s">
        <v>227</v>
      </c>
      <c r="D224" t="s">
        <v>62</v>
      </c>
      <c r="E224" t="s">
        <v>46</v>
      </c>
      <c r="F224" t="s">
        <v>34</v>
      </c>
      <c r="G224">
        <f>INDEX(Question_Bank!$J$3:$J$14,MATCH(D224,Question_Bank!$A$3:$A$14,0))</f>
        <v>0</v>
      </c>
      <c r="H224">
        <f>IF(F224=G224,1,0)</f>
        <v>0</v>
      </c>
      <c r="I224">
        <f>H224*INDEX(Question_Bank!$M$3:$M$14,MATCH(D224,Question_Bank!$A$3:$A$14,0))</f>
        <v>0</v>
      </c>
      <c r="J224">
        <f>SUMIFS($I$3:$I$518,$A$3:$A$518,A224)</f>
        <v>0</v>
      </c>
      <c r="K224" s="5">
        <f>J224/SUM(Question_Bank!$M$3:$M$14)</f>
        <v>0</v>
      </c>
      <c r="L224" s="5">
        <f>SUMIFS($I$3:$I$518,$A$3:$A$518,A224,$E$3:$E$518,E224)/SUMIFS(Question_Bank!$M$3:$M$14,Question_Bank!$B$3:$B$14,E224)</f>
        <v>0</v>
      </c>
      <c r="M224" t="s">
        <v>300</v>
      </c>
    </row>
    <row r="225" spans="1:13">
      <c r="A225" t="s">
        <v>299</v>
      </c>
      <c r="B225" t="s">
        <v>263</v>
      </c>
      <c r="C225" t="s">
        <v>227</v>
      </c>
      <c r="D225" t="s">
        <v>70</v>
      </c>
      <c r="E225" t="s">
        <v>71</v>
      </c>
      <c r="F225" t="s">
        <v>20</v>
      </c>
      <c r="G225">
        <f>INDEX(Question_Bank!$J$3:$J$14,MATCH(D225,Question_Bank!$A$3:$A$14,0))</f>
        <v>0</v>
      </c>
      <c r="H225">
        <f>IF(F225=G225,1,0)</f>
        <v>0</v>
      </c>
      <c r="I225">
        <f>H225*INDEX(Question_Bank!$M$3:$M$14,MATCH(D225,Question_Bank!$A$3:$A$14,0))</f>
        <v>0</v>
      </c>
      <c r="J225">
        <f>SUMIFS($I$3:$I$518,$A$3:$A$518,A225)</f>
        <v>0</v>
      </c>
      <c r="K225" s="5">
        <f>J225/SUM(Question_Bank!$M$3:$M$14)</f>
        <v>0</v>
      </c>
      <c r="L225" s="5">
        <f>SUMIFS($I$3:$I$518,$A$3:$A$518,A225,$E$3:$E$518,E225)/SUMIFS(Question_Bank!$M$3:$M$14,Question_Bank!$B$3:$B$14,E225)</f>
        <v>0</v>
      </c>
      <c r="M225" t="s">
        <v>300</v>
      </c>
    </row>
    <row r="226" spans="1:13">
      <c r="A226" t="s">
        <v>299</v>
      </c>
      <c r="B226" t="s">
        <v>263</v>
      </c>
      <c r="C226" t="s">
        <v>227</v>
      </c>
      <c r="D226" t="s">
        <v>79</v>
      </c>
      <c r="E226" t="s">
        <v>71</v>
      </c>
      <c r="F226" t="s">
        <v>31</v>
      </c>
      <c r="G226">
        <f>INDEX(Question_Bank!$J$3:$J$14,MATCH(D226,Question_Bank!$A$3:$A$14,0))</f>
        <v>0</v>
      </c>
      <c r="H226">
        <f>IF(F226=G226,1,0)</f>
        <v>0</v>
      </c>
      <c r="I226">
        <f>H226*INDEX(Question_Bank!$M$3:$M$14,MATCH(D226,Question_Bank!$A$3:$A$14,0))</f>
        <v>0</v>
      </c>
      <c r="J226">
        <f>SUMIFS($I$3:$I$518,$A$3:$A$518,A226)</f>
        <v>0</v>
      </c>
      <c r="K226" s="5">
        <f>J226/SUM(Question_Bank!$M$3:$M$14)</f>
        <v>0</v>
      </c>
      <c r="L226" s="5">
        <f>SUMIFS($I$3:$I$518,$A$3:$A$518,A226,$E$3:$E$518,E226)/SUMIFS(Question_Bank!$M$3:$M$14,Question_Bank!$B$3:$B$14,E226)</f>
        <v>0</v>
      </c>
      <c r="M226" t="s">
        <v>300</v>
      </c>
    </row>
    <row r="227" spans="1:13">
      <c r="A227" t="s">
        <v>299</v>
      </c>
      <c r="B227" t="s">
        <v>263</v>
      </c>
      <c r="C227" t="s">
        <v>227</v>
      </c>
      <c r="D227" t="s">
        <v>87</v>
      </c>
      <c r="E227" t="s">
        <v>71</v>
      </c>
      <c r="F227" t="s">
        <v>23</v>
      </c>
      <c r="G227">
        <f>INDEX(Question_Bank!$J$3:$J$14,MATCH(D227,Question_Bank!$A$3:$A$14,0))</f>
        <v>0</v>
      </c>
      <c r="H227">
        <f>IF(F227=G227,1,0)</f>
        <v>0</v>
      </c>
      <c r="I227">
        <f>H227*INDEX(Question_Bank!$M$3:$M$14,MATCH(D227,Question_Bank!$A$3:$A$14,0))</f>
        <v>0</v>
      </c>
      <c r="J227">
        <f>SUMIFS($I$3:$I$518,$A$3:$A$518,A227)</f>
        <v>0</v>
      </c>
      <c r="K227" s="5">
        <f>J227/SUM(Question_Bank!$M$3:$M$14)</f>
        <v>0</v>
      </c>
      <c r="L227" s="5">
        <f>SUMIFS($I$3:$I$518,$A$3:$A$518,A227,$E$3:$E$518,E227)/SUMIFS(Question_Bank!$M$3:$M$14,Question_Bank!$B$3:$B$14,E227)</f>
        <v>0</v>
      </c>
      <c r="M227" t="s">
        <v>300</v>
      </c>
    </row>
    <row r="228" spans="1:13">
      <c r="A228" t="s">
        <v>299</v>
      </c>
      <c r="B228" t="s">
        <v>263</v>
      </c>
      <c r="C228" t="s">
        <v>227</v>
      </c>
      <c r="D228" t="s">
        <v>95</v>
      </c>
      <c r="E228" t="s">
        <v>96</v>
      </c>
      <c r="F228" t="s">
        <v>34</v>
      </c>
      <c r="G228">
        <f>INDEX(Question_Bank!$J$3:$J$14,MATCH(D228,Question_Bank!$A$3:$A$14,0))</f>
        <v>0</v>
      </c>
      <c r="H228">
        <f>IF(F228=G228,1,0)</f>
        <v>0</v>
      </c>
      <c r="I228">
        <f>H228*INDEX(Question_Bank!$M$3:$M$14,MATCH(D228,Question_Bank!$A$3:$A$14,0))</f>
        <v>0</v>
      </c>
      <c r="J228">
        <f>SUMIFS($I$3:$I$518,$A$3:$A$518,A228)</f>
        <v>0</v>
      </c>
      <c r="K228" s="5">
        <f>J228/SUM(Question_Bank!$M$3:$M$14)</f>
        <v>0</v>
      </c>
      <c r="L228" s="5">
        <f>SUMIFS($I$3:$I$518,$A$3:$A$518,A228,$E$3:$E$518,E228)/SUMIFS(Question_Bank!$M$3:$M$14,Question_Bank!$B$3:$B$14,E228)</f>
        <v>0</v>
      </c>
      <c r="M228" t="s">
        <v>300</v>
      </c>
    </row>
    <row r="229" spans="1:13">
      <c r="A229" t="s">
        <v>299</v>
      </c>
      <c r="B229" t="s">
        <v>263</v>
      </c>
      <c r="C229" t="s">
        <v>227</v>
      </c>
      <c r="D229" t="s">
        <v>104</v>
      </c>
      <c r="E229" t="s">
        <v>96</v>
      </c>
      <c r="F229" t="s">
        <v>20</v>
      </c>
      <c r="G229">
        <f>INDEX(Question_Bank!$J$3:$J$14,MATCH(D229,Question_Bank!$A$3:$A$14,0))</f>
        <v>0</v>
      </c>
      <c r="H229">
        <f>IF(F229=G229,1,0)</f>
        <v>0</v>
      </c>
      <c r="I229">
        <f>H229*INDEX(Question_Bank!$M$3:$M$14,MATCH(D229,Question_Bank!$A$3:$A$14,0))</f>
        <v>0</v>
      </c>
      <c r="J229">
        <f>SUMIFS($I$3:$I$518,$A$3:$A$518,A229)</f>
        <v>0</v>
      </c>
      <c r="K229" s="5">
        <f>J229/SUM(Question_Bank!$M$3:$M$14)</f>
        <v>0</v>
      </c>
      <c r="L229" s="5">
        <f>SUMIFS($I$3:$I$518,$A$3:$A$518,A229,$E$3:$E$518,E229)/SUMIFS(Question_Bank!$M$3:$M$14,Question_Bank!$B$3:$B$14,E229)</f>
        <v>0</v>
      </c>
      <c r="M229" t="s">
        <v>300</v>
      </c>
    </row>
    <row r="230" spans="1:13">
      <c r="A230" t="s">
        <v>299</v>
      </c>
      <c r="B230" t="s">
        <v>263</v>
      </c>
      <c r="C230" t="s">
        <v>227</v>
      </c>
      <c r="D230" t="s">
        <v>112</v>
      </c>
      <c r="E230" t="s">
        <v>96</v>
      </c>
      <c r="F230" t="s">
        <v>31</v>
      </c>
      <c r="G230">
        <f>INDEX(Question_Bank!$J$3:$J$14,MATCH(D230,Question_Bank!$A$3:$A$14,0))</f>
        <v>0</v>
      </c>
      <c r="H230">
        <f>IF(F230=G230,1,0)</f>
        <v>0</v>
      </c>
      <c r="I230">
        <f>H230*INDEX(Question_Bank!$M$3:$M$14,MATCH(D230,Question_Bank!$A$3:$A$14,0))</f>
        <v>0</v>
      </c>
      <c r="J230">
        <f>SUMIFS($I$3:$I$518,$A$3:$A$518,A230)</f>
        <v>0</v>
      </c>
      <c r="K230" s="5">
        <f>J230/SUM(Question_Bank!$M$3:$M$14)</f>
        <v>0</v>
      </c>
      <c r="L230" s="5">
        <f>SUMIFS($I$3:$I$518,$A$3:$A$518,A230,$E$3:$E$518,E230)/SUMIFS(Question_Bank!$M$3:$M$14,Question_Bank!$B$3:$B$14,E230)</f>
        <v>0</v>
      </c>
      <c r="M230" t="s">
        <v>300</v>
      </c>
    </row>
    <row r="231" spans="1:13">
      <c r="A231" t="s">
        <v>301</v>
      </c>
      <c r="B231" t="s">
        <v>263</v>
      </c>
      <c r="C231" t="s">
        <v>227</v>
      </c>
      <c r="D231" t="s">
        <v>14</v>
      </c>
      <c r="E231" t="s">
        <v>15</v>
      </c>
      <c r="F231" t="s">
        <v>23</v>
      </c>
      <c r="G231">
        <f>INDEX(Question_Bank!$J$3:$J$14,MATCH(D231,Question_Bank!$A$3:$A$14,0))</f>
        <v>0</v>
      </c>
      <c r="H231">
        <f>IF(F231=G231,1,0)</f>
        <v>0</v>
      </c>
      <c r="I231">
        <f>H231*INDEX(Question_Bank!$M$3:$M$14,MATCH(D231,Question_Bank!$A$3:$A$14,0))</f>
        <v>0</v>
      </c>
      <c r="J231">
        <f>SUMIFS($I$3:$I$518,$A$3:$A$518,A231)</f>
        <v>0</v>
      </c>
      <c r="K231" s="5">
        <f>J231/SUM(Question_Bank!$M$3:$M$14)</f>
        <v>0</v>
      </c>
      <c r="L231" s="5">
        <f>SUMIFS($I$3:$I$518,$A$3:$A$518,A231,$E$3:$E$518,E231)/SUMIFS(Question_Bank!$M$3:$M$14,Question_Bank!$B$3:$B$14,E231)</f>
        <v>0</v>
      </c>
      <c r="M231" t="s">
        <v>302</v>
      </c>
    </row>
    <row r="232" spans="1:13">
      <c r="A232" t="s">
        <v>301</v>
      </c>
      <c r="B232" t="s">
        <v>263</v>
      </c>
      <c r="C232" t="s">
        <v>227</v>
      </c>
      <c r="D232" t="s">
        <v>26</v>
      </c>
      <c r="E232" t="s">
        <v>15</v>
      </c>
      <c r="F232" t="s">
        <v>34</v>
      </c>
      <c r="G232">
        <f>INDEX(Question_Bank!$J$3:$J$14,MATCH(D232,Question_Bank!$A$3:$A$14,0))</f>
        <v>0</v>
      </c>
      <c r="H232">
        <f>IF(F232=G232,1,0)</f>
        <v>0</v>
      </c>
      <c r="I232">
        <f>H232*INDEX(Question_Bank!$M$3:$M$14,MATCH(D232,Question_Bank!$A$3:$A$14,0))</f>
        <v>0</v>
      </c>
      <c r="J232">
        <f>SUMIFS($I$3:$I$518,$A$3:$A$518,A232)</f>
        <v>0</v>
      </c>
      <c r="K232" s="5">
        <f>J232/SUM(Question_Bank!$M$3:$M$14)</f>
        <v>0</v>
      </c>
      <c r="L232" s="5">
        <f>SUMIFS($I$3:$I$518,$A$3:$A$518,A232,$E$3:$E$518,E232)/SUMIFS(Question_Bank!$M$3:$M$14,Question_Bank!$B$3:$B$14,E232)</f>
        <v>0</v>
      </c>
      <c r="M232" t="s">
        <v>302</v>
      </c>
    </row>
    <row r="233" spans="1:13">
      <c r="A233" t="s">
        <v>301</v>
      </c>
      <c r="B233" t="s">
        <v>263</v>
      </c>
      <c r="C233" t="s">
        <v>227</v>
      </c>
      <c r="D233" t="s">
        <v>37</v>
      </c>
      <c r="E233" t="s">
        <v>15</v>
      </c>
      <c r="F233" t="s">
        <v>20</v>
      </c>
      <c r="G233">
        <f>INDEX(Question_Bank!$J$3:$J$14,MATCH(D233,Question_Bank!$A$3:$A$14,0))</f>
        <v>0</v>
      </c>
      <c r="H233">
        <f>IF(F233=G233,1,0)</f>
        <v>0</v>
      </c>
      <c r="I233">
        <f>H233*INDEX(Question_Bank!$M$3:$M$14,MATCH(D233,Question_Bank!$A$3:$A$14,0))</f>
        <v>0</v>
      </c>
      <c r="J233">
        <f>SUMIFS($I$3:$I$518,$A$3:$A$518,A233)</f>
        <v>0</v>
      </c>
      <c r="K233" s="5">
        <f>J233/SUM(Question_Bank!$M$3:$M$14)</f>
        <v>0</v>
      </c>
      <c r="L233" s="5">
        <f>SUMIFS($I$3:$I$518,$A$3:$A$518,A233,$E$3:$E$518,E233)/SUMIFS(Question_Bank!$M$3:$M$14,Question_Bank!$B$3:$B$14,E233)</f>
        <v>0</v>
      </c>
      <c r="M233" t="s">
        <v>302</v>
      </c>
    </row>
    <row r="234" spans="1:13">
      <c r="A234" t="s">
        <v>301</v>
      </c>
      <c r="B234" t="s">
        <v>263</v>
      </c>
      <c r="C234" t="s">
        <v>227</v>
      </c>
      <c r="D234" t="s">
        <v>45</v>
      </c>
      <c r="E234" t="s">
        <v>46</v>
      </c>
      <c r="F234" t="s">
        <v>31</v>
      </c>
      <c r="G234">
        <f>INDEX(Question_Bank!$J$3:$J$14,MATCH(D234,Question_Bank!$A$3:$A$14,0))</f>
        <v>0</v>
      </c>
      <c r="H234">
        <f>IF(F234=G234,1,0)</f>
        <v>0</v>
      </c>
      <c r="I234">
        <f>H234*INDEX(Question_Bank!$M$3:$M$14,MATCH(D234,Question_Bank!$A$3:$A$14,0))</f>
        <v>0</v>
      </c>
      <c r="J234">
        <f>SUMIFS($I$3:$I$518,$A$3:$A$518,A234)</f>
        <v>0</v>
      </c>
      <c r="K234" s="5">
        <f>J234/SUM(Question_Bank!$M$3:$M$14)</f>
        <v>0</v>
      </c>
      <c r="L234" s="5">
        <f>SUMIFS($I$3:$I$518,$A$3:$A$518,A234,$E$3:$E$518,E234)/SUMIFS(Question_Bank!$M$3:$M$14,Question_Bank!$B$3:$B$14,E234)</f>
        <v>0</v>
      </c>
      <c r="M234" t="s">
        <v>302</v>
      </c>
    </row>
    <row r="235" spans="1:13">
      <c r="A235" t="s">
        <v>301</v>
      </c>
      <c r="B235" t="s">
        <v>263</v>
      </c>
      <c r="C235" t="s">
        <v>227</v>
      </c>
      <c r="D235" t="s">
        <v>54</v>
      </c>
      <c r="E235" t="s">
        <v>46</v>
      </c>
      <c r="F235" t="s">
        <v>23</v>
      </c>
      <c r="G235">
        <f>INDEX(Question_Bank!$J$3:$J$14,MATCH(D235,Question_Bank!$A$3:$A$14,0))</f>
        <v>0</v>
      </c>
      <c r="H235">
        <f>IF(F235=G235,1,0)</f>
        <v>0</v>
      </c>
      <c r="I235">
        <f>H235*INDEX(Question_Bank!$M$3:$M$14,MATCH(D235,Question_Bank!$A$3:$A$14,0))</f>
        <v>0</v>
      </c>
      <c r="J235">
        <f>SUMIFS($I$3:$I$518,$A$3:$A$518,A235)</f>
        <v>0</v>
      </c>
      <c r="K235" s="5">
        <f>J235/SUM(Question_Bank!$M$3:$M$14)</f>
        <v>0</v>
      </c>
      <c r="L235" s="5">
        <f>SUMIFS($I$3:$I$518,$A$3:$A$518,A235,$E$3:$E$518,E235)/SUMIFS(Question_Bank!$M$3:$M$14,Question_Bank!$B$3:$B$14,E235)</f>
        <v>0</v>
      </c>
      <c r="M235" t="s">
        <v>302</v>
      </c>
    </row>
    <row r="236" spans="1:13">
      <c r="A236" t="s">
        <v>301</v>
      </c>
      <c r="B236" t="s">
        <v>263</v>
      </c>
      <c r="C236" t="s">
        <v>227</v>
      </c>
      <c r="D236" t="s">
        <v>62</v>
      </c>
      <c r="E236" t="s">
        <v>46</v>
      </c>
      <c r="F236" t="s">
        <v>34</v>
      </c>
      <c r="G236">
        <f>INDEX(Question_Bank!$J$3:$J$14,MATCH(D236,Question_Bank!$A$3:$A$14,0))</f>
        <v>0</v>
      </c>
      <c r="H236">
        <f>IF(F236=G236,1,0)</f>
        <v>0</v>
      </c>
      <c r="I236">
        <f>H236*INDEX(Question_Bank!$M$3:$M$14,MATCH(D236,Question_Bank!$A$3:$A$14,0))</f>
        <v>0</v>
      </c>
      <c r="J236">
        <f>SUMIFS($I$3:$I$518,$A$3:$A$518,A236)</f>
        <v>0</v>
      </c>
      <c r="K236" s="5">
        <f>J236/SUM(Question_Bank!$M$3:$M$14)</f>
        <v>0</v>
      </c>
      <c r="L236" s="5">
        <f>SUMIFS($I$3:$I$518,$A$3:$A$518,A236,$E$3:$E$518,E236)/SUMIFS(Question_Bank!$M$3:$M$14,Question_Bank!$B$3:$B$14,E236)</f>
        <v>0</v>
      </c>
      <c r="M236" t="s">
        <v>302</v>
      </c>
    </row>
    <row r="237" spans="1:13">
      <c r="A237" t="s">
        <v>301</v>
      </c>
      <c r="B237" t="s">
        <v>263</v>
      </c>
      <c r="C237" t="s">
        <v>227</v>
      </c>
      <c r="D237" t="s">
        <v>70</v>
      </c>
      <c r="E237" t="s">
        <v>71</v>
      </c>
      <c r="F237" t="s">
        <v>20</v>
      </c>
      <c r="G237">
        <f>INDEX(Question_Bank!$J$3:$J$14,MATCH(D237,Question_Bank!$A$3:$A$14,0))</f>
        <v>0</v>
      </c>
      <c r="H237">
        <f>IF(F237=G237,1,0)</f>
        <v>0</v>
      </c>
      <c r="I237">
        <f>H237*INDEX(Question_Bank!$M$3:$M$14,MATCH(D237,Question_Bank!$A$3:$A$14,0))</f>
        <v>0</v>
      </c>
      <c r="J237">
        <f>SUMIFS($I$3:$I$518,$A$3:$A$518,A237)</f>
        <v>0</v>
      </c>
      <c r="K237" s="5">
        <f>J237/SUM(Question_Bank!$M$3:$M$14)</f>
        <v>0</v>
      </c>
      <c r="L237" s="5">
        <f>SUMIFS($I$3:$I$518,$A$3:$A$518,A237,$E$3:$E$518,E237)/SUMIFS(Question_Bank!$M$3:$M$14,Question_Bank!$B$3:$B$14,E237)</f>
        <v>0</v>
      </c>
      <c r="M237" t="s">
        <v>302</v>
      </c>
    </row>
    <row r="238" spans="1:13">
      <c r="A238" t="s">
        <v>301</v>
      </c>
      <c r="B238" t="s">
        <v>263</v>
      </c>
      <c r="C238" t="s">
        <v>227</v>
      </c>
      <c r="D238" t="s">
        <v>79</v>
      </c>
      <c r="E238" t="s">
        <v>71</v>
      </c>
      <c r="F238" t="s">
        <v>31</v>
      </c>
      <c r="G238">
        <f>INDEX(Question_Bank!$J$3:$J$14,MATCH(D238,Question_Bank!$A$3:$A$14,0))</f>
        <v>0</v>
      </c>
      <c r="H238">
        <f>IF(F238=G238,1,0)</f>
        <v>0</v>
      </c>
      <c r="I238">
        <f>H238*INDEX(Question_Bank!$M$3:$M$14,MATCH(D238,Question_Bank!$A$3:$A$14,0))</f>
        <v>0</v>
      </c>
      <c r="J238">
        <f>SUMIFS($I$3:$I$518,$A$3:$A$518,A238)</f>
        <v>0</v>
      </c>
      <c r="K238" s="5">
        <f>J238/SUM(Question_Bank!$M$3:$M$14)</f>
        <v>0</v>
      </c>
      <c r="L238" s="5">
        <f>SUMIFS($I$3:$I$518,$A$3:$A$518,A238,$E$3:$E$518,E238)/SUMIFS(Question_Bank!$M$3:$M$14,Question_Bank!$B$3:$B$14,E238)</f>
        <v>0</v>
      </c>
      <c r="M238" t="s">
        <v>302</v>
      </c>
    </row>
    <row r="239" spans="1:13">
      <c r="A239" t="s">
        <v>301</v>
      </c>
      <c r="B239" t="s">
        <v>263</v>
      </c>
      <c r="C239" t="s">
        <v>227</v>
      </c>
      <c r="D239" t="s">
        <v>87</v>
      </c>
      <c r="E239" t="s">
        <v>71</v>
      </c>
      <c r="F239" t="s">
        <v>23</v>
      </c>
      <c r="G239">
        <f>INDEX(Question_Bank!$J$3:$J$14,MATCH(D239,Question_Bank!$A$3:$A$14,0))</f>
        <v>0</v>
      </c>
      <c r="H239">
        <f>IF(F239=G239,1,0)</f>
        <v>0</v>
      </c>
      <c r="I239">
        <f>H239*INDEX(Question_Bank!$M$3:$M$14,MATCH(D239,Question_Bank!$A$3:$A$14,0))</f>
        <v>0</v>
      </c>
      <c r="J239">
        <f>SUMIFS($I$3:$I$518,$A$3:$A$518,A239)</f>
        <v>0</v>
      </c>
      <c r="K239" s="5">
        <f>J239/SUM(Question_Bank!$M$3:$M$14)</f>
        <v>0</v>
      </c>
      <c r="L239" s="5">
        <f>SUMIFS($I$3:$I$518,$A$3:$A$518,A239,$E$3:$E$518,E239)/SUMIFS(Question_Bank!$M$3:$M$14,Question_Bank!$B$3:$B$14,E239)</f>
        <v>0</v>
      </c>
      <c r="M239" t="s">
        <v>302</v>
      </c>
    </row>
    <row r="240" spans="1:13">
      <c r="A240" t="s">
        <v>301</v>
      </c>
      <c r="B240" t="s">
        <v>263</v>
      </c>
      <c r="C240" t="s">
        <v>227</v>
      </c>
      <c r="D240" t="s">
        <v>95</v>
      </c>
      <c r="E240" t="s">
        <v>96</v>
      </c>
      <c r="F240" t="s">
        <v>34</v>
      </c>
      <c r="G240">
        <f>INDEX(Question_Bank!$J$3:$J$14,MATCH(D240,Question_Bank!$A$3:$A$14,0))</f>
        <v>0</v>
      </c>
      <c r="H240">
        <f>IF(F240=G240,1,0)</f>
        <v>0</v>
      </c>
      <c r="I240">
        <f>H240*INDEX(Question_Bank!$M$3:$M$14,MATCH(D240,Question_Bank!$A$3:$A$14,0))</f>
        <v>0</v>
      </c>
      <c r="J240">
        <f>SUMIFS($I$3:$I$518,$A$3:$A$518,A240)</f>
        <v>0</v>
      </c>
      <c r="K240" s="5">
        <f>J240/SUM(Question_Bank!$M$3:$M$14)</f>
        <v>0</v>
      </c>
      <c r="L240" s="5">
        <f>SUMIFS($I$3:$I$518,$A$3:$A$518,A240,$E$3:$E$518,E240)/SUMIFS(Question_Bank!$M$3:$M$14,Question_Bank!$B$3:$B$14,E240)</f>
        <v>0</v>
      </c>
      <c r="M240" t="s">
        <v>302</v>
      </c>
    </row>
    <row r="241" spans="1:13">
      <c r="A241" t="s">
        <v>301</v>
      </c>
      <c r="B241" t="s">
        <v>263</v>
      </c>
      <c r="C241" t="s">
        <v>227</v>
      </c>
      <c r="D241" t="s">
        <v>104</v>
      </c>
      <c r="E241" t="s">
        <v>96</v>
      </c>
      <c r="F241" t="s">
        <v>20</v>
      </c>
      <c r="G241">
        <f>INDEX(Question_Bank!$J$3:$J$14,MATCH(D241,Question_Bank!$A$3:$A$14,0))</f>
        <v>0</v>
      </c>
      <c r="H241">
        <f>IF(F241=G241,1,0)</f>
        <v>0</v>
      </c>
      <c r="I241">
        <f>H241*INDEX(Question_Bank!$M$3:$M$14,MATCH(D241,Question_Bank!$A$3:$A$14,0))</f>
        <v>0</v>
      </c>
      <c r="J241">
        <f>SUMIFS($I$3:$I$518,$A$3:$A$518,A241)</f>
        <v>0</v>
      </c>
      <c r="K241" s="5">
        <f>J241/SUM(Question_Bank!$M$3:$M$14)</f>
        <v>0</v>
      </c>
      <c r="L241" s="5">
        <f>SUMIFS($I$3:$I$518,$A$3:$A$518,A241,$E$3:$E$518,E241)/SUMIFS(Question_Bank!$M$3:$M$14,Question_Bank!$B$3:$B$14,E241)</f>
        <v>0</v>
      </c>
      <c r="M241" t="s">
        <v>302</v>
      </c>
    </row>
    <row r="242" spans="1:13">
      <c r="A242" t="s">
        <v>301</v>
      </c>
      <c r="B242" t="s">
        <v>263</v>
      </c>
      <c r="C242" t="s">
        <v>227</v>
      </c>
      <c r="D242" t="s">
        <v>112</v>
      </c>
      <c r="E242" t="s">
        <v>96</v>
      </c>
      <c r="F242" t="s">
        <v>31</v>
      </c>
      <c r="G242">
        <f>INDEX(Question_Bank!$J$3:$J$14,MATCH(D242,Question_Bank!$A$3:$A$14,0))</f>
        <v>0</v>
      </c>
      <c r="H242">
        <f>IF(F242=G242,1,0)</f>
        <v>0</v>
      </c>
      <c r="I242">
        <f>H242*INDEX(Question_Bank!$M$3:$M$14,MATCH(D242,Question_Bank!$A$3:$A$14,0))</f>
        <v>0</v>
      </c>
      <c r="J242">
        <f>SUMIFS($I$3:$I$518,$A$3:$A$518,A242)</f>
        <v>0</v>
      </c>
      <c r="K242" s="5">
        <f>J242/SUM(Question_Bank!$M$3:$M$14)</f>
        <v>0</v>
      </c>
      <c r="L242" s="5">
        <f>SUMIFS($I$3:$I$518,$A$3:$A$518,A242,$E$3:$E$518,E242)/SUMIFS(Question_Bank!$M$3:$M$14,Question_Bank!$B$3:$B$14,E242)</f>
        <v>0</v>
      </c>
      <c r="M242" t="s">
        <v>302</v>
      </c>
    </row>
    <row r="243" spans="1:13">
      <c r="A243" t="s">
        <v>303</v>
      </c>
      <c r="B243" t="s">
        <v>263</v>
      </c>
      <c r="C243" t="s">
        <v>227</v>
      </c>
      <c r="D243" t="s">
        <v>14</v>
      </c>
      <c r="E243" t="s">
        <v>15</v>
      </c>
      <c r="F243" t="s">
        <v>23</v>
      </c>
      <c r="G243">
        <f>INDEX(Question_Bank!$J$3:$J$14,MATCH(D243,Question_Bank!$A$3:$A$14,0))</f>
        <v>0</v>
      </c>
      <c r="H243">
        <f>IF(F243=G243,1,0)</f>
        <v>0</v>
      </c>
      <c r="I243">
        <f>H243*INDEX(Question_Bank!$M$3:$M$14,MATCH(D243,Question_Bank!$A$3:$A$14,0))</f>
        <v>0</v>
      </c>
      <c r="J243">
        <f>SUMIFS($I$3:$I$518,$A$3:$A$518,A243)</f>
        <v>0</v>
      </c>
      <c r="K243" s="5">
        <f>J243/SUM(Question_Bank!$M$3:$M$14)</f>
        <v>0</v>
      </c>
      <c r="L243" s="5">
        <f>SUMIFS($I$3:$I$518,$A$3:$A$518,A243,$E$3:$E$518,E243)/SUMIFS(Question_Bank!$M$3:$M$14,Question_Bank!$B$3:$B$14,E243)</f>
        <v>0</v>
      </c>
      <c r="M243" t="s">
        <v>304</v>
      </c>
    </row>
    <row r="244" spans="1:13">
      <c r="A244" t="s">
        <v>303</v>
      </c>
      <c r="B244" t="s">
        <v>263</v>
      </c>
      <c r="C244" t="s">
        <v>227</v>
      </c>
      <c r="D244" t="s">
        <v>26</v>
      </c>
      <c r="E244" t="s">
        <v>15</v>
      </c>
      <c r="F244" t="s">
        <v>34</v>
      </c>
      <c r="G244">
        <f>INDEX(Question_Bank!$J$3:$J$14,MATCH(D244,Question_Bank!$A$3:$A$14,0))</f>
        <v>0</v>
      </c>
      <c r="H244">
        <f>IF(F244=G244,1,0)</f>
        <v>0</v>
      </c>
      <c r="I244">
        <f>H244*INDEX(Question_Bank!$M$3:$M$14,MATCH(D244,Question_Bank!$A$3:$A$14,0))</f>
        <v>0</v>
      </c>
      <c r="J244">
        <f>SUMIFS($I$3:$I$518,$A$3:$A$518,A244)</f>
        <v>0</v>
      </c>
      <c r="K244" s="5">
        <f>J244/SUM(Question_Bank!$M$3:$M$14)</f>
        <v>0</v>
      </c>
      <c r="L244" s="5">
        <f>SUMIFS($I$3:$I$518,$A$3:$A$518,A244,$E$3:$E$518,E244)/SUMIFS(Question_Bank!$M$3:$M$14,Question_Bank!$B$3:$B$14,E244)</f>
        <v>0</v>
      </c>
      <c r="M244" t="s">
        <v>304</v>
      </c>
    </row>
    <row r="245" spans="1:13">
      <c r="A245" t="s">
        <v>303</v>
      </c>
      <c r="B245" t="s">
        <v>263</v>
      </c>
      <c r="C245" t="s">
        <v>227</v>
      </c>
      <c r="D245" t="s">
        <v>37</v>
      </c>
      <c r="E245" t="s">
        <v>15</v>
      </c>
      <c r="F245" t="s">
        <v>20</v>
      </c>
      <c r="G245">
        <f>INDEX(Question_Bank!$J$3:$J$14,MATCH(D245,Question_Bank!$A$3:$A$14,0))</f>
        <v>0</v>
      </c>
      <c r="H245">
        <f>IF(F245=G245,1,0)</f>
        <v>0</v>
      </c>
      <c r="I245">
        <f>H245*INDEX(Question_Bank!$M$3:$M$14,MATCH(D245,Question_Bank!$A$3:$A$14,0))</f>
        <v>0</v>
      </c>
      <c r="J245">
        <f>SUMIFS($I$3:$I$518,$A$3:$A$518,A245)</f>
        <v>0</v>
      </c>
      <c r="K245" s="5">
        <f>J245/SUM(Question_Bank!$M$3:$M$14)</f>
        <v>0</v>
      </c>
      <c r="L245" s="5">
        <f>SUMIFS($I$3:$I$518,$A$3:$A$518,A245,$E$3:$E$518,E245)/SUMIFS(Question_Bank!$M$3:$M$14,Question_Bank!$B$3:$B$14,E245)</f>
        <v>0</v>
      </c>
      <c r="M245" t="s">
        <v>304</v>
      </c>
    </row>
    <row r="246" spans="1:13">
      <c r="A246" t="s">
        <v>303</v>
      </c>
      <c r="B246" t="s">
        <v>263</v>
      </c>
      <c r="C246" t="s">
        <v>227</v>
      </c>
      <c r="D246" t="s">
        <v>45</v>
      </c>
      <c r="E246" t="s">
        <v>46</v>
      </c>
      <c r="F246" t="s">
        <v>31</v>
      </c>
      <c r="G246">
        <f>INDEX(Question_Bank!$J$3:$J$14,MATCH(D246,Question_Bank!$A$3:$A$14,0))</f>
        <v>0</v>
      </c>
      <c r="H246">
        <f>IF(F246=G246,1,0)</f>
        <v>0</v>
      </c>
      <c r="I246">
        <f>H246*INDEX(Question_Bank!$M$3:$M$14,MATCH(D246,Question_Bank!$A$3:$A$14,0))</f>
        <v>0</v>
      </c>
      <c r="J246">
        <f>SUMIFS($I$3:$I$518,$A$3:$A$518,A246)</f>
        <v>0</v>
      </c>
      <c r="K246" s="5">
        <f>J246/SUM(Question_Bank!$M$3:$M$14)</f>
        <v>0</v>
      </c>
      <c r="L246" s="5">
        <f>SUMIFS($I$3:$I$518,$A$3:$A$518,A246,$E$3:$E$518,E246)/SUMIFS(Question_Bank!$M$3:$M$14,Question_Bank!$B$3:$B$14,E246)</f>
        <v>0</v>
      </c>
      <c r="M246" t="s">
        <v>304</v>
      </c>
    </row>
    <row r="247" spans="1:13">
      <c r="A247" t="s">
        <v>303</v>
      </c>
      <c r="B247" t="s">
        <v>263</v>
      </c>
      <c r="C247" t="s">
        <v>227</v>
      </c>
      <c r="D247" t="s">
        <v>54</v>
      </c>
      <c r="E247" t="s">
        <v>46</v>
      </c>
      <c r="F247" t="s">
        <v>23</v>
      </c>
      <c r="G247">
        <f>INDEX(Question_Bank!$J$3:$J$14,MATCH(D247,Question_Bank!$A$3:$A$14,0))</f>
        <v>0</v>
      </c>
      <c r="H247">
        <f>IF(F247=G247,1,0)</f>
        <v>0</v>
      </c>
      <c r="I247">
        <f>H247*INDEX(Question_Bank!$M$3:$M$14,MATCH(D247,Question_Bank!$A$3:$A$14,0))</f>
        <v>0</v>
      </c>
      <c r="J247">
        <f>SUMIFS($I$3:$I$518,$A$3:$A$518,A247)</f>
        <v>0</v>
      </c>
      <c r="K247" s="5">
        <f>J247/SUM(Question_Bank!$M$3:$M$14)</f>
        <v>0</v>
      </c>
      <c r="L247" s="5">
        <f>SUMIFS($I$3:$I$518,$A$3:$A$518,A247,$E$3:$E$518,E247)/SUMIFS(Question_Bank!$M$3:$M$14,Question_Bank!$B$3:$B$14,E247)</f>
        <v>0</v>
      </c>
      <c r="M247" t="s">
        <v>304</v>
      </c>
    </row>
    <row r="248" spans="1:13">
      <c r="A248" t="s">
        <v>303</v>
      </c>
      <c r="B248" t="s">
        <v>263</v>
      </c>
      <c r="C248" t="s">
        <v>227</v>
      </c>
      <c r="D248" t="s">
        <v>62</v>
      </c>
      <c r="E248" t="s">
        <v>46</v>
      </c>
      <c r="F248" t="s">
        <v>34</v>
      </c>
      <c r="G248">
        <f>INDEX(Question_Bank!$J$3:$J$14,MATCH(D248,Question_Bank!$A$3:$A$14,0))</f>
        <v>0</v>
      </c>
      <c r="H248">
        <f>IF(F248=G248,1,0)</f>
        <v>0</v>
      </c>
      <c r="I248">
        <f>H248*INDEX(Question_Bank!$M$3:$M$14,MATCH(D248,Question_Bank!$A$3:$A$14,0))</f>
        <v>0</v>
      </c>
      <c r="J248">
        <f>SUMIFS($I$3:$I$518,$A$3:$A$518,A248)</f>
        <v>0</v>
      </c>
      <c r="K248" s="5">
        <f>J248/SUM(Question_Bank!$M$3:$M$14)</f>
        <v>0</v>
      </c>
      <c r="L248" s="5">
        <f>SUMIFS($I$3:$I$518,$A$3:$A$518,A248,$E$3:$E$518,E248)/SUMIFS(Question_Bank!$M$3:$M$14,Question_Bank!$B$3:$B$14,E248)</f>
        <v>0</v>
      </c>
      <c r="M248" t="s">
        <v>304</v>
      </c>
    </row>
    <row r="249" spans="1:13">
      <c r="A249" t="s">
        <v>303</v>
      </c>
      <c r="B249" t="s">
        <v>263</v>
      </c>
      <c r="C249" t="s">
        <v>227</v>
      </c>
      <c r="D249" t="s">
        <v>70</v>
      </c>
      <c r="E249" t="s">
        <v>71</v>
      </c>
      <c r="F249" t="s">
        <v>20</v>
      </c>
      <c r="G249">
        <f>INDEX(Question_Bank!$J$3:$J$14,MATCH(D249,Question_Bank!$A$3:$A$14,0))</f>
        <v>0</v>
      </c>
      <c r="H249">
        <f>IF(F249=G249,1,0)</f>
        <v>0</v>
      </c>
      <c r="I249">
        <f>H249*INDEX(Question_Bank!$M$3:$M$14,MATCH(D249,Question_Bank!$A$3:$A$14,0))</f>
        <v>0</v>
      </c>
      <c r="J249">
        <f>SUMIFS($I$3:$I$518,$A$3:$A$518,A249)</f>
        <v>0</v>
      </c>
      <c r="K249" s="5">
        <f>J249/SUM(Question_Bank!$M$3:$M$14)</f>
        <v>0</v>
      </c>
      <c r="L249" s="5">
        <f>SUMIFS($I$3:$I$518,$A$3:$A$518,A249,$E$3:$E$518,E249)/SUMIFS(Question_Bank!$M$3:$M$14,Question_Bank!$B$3:$B$14,E249)</f>
        <v>0</v>
      </c>
      <c r="M249" t="s">
        <v>304</v>
      </c>
    </row>
    <row r="250" spans="1:13">
      <c r="A250" t="s">
        <v>303</v>
      </c>
      <c r="B250" t="s">
        <v>263</v>
      </c>
      <c r="C250" t="s">
        <v>227</v>
      </c>
      <c r="D250" t="s">
        <v>79</v>
      </c>
      <c r="E250" t="s">
        <v>71</v>
      </c>
      <c r="F250" t="s">
        <v>31</v>
      </c>
      <c r="G250">
        <f>INDEX(Question_Bank!$J$3:$J$14,MATCH(D250,Question_Bank!$A$3:$A$14,0))</f>
        <v>0</v>
      </c>
      <c r="H250">
        <f>IF(F250=G250,1,0)</f>
        <v>0</v>
      </c>
      <c r="I250">
        <f>H250*INDEX(Question_Bank!$M$3:$M$14,MATCH(D250,Question_Bank!$A$3:$A$14,0))</f>
        <v>0</v>
      </c>
      <c r="J250">
        <f>SUMIFS($I$3:$I$518,$A$3:$A$518,A250)</f>
        <v>0</v>
      </c>
      <c r="K250" s="5">
        <f>J250/SUM(Question_Bank!$M$3:$M$14)</f>
        <v>0</v>
      </c>
      <c r="L250" s="5">
        <f>SUMIFS($I$3:$I$518,$A$3:$A$518,A250,$E$3:$E$518,E250)/SUMIFS(Question_Bank!$M$3:$M$14,Question_Bank!$B$3:$B$14,E250)</f>
        <v>0</v>
      </c>
      <c r="M250" t="s">
        <v>304</v>
      </c>
    </row>
    <row r="251" spans="1:13">
      <c r="A251" t="s">
        <v>303</v>
      </c>
      <c r="B251" t="s">
        <v>263</v>
      </c>
      <c r="C251" t="s">
        <v>227</v>
      </c>
      <c r="D251" t="s">
        <v>87</v>
      </c>
      <c r="E251" t="s">
        <v>71</v>
      </c>
      <c r="F251" t="s">
        <v>23</v>
      </c>
      <c r="G251">
        <f>INDEX(Question_Bank!$J$3:$J$14,MATCH(D251,Question_Bank!$A$3:$A$14,0))</f>
        <v>0</v>
      </c>
      <c r="H251">
        <f>IF(F251=G251,1,0)</f>
        <v>0</v>
      </c>
      <c r="I251">
        <f>H251*INDEX(Question_Bank!$M$3:$M$14,MATCH(D251,Question_Bank!$A$3:$A$14,0))</f>
        <v>0</v>
      </c>
      <c r="J251">
        <f>SUMIFS($I$3:$I$518,$A$3:$A$518,A251)</f>
        <v>0</v>
      </c>
      <c r="K251" s="5">
        <f>J251/SUM(Question_Bank!$M$3:$M$14)</f>
        <v>0</v>
      </c>
      <c r="L251" s="5">
        <f>SUMIFS($I$3:$I$518,$A$3:$A$518,A251,$E$3:$E$518,E251)/SUMIFS(Question_Bank!$M$3:$M$14,Question_Bank!$B$3:$B$14,E251)</f>
        <v>0</v>
      </c>
      <c r="M251" t="s">
        <v>304</v>
      </c>
    </row>
    <row r="252" spans="1:13">
      <c r="A252" t="s">
        <v>303</v>
      </c>
      <c r="B252" t="s">
        <v>263</v>
      </c>
      <c r="C252" t="s">
        <v>227</v>
      </c>
      <c r="D252" t="s">
        <v>95</v>
      </c>
      <c r="E252" t="s">
        <v>96</v>
      </c>
      <c r="F252" t="s">
        <v>34</v>
      </c>
      <c r="G252">
        <f>INDEX(Question_Bank!$J$3:$J$14,MATCH(D252,Question_Bank!$A$3:$A$14,0))</f>
        <v>0</v>
      </c>
      <c r="H252">
        <f>IF(F252=G252,1,0)</f>
        <v>0</v>
      </c>
      <c r="I252">
        <f>H252*INDEX(Question_Bank!$M$3:$M$14,MATCH(D252,Question_Bank!$A$3:$A$14,0))</f>
        <v>0</v>
      </c>
      <c r="J252">
        <f>SUMIFS($I$3:$I$518,$A$3:$A$518,A252)</f>
        <v>0</v>
      </c>
      <c r="K252" s="5">
        <f>J252/SUM(Question_Bank!$M$3:$M$14)</f>
        <v>0</v>
      </c>
      <c r="L252" s="5">
        <f>SUMIFS($I$3:$I$518,$A$3:$A$518,A252,$E$3:$E$518,E252)/SUMIFS(Question_Bank!$M$3:$M$14,Question_Bank!$B$3:$B$14,E252)</f>
        <v>0</v>
      </c>
      <c r="M252" t="s">
        <v>304</v>
      </c>
    </row>
    <row r="253" spans="1:13">
      <c r="A253" t="s">
        <v>303</v>
      </c>
      <c r="B253" t="s">
        <v>263</v>
      </c>
      <c r="C253" t="s">
        <v>227</v>
      </c>
      <c r="D253" t="s">
        <v>104</v>
      </c>
      <c r="E253" t="s">
        <v>96</v>
      </c>
      <c r="F253" t="s">
        <v>20</v>
      </c>
      <c r="G253">
        <f>INDEX(Question_Bank!$J$3:$J$14,MATCH(D253,Question_Bank!$A$3:$A$14,0))</f>
        <v>0</v>
      </c>
      <c r="H253">
        <f>IF(F253=G253,1,0)</f>
        <v>0</v>
      </c>
      <c r="I253">
        <f>H253*INDEX(Question_Bank!$M$3:$M$14,MATCH(D253,Question_Bank!$A$3:$A$14,0))</f>
        <v>0</v>
      </c>
      <c r="J253">
        <f>SUMIFS($I$3:$I$518,$A$3:$A$518,A253)</f>
        <v>0</v>
      </c>
      <c r="K253" s="5">
        <f>J253/SUM(Question_Bank!$M$3:$M$14)</f>
        <v>0</v>
      </c>
      <c r="L253" s="5">
        <f>SUMIFS($I$3:$I$518,$A$3:$A$518,A253,$E$3:$E$518,E253)/SUMIFS(Question_Bank!$M$3:$M$14,Question_Bank!$B$3:$B$14,E253)</f>
        <v>0</v>
      </c>
      <c r="M253" t="s">
        <v>304</v>
      </c>
    </row>
    <row r="254" spans="1:13">
      <c r="A254" t="s">
        <v>303</v>
      </c>
      <c r="B254" t="s">
        <v>263</v>
      </c>
      <c r="C254" t="s">
        <v>227</v>
      </c>
      <c r="D254" t="s">
        <v>112</v>
      </c>
      <c r="E254" t="s">
        <v>96</v>
      </c>
      <c r="F254" t="s">
        <v>31</v>
      </c>
      <c r="G254">
        <f>INDEX(Question_Bank!$J$3:$J$14,MATCH(D254,Question_Bank!$A$3:$A$14,0))</f>
        <v>0</v>
      </c>
      <c r="H254">
        <f>IF(F254=G254,1,0)</f>
        <v>0</v>
      </c>
      <c r="I254">
        <f>H254*INDEX(Question_Bank!$M$3:$M$14,MATCH(D254,Question_Bank!$A$3:$A$14,0))</f>
        <v>0</v>
      </c>
      <c r="J254">
        <f>SUMIFS($I$3:$I$518,$A$3:$A$518,A254)</f>
        <v>0</v>
      </c>
      <c r="K254" s="5">
        <f>J254/SUM(Question_Bank!$M$3:$M$14)</f>
        <v>0</v>
      </c>
      <c r="L254" s="5">
        <f>SUMIFS($I$3:$I$518,$A$3:$A$518,A254,$E$3:$E$518,E254)/SUMIFS(Question_Bank!$M$3:$M$14,Question_Bank!$B$3:$B$14,E254)</f>
        <v>0</v>
      </c>
      <c r="M254" t="s">
        <v>304</v>
      </c>
    </row>
    <row r="255" spans="1:13">
      <c r="A255" t="s">
        <v>305</v>
      </c>
      <c r="B255" t="s">
        <v>263</v>
      </c>
      <c r="C255" t="s">
        <v>227</v>
      </c>
      <c r="D255" t="s">
        <v>14</v>
      </c>
      <c r="E255" t="s">
        <v>15</v>
      </c>
      <c r="F255" t="s">
        <v>20</v>
      </c>
      <c r="G255">
        <f>INDEX(Question_Bank!$J$3:$J$14,MATCH(D255,Question_Bank!$A$3:$A$14,0))</f>
        <v>0</v>
      </c>
      <c r="H255">
        <f>IF(F255=G255,1,0)</f>
        <v>0</v>
      </c>
      <c r="I255">
        <f>H255*INDEX(Question_Bank!$M$3:$M$14,MATCH(D255,Question_Bank!$A$3:$A$14,0))</f>
        <v>0</v>
      </c>
      <c r="J255">
        <f>SUMIFS($I$3:$I$518,$A$3:$A$518,A255)</f>
        <v>0</v>
      </c>
      <c r="K255" s="5">
        <f>J255/SUM(Question_Bank!$M$3:$M$14)</f>
        <v>0</v>
      </c>
      <c r="L255" s="5">
        <f>SUMIFS($I$3:$I$518,$A$3:$A$518,A255,$E$3:$E$518,E255)/SUMIFS(Question_Bank!$M$3:$M$14,Question_Bank!$B$3:$B$14,E255)</f>
        <v>0</v>
      </c>
      <c r="M255" t="s">
        <v>306</v>
      </c>
    </row>
    <row r="256" spans="1:13">
      <c r="A256" t="s">
        <v>305</v>
      </c>
      <c r="B256" t="s">
        <v>263</v>
      </c>
      <c r="C256" t="s">
        <v>227</v>
      </c>
      <c r="D256" t="s">
        <v>26</v>
      </c>
      <c r="E256" t="s">
        <v>15</v>
      </c>
      <c r="F256" t="s">
        <v>34</v>
      </c>
      <c r="G256">
        <f>INDEX(Question_Bank!$J$3:$J$14,MATCH(D256,Question_Bank!$A$3:$A$14,0))</f>
        <v>0</v>
      </c>
      <c r="H256">
        <f>IF(F256=G256,1,0)</f>
        <v>0</v>
      </c>
      <c r="I256">
        <f>H256*INDEX(Question_Bank!$M$3:$M$14,MATCH(D256,Question_Bank!$A$3:$A$14,0))</f>
        <v>0</v>
      </c>
      <c r="J256">
        <f>SUMIFS($I$3:$I$518,$A$3:$A$518,A256)</f>
        <v>0</v>
      </c>
      <c r="K256" s="5">
        <f>J256/SUM(Question_Bank!$M$3:$M$14)</f>
        <v>0</v>
      </c>
      <c r="L256" s="5">
        <f>SUMIFS($I$3:$I$518,$A$3:$A$518,A256,$E$3:$E$518,E256)/SUMIFS(Question_Bank!$M$3:$M$14,Question_Bank!$B$3:$B$14,E256)</f>
        <v>0</v>
      </c>
      <c r="M256" t="s">
        <v>306</v>
      </c>
    </row>
    <row r="257" spans="1:13">
      <c r="A257" t="s">
        <v>305</v>
      </c>
      <c r="B257" t="s">
        <v>263</v>
      </c>
      <c r="C257" t="s">
        <v>227</v>
      </c>
      <c r="D257" t="s">
        <v>37</v>
      </c>
      <c r="E257" t="s">
        <v>15</v>
      </c>
      <c r="F257" t="s">
        <v>31</v>
      </c>
      <c r="G257">
        <f>INDEX(Question_Bank!$J$3:$J$14,MATCH(D257,Question_Bank!$A$3:$A$14,0))</f>
        <v>0</v>
      </c>
      <c r="H257">
        <f>IF(F257=G257,1,0)</f>
        <v>0</v>
      </c>
      <c r="I257">
        <f>H257*INDEX(Question_Bank!$M$3:$M$14,MATCH(D257,Question_Bank!$A$3:$A$14,0))</f>
        <v>0</v>
      </c>
      <c r="J257">
        <f>SUMIFS($I$3:$I$518,$A$3:$A$518,A257)</f>
        <v>0</v>
      </c>
      <c r="K257" s="5">
        <f>J257/SUM(Question_Bank!$M$3:$M$14)</f>
        <v>0</v>
      </c>
      <c r="L257" s="5">
        <f>SUMIFS($I$3:$I$518,$A$3:$A$518,A257,$E$3:$E$518,E257)/SUMIFS(Question_Bank!$M$3:$M$14,Question_Bank!$B$3:$B$14,E257)</f>
        <v>0</v>
      </c>
      <c r="M257" t="s">
        <v>306</v>
      </c>
    </row>
    <row r="258" spans="1:13">
      <c r="A258" t="s">
        <v>305</v>
      </c>
      <c r="B258" t="s">
        <v>263</v>
      </c>
      <c r="C258" t="s">
        <v>227</v>
      </c>
      <c r="D258" t="s">
        <v>45</v>
      </c>
      <c r="E258" t="s">
        <v>46</v>
      </c>
      <c r="F258" t="s">
        <v>31</v>
      </c>
      <c r="G258">
        <f>INDEX(Question_Bank!$J$3:$J$14,MATCH(D258,Question_Bank!$A$3:$A$14,0))</f>
        <v>0</v>
      </c>
      <c r="H258">
        <f>IF(F258=G258,1,0)</f>
        <v>0</v>
      </c>
      <c r="I258">
        <f>H258*INDEX(Question_Bank!$M$3:$M$14,MATCH(D258,Question_Bank!$A$3:$A$14,0))</f>
        <v>0</v>
      </c>
      <c r="J258">
        <f>SUMIFS($I$3:$I$518,$A$3:$A$518,A258)</f>
        <v>0</v>
      </c>
      <c r="K258" s="5">
        <f>J258/SUM(Question_Bank!$M$3:$M$14)</f>
        <v>0</v>
      </c>
      <c r="L258" s="5">
        <f>SUMIFS($I$3:$I$518,$A$3:$A$518,A258,$E$3:$E$518,E258)/SUMIFS(Question_Bank!$M$3:$M$14,Question_Bank!$B$3:$B$14,E258)</f>
        <v>0</v>
      </c>
      <c r="M258" t="s">
        <v>306</v>
      </c>
    </row>
    <row r="259" spans="1:13">
      <c r="A259" t="s">
        <v>305</v>
      </c>
      <c r="B259" t="s">
        <v>263</v>
      </c>
      <c r="C259" t="s">
        <v>227</v>
      </c>
      <c r="D259" t="s">
        <v>54</v>
      </c>
      <c r="E259" t="s">
        <v>46</v>
      </c>
      <c r="F259" t="s">
        <v>23</v>
      </c>
      <c r="G259">
        <f>INDEX(Question_Bank!$J$3:$J$14,MATCH(D259,Question_Bank!$A$3:$A$14,0))</f>
        <v>0</v>
      </c>
      <c r="H259">
        <f>IF(F259=G259,1,0)</f>
        <v>0</v>
      </c>
      <c r="I259">
        <f>H259*INDEX(Question_Bank!$M$3:$M$14,MATCH(D259,Question_Bank!$A$3:$A$14,0))</f>
        <v>0</v>
      </c>
      <c r="J259">
        <f>SUMIFS($I$3:$I$518,$A$3:$A$518,A259)</f>
        <v>0</v>
      </c>
      <c r="K259" s="5">
        <f>J259/SUM(Question_Bank!$M$3:$M$14)</f>
        <v>0</v>
      </c>
      <c r="L259" s="5">
        <f>SUMIFS($I$3:$I$518,$A$3:$A$518,A259,$E$3:$E$518,E259)/SUMIFS(Question_Bank!$M$3:$M$14,Question_Bank!$B$3:$B$14,E259)</f>
        <v>0</v>
      </c>
      <c r="M259" t="s">
        <v>306</v>
      </c>
    </row>
    <row r="260" spans="1:13">
      <c r="A260" t="s">
        <v>305</v>
      </c>
      <c r="B260" t="s">
        <v>263</v>
      </c>
      <c r="C260" t="s">
        <v>227</v>
      </c>
      <c r="D260" t="s">
        <v>62</v>
      </c>
      <c r="E260" t="s">
        <v>46</v>
      </c>
      <c r="F260" t="s">
        <v>34</v>
      </c>
      <c r="G260">
        <f>INDEX(Question_Bank!$J$3:$J$14,MATCH(D260,Question_Bank!$A$3:$A$14,0))</f>
        <v>0</v>
      </c>
      <c r="H260">
        <f>IF(F260=G260,1,0)</f>
        <v>0</v>
      </c>
      <c r="I260">
        <f>H260*INDEX(Question_Bank!$M$3:$M$14,MATCH(D260,Question_Bank!$A$3:$A$14,0))</f>
        <v>0</v>
      </c>
      <c r="J260">
        <f>SUMIFS($I$3:$I$518,$A$3:$A$518,A260)</f>
        <v>0</v>
      </c>
      <c r="K260" s="5">
        <f>J260/SUM(Question_Bank!$M$3:$M$14)</f>
        <v>0</v>
      </c>
      <c r="L260" s="5">
        <f>SUMIFS($I$3:$I$518,$A$3:$A$518,A260,$E$3:$E$518,E260)/SUMIFS(Question_Bank!$M$3:$M$14,Question_Bank!$B$3:$B$14,E260)</f>
        <v>0</v>
      </c>
      <c r="M260" t="s">
        <v>306</v>
      </c>
    </row>
    <row r="261" spans="1:13">
      <c r="A261" t="s">
        <v>305</v>
      </c>
      <c r="B261" t="s">
        <v>263</v>
      </c>
      <c r="C261" t="s">
        <v>227</v>
      </c>
      <c r="D261" t="s">
        <v>70</v>
      </c>
      <c r="E261" t="s">
        <v>71</v>
      </c>
      <c r="F261" t="s">
        <v>23</v>
      </c>
      <c r="G261">
        <f>INDEX(Question_Bank!$J$3:$J$14,MATCH(D261,Question_Bank!$A$3:$A$14,0))</f>
        <v>0</v>
      </c>
      <c r="H261">
        <f>IF(F261=G261,1,0)</f>
        <v>0</v>
      </c>
      <c r="I261">
        <f>H261*INDEX(Question_Bank!$M$3:$M$14,MATCH(D261,Question_Bank!$A$3:$A$14,0))</f>
        <v>0</v>
      </c>
      <c r="J261">
        <f>SUMIFS($I$3:$I$518,$A$3:$A$518,A261)</f>
        <v>0</v>
      </c>
      <c r="K261" s="5">
        <f>J261/SUM(Question_Bank!$M$3:$M$14)</f>
        <v>0</v>
      </c>
      <c r="L261" s="5">
        <f>SUMIFS($I$3:$I$518,$A$3:$A$518,A261,$E$3:$E$518,E261)/SUMIFS(Question_Bank!$M$3:$M$14,Question_Bank!$B$3:$B$14,E261)</f>
        <v>0</v>
      </c>
      <c r="M261" t="s">
        <v>306</v>
      </c>
    </row>
    <row r="262" spans="1:13">
      <c r="A262" t="s">
        <v>305</v>
      </c>
      <c r="B262" t="s">
        <v>263</v>
      </c>
      <c r="C262" t="s">
        <v>227</v>
      </c>
      <c r="D262" t="s">
        <v>79</v>
      </c>
      <c r="E262" t="s">
        <v>71</v>
      </c>
      <c r="F262" t="s">
        <v>31</v>
      </c>
      <c r="G262">
        <f>INDEX(Question_Bank!$J$3:$J$14,MATCH(D262,Question_Bank!$A$3:$A$14,0))</f>
        <v>0</v>
      </c>
      <c r="H262">
        <f>IF(F262=G262,1,0)</f>
        <v>0</v>
      </c>
      <c r="I262">
        <f>H262*INDEX(Question_Bank!$M$3:$M$14,MATCH(D262,Question_Bank!$A$3:$A$14,0))</f>
        <v>0</v>
      </c>
      <c r="J262">
        <f>SUMIFS($I$3:$I$518,$A$3:$A$518,A262)</f>
        <v>0</v>
      </c>
      <c r="K262" s="5">
        <f>J262/SUM(Question_Bank!$M$3:$M$14)</f>
        <v>0</v>
      </c>
      <c r="L262" s="5">
        <f>SUMIFS($I$3:$I$518,$A$3:$A$518,A262,$E$3:$E$518,E262)/SUMIFS(Question_Bank!$M$3:$M$14,Question_Bank!$B$3:$B$14,E262)</f>
        <v>0</v>
      </c>
      <c r="M262" t="s">
        <v>306</v>
      </c>
    </row>
    <row r="263" spans="1:13">
      <c r="A263" t="s">
        <v>305</v>
      </c>
      <c r="B263" t="s">
        <v>263</v>
      </c>
      <c r="C263" t="s">
        <v>227</v>
      </c>
      <c r="D263" t="s">
        <v>87</v>
      </c>
      <c r="E263" t="s">
        <v>71</v>
      </c>
      <c r="F263" t="s">
        <v>23</v>
      </c>
      <c r="G263">
        <f>INDEX(Question_Bank!$J$3:$J$14,MATCH(D263,Question_Bank!$A$3:$A$14,0))</f>
        <v>0</v>
      </c>
      <c r="H263">
        <f>IF(F263=G263,1,0)</f>
        <v>0</v>
      </c>
      <c r="I263">
        <f>H263*INDEX(Question_Bank!$M$3:$M$14,MATCH(D263,Question_Bank!$A$3:$A$14,0))</f>
        <v>0</v>
      </c>
      <c r="J263">
        <f>SUMIFS($I$3:$I$518,$A$3:$A$518,A263)</f>
        <v>0</v>
      </c>
      <c r="K263" s="5">
        <f>J263/SUM(Question_Bank!$M$3:$M$14)</f>
        <v>0</v>
      </c>
      <c r="L263" s="5">
        <f>SUMIFS($I$3:$I$518,$A$3:$A$518,A263,$E$3:$E$518,E263)/SUMIFS(Question_Bank!$M$3:$M$14,Question_Bank!$B$3:$B$14,E263)</f>
        <v>0</v>
      </c>
      <c r="M263" t="s">
        <v>306</v>
      </c>
    </row>
    <row r="264" spans="1:13">
      <c r="A264" t="s">
        <v>305</v>
      </c>
      <c r="B264" t="s">
        <v>263</v>
      </c>
      <c r="C264" t="s">
        <v>227</v>
      </c>
      <c r="D264" t="s">
        <v>95</v>
      </c>
      <c r="E264" t="s">
        <v>96</v>
      </c>
      <c r="F264" t="s">
        <v>34</v>
      </c>
      <c r="G264">
        <f>INDEX(Question_Bank!$J$3:$J$14,MATCH(D264,Question_Bank!$A$3:$A$14,0))</f>
        <v>0</v>
      </c>
      <c r="H264">
        <f>IF(F264=G264,1,0)</f>
        <v>0</v>
      </c>
      <c r="I264">
        <f>H264*INDEX(Question_Bank!$M$3:$M$14,MATCH(D264,Question_Bank!$A$3:$A$14,0))</f>
        <v>0</v>
      </c>
      <c r="J264">
        <f>SUMIFS($I$3:$I$518,$A$3:$A$518,A264)</f>
        <v>0</v>
      </c>
      <c r="K264" s="5">
        <f>J264/SUM(Question_Bank!$M$3:$M$14)</f>
        <v>0</v>
      </c>
      <c r="L264" s="5">
        <f>SUMIFS($I$3:$I$518,$A$3:$A$518,A264,$E$3:$E$518,E264)/SUMIFS(Question_Bank!$M$3:$M$14,Question_Bank!$B$3:$B$14,E264)</f>
        <v>0</v>
      </c>
      <c r="M264" t="s">
        <v>306</v>
      </c>
    </row>
    <row r="265" spans="1:13">
      <c r="A265" t="s">
        <v>305</v>
      </c>
      <c r="B265" t="s">
        <v>263</v>
      </c>
      <c r="C265" t="s">
        <v>227</v>
      </c>
      <c r="D265" t="s">
        <v>104</v>
      </c>
      <c r="E265" t="s">
        <v>96</v>
      </c>
      <c r="F265" t="s">
        <v>20</v>
      </c>
      <c r="G265">
        <f>INDEX(Question_Bank!$J$3:$J$14,MATCH(D265,Question_Bank!$A$3:$A$14,0))</f>
        <v>0</v>
      </c>
      <c r="H265">
        <f>IF(F265=G265,1,0)</f>
        <v>0</v>
      </c>
      <c r="I265">
        <f>H265*INDEX(Question_Bank!$M$3:$M$14,MATCH(D265,Question_Bank!$A$3:$A$14,0))</f>
        <v>0</v>
      </c>
      <c r="J265">
        <f>SUMIFS($I$3:$I$518,$A$3:$A$518,A265)</f>
        <v>0</v>
      </c>
      <c r="K265" s="5">
        <f>J265/SUM(Question_Bank!$M$3:$M$14)</f>
        <v>0</v>
      </c>
      <c r="L265" s="5">
        <f>SUMIFS($I$3:$I$518,$A$3:$A$518,A265,$E$3:$E$518,E265)/SUMIFS(Question_Bank!$M$3:$M$14,Question_Bank!$B$3:$B$14,E265)</f>
        <v>0</v>
      </c>
      <c r="M265" t="s">
        <v>306</v>
      </c>
    </row>
    <row r="266" spans="1:13">
      <c r="A266" t="s">
        <v>305</v>
      </c>
      <c r="B266" t="s">
        <v>263</v>
      </c>
      <c r="C266" t="s">
        <v>227</v>
      </c>
      <c r="D266" t="s">
        <v>112</v>
      </c>
      <c r="E266" t="s">
        <v>96</v>
      </c>
      <c r="F266" t="s">
        <v>23</v>
      </c>
      <c r="G266">
        <f>INDEX(Question_Bank!$J$3:$J$14,MATCH(D266,Question_Bank!$A$3:$A$14,0))</f>
        <v>0</v>
      </c>
      <c r="H266">
        <f>IF(F266=G266,1,0)</f>
        <v>0</v>
      </c>
      <c r="I266">
        <f>H266*INDEX(Question_Bank!$M$3:$M$14,MATCH(D266,Question_Bank!$A$3:$A$14,0))</f>
        <v>0</v>
      </c>
      <c r="J266">
        <f>SUMIFS($I$3:$I$518,$A$3:$A$518,A266)</f>
        <v>0</v>
      </c>
      <c r="K266" s="5">
        <f>J266/SUM(Question_Bank!$M$3:$M$14)</f>
        <v>0</v>
      </c>
      <c r="L266" s="5">
        <f>SUMIFS($I$3:$I$518,$A$3:$A$518,A266,$E$3:$E$518,E266)/SUMIFS(Question_Bank!$M$3:$M$14,Question_Bank!$B$3:$B$14,E266)</f>
        <v>0</v>
      </c>
      <c r="M266" t="s">
        <v>306</v>
      </c>
    </row>
    <row r="267" spans="1:13">
      <c r="A267" t="s">
        <v>307</v>
      </c>
      <c r="B267" t="s">
        <v>263</v>
      </c>
      <c r="C267" t="s">
        <v>227</v>
      </c>
      <c r="D267" t="s">
        <v>14</v>
      </c>
      <c r="E267" t="s">
        <v>15</v>
      </c>
      <c r="F267" t="s">
        <v>23</v>
      </c>
      <c r="G267">
        <f>INDEX(Question_Bank!$J$3:$J$14,MATCH(D267,Question_Bank!$A$3:$A$14,0))</f>
        <v>0</v>
      </c>
      <c r="H267">
        <f>IF(F267=G267,1,0)</f>
        <v>0</v>
      </c>
      <c r="I267">
        <f>H267*INDEX(Question_Bank!$M$3:$M$14,MATCH(D267,Question_Bank!$A$3:$A$14,0))</f>
        <v>0</v>
      </c>
      <c r="J267">
        <f>SUMIFS($I$3:$I$518,$A$3:$A$518,A267)</f>
        <v>0</v>
      </c>
      <c r="K267" s="5">
        <f>J267/SUM(Question_Bank!$M$3:$M$14)</f>
        <v>0</v>
      </c>
      <c r="L267" s="5">
        <f>SUMIFS($I$3:$I$518,$A$3:$A$518,A267,$E$3:$E$518,E267)/SUMIFS(Question_Bank!$M$3:$M$14,Question_Bank!$B$3:$B$14,E267)</f>
        <v>0</v>
      </c>
      <c r="M267" t="s">
        <v>308</v>
      </c>
    </row>
    <row r="268" spans="1:13">
      <c r="A268" t="s">
        <v>307</v>
      </c>
      <c r="B268" t="s">
        <v>263</v>
      </c>
      <c r="C268" t="s">
        <v>227</v>
      </c>
      <c r="D268" t="s">
        <v>26</v>
      </c>
      <c r="E268" t="s">
        <v>15</v>
      </c>
      <c r="F268" t="s">
        <v>34</v>
      </c>
      <c r="G268">
        <f>INDEX(Question_Bank!$J$3:$J$14,MATCH(D268,Question_Bank!$A$3:$A$14,0))</f>
        <v>0</v>
      </c>
      <c r="H268">
        <f>IF(F268=G268,1,0)</f>
        <v>0</v>
      </c>
      <c r="I268">
        <f>H268*INDEX(Question_Bank!$M$3:$M$14,MATCH(D268,Question_Bank!$A$3:$A$14,0))</f>
        <v>0</v>
      </c>
      <c r="J268">
        <f>SUMIFS($I$3:$I$518,$A$3:$A$518,A268)</f>
        <v>0</v>
      </c>
      <c r="K268" s="5">
        <f>J268/SUM(Question_Bank!$M$3:$M$14)</f>
        <v>0</v>
      </c>
      <c r="L268" s="5">
        <f>SUMIFS($I$3:$I$518,$A$3:$A$518,A268,$E$3:$E$518,E268)/SUMIFS(Question_Bank!$M$3:$M$14,Question_Bank!$B$3:$B$14,E268)</f>
        <v>0</v>
      </c>
      <c r="M268" t="s">
        <v>308</v>
      </c>
    </row>
    <row r="269" spans="1:13">
      <c r="A269" t="s">
        <v>307</v>
      </c>
      <c r="B269" t="s">
        <v>263</v>
      </c>
      <c r="C269" t="s">
        <v>227</v>
      </c>
      <c r="D269" t="s">
        <v>37</v>
      </c>
      <c r="E269" t="s">
        <v>15</v>
      </c>
      <c r="F269" t="s">
        <v>20</v>
      </c>
      <c r="G269">
        <f>INDEX(Question_Bank!$J$3:$J$14,MATCH(D269,Question_Bank!$A$3:$A$14,0))</f>
        <v>0</v>
      </c>
      <c r="H269">
        <f>IF(F269=G269,1,0)</f>
        <v>0</v>
      </c>
      <c r="I269">
        <f>H269*INDEX(Question_Bank!$M$3:$M$14,MATCH(D269,Question_Bank!$A$3:$A$14,0))</f>
        <v>0</v>
      </c>
      <c r="J269">
        <f>SUMIFS($I$3:$I$518,$A$3:$A$518,A269)</f>
        <v>0</v>
      </c>
      <c r="K269" s="5">
        <f>J269/SUM(Question_Bank!$M$3:$M$14)</f>
        <v>0</v>
      </c>
      <c r="L269" s="5">
        <f>SUMIFS($I$3:$I$518,$A$3:$A$518,A269,$E$3:$E$518,E269)/SUMIFS(Question_Bank!$M$3:$M$14,Question_Bank!$B$3:$B$14,E269)</f>
        <v>0</v>
      </c>
      <c r="M269" t="s">
        <v>308</v>
      </c>
    </row>
    <row r="270" spans="1:13">
      <c r="A270" t="s">
        <v>307</v>
      </c>
      <c r="B270" t="s">
        <v>263</v>
      </c>
      <c r="C270" t="s">
        <v>227</v>
      </c>
      <c r="D270" t="s">
        <v>45</v>
      </c>
      <c r="E270" t="s">
        <v>46</v>
      </c>
      <c r="F270" t="s">
        <v>31</v>
      </c>
      <c r="G270">
        <f>INDEX(Question_Bank!$J$3:$J$14,MATCH(D270,Question_Bank!$A$3:$A$14,0))</f>
        <v>0</v>
      </c>
      <c r="H270">
        <f>IF(F270=G270,1,0)</f>
        <v>0</v>
      </c>
      <c r="I270">
        <f>H270*INDEX(Question_Bank!$M$3:$M$14,MATCH(D270,Question_Bank!$A$3:$A$14,0))</f>
        <v>0</v>
      </c>
      <c r="J270">
        <f>SUMIFS($I$3:$I$518,$A$3:$A$518,A270)</f>
        <v>0</v>
      </c>
      <c r="K270" s="5">
        <f>J270/SUM(Question_Bank!$M$3:$M$14)</f>
        <v>0</v>
      </c>
      <c r="L270" s="5">
        <f>SUMIFS($I$3:$I$518,$A$3:$A$518,A270,$E$3:$E$518,E270)/SUMIFS(Question_Bank!$M$3:$M$14,Question_Bank!$B$3:$B$14,E270)</f>
        <v>0</v>
      </c>
      <c r="M270" t="s">
        <v>308</v>
      </c>
    </row>
    <row r="271" spans="1:13">
      <c r="A271" t="s">
        <v>307</v>
      </c>
      <c r="B271" t="s">
        <v>263</v>
      </c>
      <c r="C271" t="s">
        <v>227</v>
      </c>
      <c r="D271" t="s">
        <v>54</v>
      </c>
      <c r="E271" t="s">
        <v>46</v>
      </c>
      <c r="F271" t="s">
        <v>23</v>
      </c>
      <c r="G271">
        <f>INDEX(Question_Bank!$J$3:$J$14,MATCH(D271,Question_Bank!$A$3:$A$14,0))</f>
        <v>0</v>
      </c>
      <c r="H271">
        <f>IF(F271=G271,1,0)</f>
        <v>0</v>
      </c>
      <c r="I271">
        <f>H271*INDEX(Question_Bank!$M$3:$M$14,MATCH(D271,Question_Bank!$A$3:$A$14,0))</f>
        <v>0</v>
      </c>
      <c r="J271">
        <f>SUMIFS($I$3:$I$518,$A$3:$A$518,A271)</f>
        <v>0</v>
      </c>
      <c r="K271" s="5">
        <f>J271/SUM(Question_Bank!$M$3:$M$14)</f>
        <v>0</v>
      </c>
      <c r="L271" s="5">
        <f>SUMIFS($I$3:$I$518,$A$3:$A$518,A271,$E$3:$E$518,E271)/SUMIFS(Question_Bank!$M$3:$M$14,Question_Bank!$B$3:$B$14,E271)</f>
        <v>0</v>
      </c>
      <c r="M271" t="s">
        <v>308</v>
      </c>
    </row>
    <row r="272" spans="1:13">
      <c r="A272" t="s">
        <v>307</v>
      </c>
      <c r="B272" t="s">
        <v>263</v>
      </c>
      <c r="C272" t="s">
        <v>227</v>
      </c>
      <c r="D272" t="s">
        <v>62</v>
      </c>
      <c r="E272" t="s">
        <v>46</v>
      </c>
      <c r="F272" t="s">
        <v>20</v>
      </c>
      <c r="G272">
        <f>INDEX(Question_Bank!$J$3:$J$14,MATCH(D272,Question_Bank!$A$3:$A$14,0))</f>
        <v>0</v>
      </c>
      <c r="H272">
        <f>IF(F272=G272,1,0)</f>
        <v>0</v>
      </c>
      <c r="I272">
        <f>H272*INDEX(Question_Bank!$M$3:$M$14,MATCH(D272,Question_Bank!$A$3:$A$14,0))</f>
        <v>0</v>
      </c>
      <c r="J272">
        <f>SUMIFS($I$3:$I$518,$A$3:$A$518,A272)</f>
        <v>0</v>
      </c>
      <c r="K272" s="5">
        <f>J272/SUM(Question_Bank!$M$3:$M$14)</f>
        <v>0</v>
      </c>
      <c r="L272" s="5">
        <f>SUMIFS($I$3:$I$518,$A$3:$A$518,A272,$E$3:$E$518,E272)/SUMIFS(Question_Bank!$M$3:$M$14,Question_Bank!$B$3:$B$14,E272)</f>
        <v>0</v>
      </c>
      <c r="M272" t="s">
        <v>308</v>
      </c>
    </row>
    <row r="273" spans="1:13">
      <c r="A273" t="s">
        <v>307</v>
      </c>
      <c r="B273" t="s">
        <v>263</v>
      </c>
      <c r="C273" t="s">
        <v>227</v>
      </c>
      <c r="D273" t="s">
        <v>70</v>
      </c>
      <c r="E273" t="s">
        <v>71</v>
      </c>
      <c r="F273" t="s">
        <v>20</v>
      </c>
      <c r="G273">
        <f>INDEX(Question_Bank!$J$3:$J$14,MATCH(D273,Question_Bank!$A$3:$A$14,0))</f>
        <v>0</v>
      </c>
      <c r="H273">
        <f>IF(F273=G273,1,0)</f>
        <v>0</v>
      </c>
      <c r="I273">
        <f>H273*INDEX(Question_Bank!$M$3:$M$14,MATCH(D273,Question_Bank!$A$3:$A$14,0))</f>
        <v>0</v>
      </c>
      <c r="J273">
        <f>SUMIFS($I$3:$I$518,$A$3:$A$518,A273)</f>
        <v>0</v>
      </c>
      <c r="K273" s="5">
        <f>J273/SUM(Question_Bank!$M$3:$M$14)</f>
        <v>0</v>
      </c>
      <c r="L273" s="5">
        <f>SUMIFS($I$3:$I$518,$A$3:$A$518,A273,$E$3:$E$518,E273)/SUMIFS(Question_Bank!$M$3:$M$14,Question_Bank!$B$3:$B$14,E273)</f>
        <v>0</v>
      </c>
      <c r="M273" t="s">
        <v>308</v>
      </c>
    </row>
    <row r="274" spans="1:13">
      <c r="A274" t="s">
        <v>307</v>
      </c>
      <c r="B274" t="s">
        <v>263</v>
      </c>
      <c r="C274" t="s">
        <v>227</v>
      </c>
      <c r="D274" t="s">
        <v>79</v>
      </c>
      <c r="E274" t="s">
        <v>71</v>
      </c>
      <c r="F274" t="s">
        <v>31</v>
      </c>
      <c r="G274">
        <f>INDEX(Question_Bank!$J$3:$J$14,MATCH(D274,Question_Bank!$A$3:$A$14,0))</f>
        <v>0</v>
      </c>
      <c r="H274">
        <f>IF(F274=G274,1,0)</f>
        <v>0</v>
      </c>
      <c r="I274">
        <f>H274*INDEX(Question_Bank!$M$3:$M$14,MATCH(D274,Question_Bank!$A$3:$A$14,0))</f>
        <v>0</v>
      </c>
      <c r="J274">
        <f>SUMIFS($I$3:$I$518,$A$3:$A$518,A274)</f>
        <v>0</v>
      </c>
      <c r="K274" s="5">
        <f>J274/SUM(Question_Bank!$M$3:$M$14)</f>
        <v>0</v>
      </c>
      <c r="L274" s="5">
        <f>SUMIFS($I$3:$I$518,$A$3:$A$518,A274,$E$3:$E$518,E274)/SUMIFS(Question_Bank!$M$3:$M$14,Question_Bank!$B$3:$B$14,E274)</f>
        <v>0</v>
      </c>
      <c r="M274" t="s">
        <v>308</v>
      </c>
    </row>
    <row r="275" spans="1:13">
      <c r="A275" t="s">
        <v>307</v>
      </c>
      <c r="B275" t="s">
        <v>263</v>
      </c>
      <c r="C275" t="s">
        <v>227</v>
      </c>
      <c r="D275" t="s">
        <v>87</v>
      </c>
      <c r="E275" t="s">
        <v>71</v>
      </c>
      <c r="F275" t="s">
        <v>23</v>
      </c>
      <c r="G275">
        <f>INDEX(Question_Bank!$J$3:$J$14,MATCH(D275,Question_Bank!$A$3:$A$14,0))</f>
        <v>0</v>
      </c>
      <c r="H275">
        <f>IF(F275=G275,1,0)</f>
        <v>0</v>
      </c>
      <c r="I275">
        <f>H275*INDEX(Question_Bank!$M$3:$M$14,MATCH(D275,Question_Bank!$A$3:$A$14,0))</f>
        <v>0</v>
      </c>
      <c r="J275">
        <f>SUMIFS($I$3:$I$518,$A$3:$A$518,A275)</f>
        <v>0</v>
      </c>
      <c r="K275" s="5">
        <f>J275/SUM(Question_Bank!$M$3:$M$14)</f>
        <v>0</v>
      </c>
      <c r="L275" s="5">
        <f>SUMIFS($I$3:$I$518,$A$3:$A$518,A275,$E$3:$E$518,E275)/SUMIFS(Question_Bank!$M$3:$M$14,Question_Bank!$B$3:$B$14,E275)</f>
        <v>0</v>
      </c>
      <c r="M275" t="s">
        <v>308</v>
      </c>
    </row>
    <row r="276" spans="1:13">
      <c r="A276" t="s">
        <v>307</v>
      </c>
      <c r="B276" t="s">
        <v>263</v>
      </c>
      <c r="C276" t="s">
        <v>227</v>
      </c>
      <c r="D276" t="s">
        <v>95</v>
      </c>
      <c r="E276" t="s">
        <v>96</v>
      </c>
      <c r="F276" t="s">
        <v>34</v>
      </c>
      <c r="G276">
        <f>INDEX(Question_Bank!$J$3:$J$14,MATCH(D276,Question_Bank!$A$3:$A$14,0))</f>
        <v>0</v>
      </c>
      <c r="H276">
        <f>IF(F276=G276,1,0)</f>
        <v>0</v>
      </c>
      <c r="I276">
        <f>H276*INDEX(Question_Bank!$M$3:$M$14,MATCH(D276,Question_Bank!$A$3:$A$14,0))</f>
        <v>0</v>
      </c>
      <c r="J276">
        <f>SUMIFS($I$3:$I$518,$A$3:$A$518,A276)</f>
        <v>0</v>
      </c>
      <c r="K276" s="5">
        <f>J276/SUM(Question_Bank!$M$3:$M$14)</f>
        <v>0</v>
      </c>
      <c r="L276" s="5">
        <f>SUMIFS($I$3:$I$518,$A$3:$A$518,A276,$E$3:$E$518,E276)/SUMIFS(Question_Bank!$M$3:$M$14,Question_Bank!$B$3:$B$14,E276)</f>
        <v>0</v>
      </c>
      <c r="M276" t="s">
        <v>308</v>
      </c>
    </row>
    <row r="277" spans="1:13">
      <c r="A277" t="s">
        <v>307</v>
      </c>
      <c r="B277" t="s">
        <v>263</v>
      </c>
      <c r="C277" t="s">
        <v>227</v>
      </c>
      <c r="D277" t="s">
        <v>104</v>
      </c>
      <c r="E277" t="s">
        <v>96</v>
      </c>
      <c r="F277" t="s">
        <v>20</v>
      </c>
      <c r="G277">
        <f>INDEX(Question_Bank!$J$3:$J$14,MATCH(D277,Question_Bank!$A$3:$A$14,0))</f>
        <v>0</v>
      </c>
      <c r="H277">
        <f>IF(F277=G277,1,0)</f>
        <v>0</v>
      </c>
      <c r="I277">
        <f>H277*INDEX(Question_Bank!$M$3:$M$14,MATCH(D277,Question_Bank!$A$3:$A$14,0))</f>
        <v>0</v>
      </c>
      <c r="J277">
        <f>SUMIFS($I$3:$I$518,$A$3:$A$518,A277)</f>
        <v>0</v>
      </c>
      <c r="K277" s="5">
        <f>J277/SUM(Question_Bank!$M$3:$M$14)</f>
        <v>0</v>
      </c>
      <c r="L277" s="5">
        <f>SUMIFS($I$3:$I$518,$A$3:$A$518,A277,$E$3:$E$518,E277)/SUMIFS(Question_Bank!$M$3:$M$14,Question_Bank!$B$3:$B$14,E277)</f>
        <v>0</v>
      </c>
      <c r="M277" t="s">
        <v>308</v>
      </c>
    </row>
    <row r="278" spans="1:13">
      <c r="A278" t="s">
        <v>307</v>
      </c>
      <c r="B278" t="s">
        <v>263</v>
      </c>
      <c r="C278" t="s">
        <v>227</v>
      </c>
      <c r="D278" t="s">
        <v>112</v>
      </c>
      <c r="E278" t="s">
        <v>96</v>
      </c>
      <c r="F278" t="s">
        <v>31</v>
      </c>
      <c r="G278">
        <f>INDEX(Question_Bank!$J$3:$J$14,MATCH(D278,Question_Bank!$A$3:$A$14,0))</f>
        <v>0</v>
      </c>
      <c r="H278">
        <f>IF(F278=G278,1,0)</f>
        <v>0</v>
      </c>
      <c r="I278">
        <f>H278*INDEX(Question_Bank!$M$3:$M$14,MATCH(D278,Question_Bank!$A$3:$A$14,0))</f>
        <v>0</v>
      </c>
      <c r="J278">
        <f>SUMIFS($I$3:$I$518,$A$3:$A$518,A278)</f>
        <v>0</v>
      </c>
      <c r="K278" s="5">
        <f>J278/SUM(Question_Bank!$M$3:$M$14)</f>
        <v>0</v>
      </c>
      <c r="L278" s="5">
        <f>SUMIFS($I$3:$I$518,$A$3:$A$518,A278,$E$3:$E$518,E278)/SUMIFS(Question_Bank!$M$3:$M$14,Question_Bank!$B$3:$B$14,E278)</f>
        <v>0</v>
      </c>
      <c r="M278" t="s">
        <v>308</v>
      </c>
    </row>
    <row r="279" spans="1:13">
      <c r="A279" t="s">
        <v>309</v>
      </c>
      <c r="B279" t="s">
        <v>263</v>
      </c>
      <c r="C279" t="s">
        <v>227</v>
      </c>
      <c r="D279" t="s">
        <v>14</v>
      </c>
      <c r="E279" t="s">
        <v>15</v>
      </c>
      <c r="F279" t="s">
        <v>23</v>
      </c>
      <c r="G279">
        <f>INDEX(Question_Bank!$J$3:$J$14,MATCH(D279,Question_Bank!$A$3:$A$14,0))</f>
        <v>0</v>
      </c>
      <c r="H279">
        <f>IF(F279=G279,1,0)</f>
        <v>0</v>
      </c>
      <c r="I279">
        <f>H279*INDEX(Question_Bank!$M$3:$M$14,MATCH(D279,Question_Bank!$A$3:$A$14,0))</f>
        <v>0</v>
      </c>
      <c r="J279">
        <f>SUMIFS($I$3:$I$518,$A$3:$A$518,A279)</f>
        <v>0</v>
      </c>
      <c r="K279" s="5">
        <f>J279/SUM(Question_Bank!$M$3:$M$14)</f>
        <v>0</v>
      </c>
      <c r="L279" s="5">
        <f>SUMIFS($I$3:$I$518,$A$3:$A$518,A279,$E$3:$E$518,E279)/SUMIFS(Question_Bank!$M$3:$M$14,Question_Bank!$B$3:$B$14,E279)</f>
        <v>0</v>
      </c>
      <c r="M279" t="s">
        <v>310</v>
      </c>
    </row>
    <row r="280" spans="1:13">
      <c r="A280" t="s">
        <v>309</v>
      </c>
      <c r="B280" t="s">
        <v>263</v>
      </c>
      <c r="C280" t="s">
        <v>227</v>
      </c>
      <c r="D280" t="s">
        <v>26</v>
      </c>
      <c r="E280" t="s">
        <v>15</v>
      </c>
      <c r="F280" t="s">
        <v>34</v>
      </c>
      <c r="G280">
        <f>INDEX(Question_Bank!$J$3:$J$14,MATCH(D280,Question_Bank!$A$3:$A$14,0))</f>
        <v>0</v>
      </c>
      <c r="H280">
        <f>IF(F280=G280,1,0)</f>
        <v>0</v>
      </c>
      <c r="I280">
        <f>H280*INDEX(Question_Bank!$M$3:$M$14,MATCH(D280,Question_Bank!$A$3:$A$14,0))</f>
        <v>0</v>
      </c>
      <c r="J280">
        <f>SUMIFS($I$3:$I$518,$A$3:$A$518,A280)</f>
        <v>0</v>
      </c>
      <c r="K280" s="5">
        <f>J280/SUM(Question_Bank!$M$3:$M$14)</f>
        <v>0</v>
      </c>
      <c r="L280" s="5">
        <f>SUMIFS($I$3:$I$518,$A$3:$A$518,A280,$E$3:$E$518,E280)/SUMIFS(Question_Bank!$M$3:$M$14,Question_Bank!$B$3:$B$14,E280)</f>
        <v>0</v>
      </c>
      <c r="M280" t="s">
        <v>310</v>
      </c>
    </row>
    <row r="281" spans="1:13">
      <c r="A281" t="s">
        <v>309</v>
      </c>
      <c r="B281" t="s">
        <v>263</v>
      </c>
      <c r="C281" t="s">
        <v>227</v>
      </c>
      <c r="D281" t="s">
        <v>37</v>
      </c>
      <c r="E281" t="s">
        <v>15</v>
      </c>
      <c r="F281" t="s">
        <v>20</v>
      </c>
      <c r="G281">
        <f>INDEX(Question_Bank!$J$3:$J$14,MATCH(D281,Question_Bank!$A$3:$A$14,0))</f>
        <v>0</v>
      </c>
      <c r="H281">
        <f>IF(F281=G281,1,0)</f>
        <v>0</v>
      </c>
      <c r="I281">
        <f>H281*INDEX(Question_Bank!$M$3:$M$14,MATCH(D281,Question_Bank!$A$3:$A$14,0))</f>
        <v>0</v>
      </c>
      <c r="J281">
        <f>SUMIFS($I$3:$I$518,$A$3:$A$518,A281)</f>
        <v>0</v>
      </c>
      <c r="K281" s="5">
        <f>J281/SUM(Question_Bank!$M$3:$M$14)</f>
        <v>0</v>
      </c>
      <c r="L281" s="5">
        <f>SUMIFS($I$3:$I$518,$A$3:$A$518,A281,$E$3:$E$518,E281)/SUMIFS(Question_Bank!$M$3:$M$14,Question_Bank!$B$3:$B$14,E281)</f>
        <v>0</v>
      </c>
      <c r="M281" t="s">
        <v>310</v>
      </c>
    </row>
    <row r="282" spans="1:13">
      <c r="A282" t="s">
        <v>309</v>
      </c>
      <c r="B282" t="s">
        <v>263</v>
      </c>
      <c r="C282" t="s">
        <v>227</v>
      </c>
      <c r="D282" t="s">
        <v>45</v>
      </c>
      <c r="E282" t="s">
        <v>46</v>
      </c>
      <c r="F282" t="s">
        <v>31</v>
      </c>
      <c r="G282">
        <f>INDEX(Question_Bank!$J$3:$J$14,MATCH(D282,Question_Bank!$A$3:$A$14,0))</f>
        <v>0</v>
      </c>
      <c r="H282">
        <f>IF(F282=G282,1,0)</f>
        <v>0</v>
      </c>
      <c r="I282">
        <f>H282*INDEX(Question_Bank!$M$3:$M$14,MATCH(D282,Question_Bank!$A$3:$A$14,0))</f>
        <v>0</v>
      </c>
      <c r="J282">
        <f>SUMIFS($I$3:$I$518,$A$3:$A$518,A282)</f>
        <v>0</v>
      </c>
      <c r="K282" s="5">
        <f>J282/SUM(Question_Bank!$M$3:$M$14)</f>
        <v>0</v>
      </c>
      <c r="L282" s="5">
        <f>SUMIFS($I$3:$I$518,$A$3:$A$518,A282,$E$3:$E$518,E282)/SUMIFS(Question_Bank!$M$3:$M$14,Question_Bank!$B$3:$B$14,E282)</f>
        <v>0</v>
      </c>
      <c r="M282" t="s">
        <v>310</v>
      </c>
    </row>
    <row r="283" spans="1:13">
      <c r="A283" t="s">
        <v>309</v>
      </c>
      <c r="B283" t="s">
        <v>263</v>
      </c>
      <c r="C283" t="s">
        <v>227</v>
      </c>
      <c r="D283" t="s">
        <v>54</v>
      </c>
      <c r="E283" t="s">
        <v>46</v>
      </c>
      <c r="F283" t="s">
        <v>23</v>
      </c>
      <c r="G283">
        <f>INDEX(Question_Bank!$J$3:$J$14,MATCH(D283,Question_Bank!$A$3:$A$14,0))</f>
        <v>0</v>
      </c>
      <c r="H283">
        <f>IF(F283=G283,1,0)</f>
        <v>0</v>
      </c>
      <c r="I283">
        <f>H283*INDEX(Question_Bank!$M$3:$M$14,MATCH(D283,Question_Bank!$A$3:$A$14,0))</f>
        <v>0</v>
      </c>
      <c r="J283">
        <f>SUMIFS($I$3:$I$518,$A$3:$A$518,A283)</f>
        <v>0</v>
      </c>
      <c r="K283" s="5">
        <f>J283/SUM(Question_Bank!$M$3:$M$14)</f>
        <v>0</v>
      </c>
      <c r="L283" s="5">
        <f>SUMIFS($I$3:$I$518,$A$3:$A$518,A283,$E$3:$E$518,E283)/SUMIFS(Question_Bank!$M$3:$M$14,Question_Bank!$B$3:$B$14,E283)</f>
        <v>0</v>
      </c>
      <c r="M283" t="s">
        <v>310</v>
      </c>
    </row>
    <row r="284" spans="1:13">
      <c r="A284" t="s">
        <v>309</v>
      </c>
      <c r="B284" t="s">
        <v>263</v>
      </c>
      <c r="C284" t="s">
        <v>227</v>
      </c>
      <c r="D284" t="s">
        <v>62</v>
      </c>
      <c r="E284" t="s">
        <v>46</v>
      </c>
      <c r="F284" t="s">
        <v>34</v>
      </c>
      <c r="G284">
        <f>INDEX(Question_Bank!$J$3:$J$14,MATCH(D284,Question_Bank!$A$3:$A$14,0))</f>
        <v>0</v>
      </c>
      <c r="H284">
        <f>IF(F284=G284,1,0)</f>
        <v>0</v>
      </c>
      <c r="I284">
        <f>H284*INDEX(Question_Bank!$M$3:$M$14,MATCH(D284,Question_Bank!$A$3:$A$14,0))</f>
        <v>0</v>
      </c>
      <c r="J284">
        <f>SUMIFS($I$3:$I$518,$A$3:$A$518,A284)</f>
        <v>0</v>
      </c>
      <c r="K284" s="5">
        <f>J284/SUM(Question_Bank!$M$3:$M$14)</f>
        <v>0</v>
      </c>
      <c r="L284" s="5">
        <f>SUMIFS($I$3:$I$518,$A$3:$A$518,A284,$E$3:$E$518,E284)/SUMIFS(Question_Bank!$M$3:$M$14,Question_Bank!$B$3:$B$14,E284)</f>
        <v>0</v>
      </c>
      <c r="M284" t="s">
        <v>310</v>
      </c>
    </row>
    <row r="285" spans="1:13">
      <c r="A285" t="s">
        <v>309</v>
      </c>
      <c r="B285" t="s">
        <v>263</v>
      </c>
      <c r="C285" t="s">
        <v>227</v>
      </c>
      <c r="D285" t="s">
        <v>70</v>
      </c>
      <c r="E285" t="s">
        <v>71</v>
      </c>
      <c r="F285" t="s">
        <v>20</v>
      </c>
      <c r="G285">
        <f>INDEX(Question_Bank!$J$3:$J$14,MATCH(D285,Question_Bank!$A$3:$A$14,0))</f>
        <v>0</v>
      </c>
      <c r="H285">
        <f>IF(F285=G285,1,0)</f>
        <v>0</v>
      </c>
      <c r="I285">
        <f>H285*INDEX(Question_Bank!$M$3:$M$14,MATCH(D285,Question_Bank!$A$3:$A$14,0))</f>
        <v>0</v>
      </c>
      <c r="J285">
        <f>SUMIFS($I$3:$I$518,$A$3:$A$518,A285)</f>
        <v>0</v>
      </c>
      <c r="K285" s="5">
        <f>J285/SUM(Question_Bank!$M$3:$M$14)</f>
        <v>0</v>
      </c>
      <c r="L285" s="5">
        <f>SUMIFS($I$3:$I$518,$A$3:$A$518,A285,$E$3:$E$518,E285)/SUMIFS(Question_Bank!$M$3:$M$14,Question_Bank!$B$3:$B$14,E285)</f>
        <v>0</v>
      </c>
      <c r="M285" t="s">
        <v>310</v>
      </c>
    </row>
    <row r="286" spans="1:13">
      <c r="A286" t="s">
        <v>309</v>
      </c>
      <c r="B286" t="s">
        <v>263</v>
      </c>
      <c r="C286" t="s">
        <v>227</v>
      </c>
      <c r="D286" t="s">
        <v>79</v>
      </c>
      <c r="E286" t="s">
        <v>71</v>
      </c>
      <c r="F286" t="s">
        <v>31</v>
      </c>
      <c r="G286">
        <f>INDEX(Question_Bank!$J$3:$J$14,MATCH(D286,Question_Bank!$A$3:$A$14,0))</f>
        <v>0</v>
      </c>
      <c r="H286">
        <f>IF(F286=G286,1,0)</f>
        <v>0</v>
      </c>
      <c r="I286">
        <f>H286*INDEX(Question_Bank!$M$3:$M$14,MATCH(D286,Question_Bank!$A$3:$A$14,0))</f>
        <v>0</v>
      </c>
      <c r="J286">
        <f>SUMIFS($I$3:$I$518,$A$3:$A$518,A286)</f>
        <v>0</v>
      </c>
      <c r="K286" s="5">
        <f>J286/SUM(Question_Bank!$M$3:$M$14)</f>
        <v>0</v>
      </c>
      <c r="L286" s="5">
        <f>SUMIFS($I$3:$I$518,$A$3:$A$518,A286,$E$3:$E$518,E286)/SUMIFS(Question_Bank!$M$3:$M$14,Question_Bank!$B$3:$B$14,E286)</f>
        <v>0</v>
      </c>
      <c r="M286" t="s">
        <v>310</v>
      </c>
    </row>
    <row r="287" spans="1:13">
      <c r="A287" t="s">
        <v>309</v>
      </c>
      <c r="B287" t="s">
        <v>263</v>
      </c>
      <c r="C287" t="s">
        <v>227</v>
      </c>
      <c r="D287" t="s">
        <v>87</v>
      </c>
      <c r="E287" t="s">
        <v>71</v>
      </c>
      <c r="F287" t="s">
        <v>23</v>
      </c>
      <c r="G287">
        <f>INDEX(Question_Bank!$J$3:$J$14,MATCH(D287,Question_Bank!$A$3:$A$14,0))</f>
        <v>0</v>
      </c>
      <c r="H287">
        <f>IF(F287=G287,1,0)</f>
        <v>0</v>
      </c>
      <c r="I287">
        <f>H287*INDEX(Question_Bank!$M$3:$M$14,MATCH(D287,Question_Bank!$A$3:$A$14,0))</f>
        <v>0</v>
      </c>
      <c r="J287">
        <f>SUMIFS($I$3:$I$518,$A$3:$A$518,A287)</f>
        <v>0</v>
      </c>
      <c r="K287" s="5">
        <f>J287/SUM(Question_Bank!$M$3:$M$14)</f>
        <v>0</v>
      </c>
      <c r="L287" s="5">
        <f>SUMIFS($I$3:$I$518,$A$3:$A$518,A287,$E$3:$E$518,E287)/SUMIFS(Question_Bank!$M$3:$M$14,Question_Bank!$B$3:$B$14,E287)</f>
        <v>0</v>
      </c>
      <c r="M287" t="s">
        <v>310</v>
      </c>
    </row>
    <row r="288" spans="1:13">
      <c r="A288" t="s">
        <v>309</v>
      </c>
      <c r="B288" t="s">
        <v>263</v>
      </c>
      <c r="C288" t="s">
        <v>227</v>
      </c>
      <c r="D288" t="s">
        <v>95</v>
      </c>
      <c r="E288" t="s">
        <v>96</v>
      </c>
      <c r="F288" t="s">
        <v>34</v>
      </c>
      <c r="G288">
        <f>INDEX(Question_Bank!$J$3:$J$14,MATCH(D288,Question_Bank!$A$3:$A$14,0))</f>
        <v>0</v>
      </c>
      <c r="H288">
        <f>IF(F288=G288,1,0)</f>
        <v>0</v>
      </c>
      <c r="I288">
        <f>H288*INDEX(Question_Bank!$M$3:$M$14,MATCH(D288,Question_Bank!$A$3:$A$14,0))</f>
        <v>0</v>
      </c>
      <c r="J288">
        <f>SUMIFS($I$3:$I$518,$A$3:$A$518,A288)</f>
        <v>0</v>
      </c>
      <c r="K288" s="5">
        <f>J288/SUM(Question_Bank!$M$3:$M$14)</f>
        <v>0</v>
      </c>
      <c r="L288" s="5">
        <f>SUMIFS($I$3:$I$518,$A$3:$A$518,A288,$E$3:$E$518,E288)/SUMIFS(Question_Bank!$M$3:$M$14,Question_Bank!$B$3:$B$14,E288)</f>
        <v>0</v>
      </c>
      <c r="M288" t="s">
        <v>310</v>
      </c>
    </row>
    <row r="289" spans="1:13">
      <c r="A289" t="s">
        <v>309</v>
      </c>
      <c r="B289" t="s">
        <v>263</v>
      </c>
      <c r="C289" t="s">
        <v>227</v>
      </c>
      <c r="D289" t="s">
        <v>104</v>
      </c>
      <c r="E289" t="s">
        <v>96</v>
      </c>
      <c r="F289" t="s">
        <v>20</v>
      </c>
      <c r="G289">
        <f>INDEX(Question_Bank!$J$3:$J$14,MATCH(D289,Question_Bank!$A$3:$A$14,0))</f>
        <v>0</v>
      </c>
      <c r="H289">
        <f>IF(F289=G289,1,0)</f>
        <v>0</v>
      </c>
      <c r="I289">
        <f>H289*INDEX(Question_Bank!$M$3:$M$14,MATCH(D289,Question_Bank!$A$3:$A$14,0))</f>
        <v>0</v>
      </c>
      <c r="J289">
        <f>SUMIFS($I$3:$I$518,$A$3:$A$518,A289)</f>
        <v>0</v>
      </c>
      <c r="K289" s="5">
        <f>J289/SUM(Question_Bank!$M$3:$M$14)</f>
        <v>0</v>
      </c>
      <c r="L289" s="5">
        <f>SUMIFS($I$3:$I$518,$A$3:$A$518,A289,$E$3:$E$518,E289)/SUMIFS(Question_Bank!$M$3:$M$14,Question_Bank!$B$3:$B$14,E289)</f>
        <v>0</v>
      </c>
      <c r="M289" t="s">
        <v>310</v>
      </c>
    </row>
    <row r="290" spans="1:13">
      <c r="A290" t="s">
        <v>309</v>
      </c>
      <c r="B290" t="s">
        <v>263</v>
      </c>
      <c r="C290" t="s">
        <v>227</v>
      </c>
      <c r="D290" t="s">
        <v>112</v>
      </c>
      <c r="E290" t="s">
        <v>96</v>
      </c>
      <c r="F290" t="s">
        <v>31</v>
      </c>
      <c r="G290">
        <f>INDEX(Question_Bank!$J$3:$J$14,MATCH(D290,Question_Bank!$A$3:$A$14,0))</f>
        <v>0</v>
      </c>
      <c r="H290">
        <f>IF(F290=G290,1,0)</f>
        <v>0</v>
      </c>
      <c r="I290">
        <f>H290*INDEX(Question_Bank!$M$3:$M$14,MATCH(D290,Question_Bank!$A$3:$A$14,0))</f>
        <v>0</v>
      </c>
      <c r="J290">
        <f>SUMIFS($I$3:$I$518,$A$3:$A$518,A290)</f>
        <v>0</v>
      </c>
      <c r="K290" s="5">
        <f>J290/SUM(Question_Bank!$M$3:$M$14)</f>
        <v>0</v>
      </c>
      <c r="L290" s="5">
        <f>SUMIFS($I$3:$I$518,$A$3:$A$518,A290,$E$3:$E$518,E290)/SUMIFS(Question_Bank!$M$3:$M$14,Question_Bank!$B$3:$B$14,E290)</f>
        <v>0</v>
      </c>
      <c r="M290" t="s">
        <v>310</v>
      </c>
    </row>
    <row r="291" spans="1:13">
      <c r="A291" t="s">
        <v>311</v>
      </c>
      <c r="B291" t="s">
        <v>263</v>
      </c>
      <c r="C291" t="s">
        <v>227</v>
      </c>
      <c r="D291" t="s">
        <v>14</v>
      </c>
      <c r="E291" t="s">
        <v>15</v>
      </c>
      <c r="F291" t="s">
        <v>23</v>
      </c>
      <c r="G291">
        <f>INDEX(Question_Bank!$J$3:$J$14,MATCH(D291,Question_Bank!$A$3:$A$14,0))</f>
        <v>0</v>
      </c>
      <c r="H291">
        <f>IF(F291=G291,1,0)</f>
        <v>0</v>
      </c>
      <c r="I291">
        <f>H291*INDEX(Question_Bank!$M$3:$M$14,MATCH(D291,Question_Bank!$A$3:$A$14,0))</f>
        <v>0</v>
      </c>
      <c r="J291">
        <f>SUMIFS($I$3:$I$518,$A$3:$A$518,A291)</f>
        <v>0</v>
      </c>
      <c r="K291" s="5">
        <f>J291/SUM(Question_Bank!$M$3:$M$14)</f>
        <v>0</v>
      </c>
      <c r="L291" s="5">
        <f>SUMIFS($I$3:$I$518,$A$3:$A$518,A291,$E$3:$E$518,E291)/SUMIFS(Question_Bank!$M$3:$M$14,Question_Bank!$B$3:$B$14,E291)</f>
        <v>0</v>
      </c>
      <c r="M291" t="s">
        <v>312</v>
      </c>
    </row>
    <row r="292" spans="1:13">
      <c r="A292" t="s">
        <v>311</v>
      </c>
      <c r="B292" t="s">
        <v>263</v>
      </c>
      <c r="C292" t="s">
        <v>227</v>
      </c>
      <c r="D292" t="s">
        <v>26</v>
      </c>
      <c r="E292" t="s">
        <v>15</v>
      </c>
      <c r="F292" t="s">
        <v>34</v>
      </c>
      <c r="G292">
        <f>INDEX(Question_Bank!$J$3:$J$14,MATCH(D292,Question_Bank!$A$3:$A$14,0))</f>
        <v>0</v>
      </c>
      <c r="H292">
        <f>IF(F292=G292,1,0)</f>
        <v>0</v>
      </c>
      <c r="I292">
        <f>H292*INDEX(Question_Bank!$M$3:$M$14,MATCH(D292,Question_Bank!$A$3:$A$14,0))</f>
        <v>0</v>
      </c>
      <c r="J292">
        <f>SUMIFS($I$3:$I$518,$A$3:$A$518,A292)</f>
        <v>0</v>
      </c>
      <c r="K292" s="5">
        <f>J292/SUM(Question_Bank!$M$3:$M$14)</f>
        <v>0</v>
      </c>
      <c r="L292" s="5">
        <f>SUMIFS($I$3:$I$518,$A$3:$A$518,A292,$E$3:$E$518,E292)/SUMIFS(Question_Bank!$M$3:$M$14,Question_Bank!$B$3:$B$14,E292)</f>
        <v>0</v>
      </c>
      <c r="M292" t="s">
        <v>312</v>
      </c>
    </row>
    <row r="293" spans="1:13">
      <c r="A293" t="s">
        <v>311</v>
      </c>
      <c r="B293" t="s">
        <v>263</v>
      </c>
      <c r="C293" t="s">
        <v>227</v>
      </c>
      <c r="D293" t="s">
        <v>37</v>
      </c>
      <c r="E293" t="s">
        <v>15</v>
      </c>
      <c r="F293" t="s">
        <v>20</v>
      </c>
      <c r="G293">
        <f>INDEX(Question_Bank!$J$3:$J$14,MATCH(D293,Question_Bank!$A$3:$A$14,0))</f>
        <v>0</v>
      </c>
      <c r="H293">
        <f>IF(F293=G293,1,0)</f>
        <v>0</v>
      </c>
      <c r="I293">
        <f>H293*INDEX(Question_Bank!$M$3:$M$14,MATCH(D293,Question_Bank!$A$3:$A$14,0))</f>
        <v>0</v>
      </c>
      <c r="J293">
        <f>SUMIFS($I$3:$I$518,$A$3:$A$518,A293)</f>
        <v>0</v>
      </c>
      <c r="K293" s="5">
        <f>J293/SUM(Question_Bank!$M$3:$M$14)</f>
        <v>0</v>
      </c>
      <c r="L293" s="5">
        <f>SUMIFS($I$3:$I$518,$A$3:$A$518,A293,$E$3:$E$518,E293)/SUMIFS(Question_Bank!$M$3:$M$14,Question_Bank!$B$3:$B$14,E293)</f>
        <v>0</v>
      </c>
      <c r="M293" t="s">
        <v>312</v>
      </c>
    </row>
    <row r="294" spans="1:13">
      <c r="A294" t="s">
        <v>311</v>
      </c>
      <c r="B294" t="s">
        <v>263</v>
      </c>
      <c r="C294" t="s">
        <v>227</v>
      </c>
      <c r="D294" t="s">
        <v>45</v>
      </c>
      <c r="E294" t="s">
        <v>46</v>
      </c>
      <c r="F294" t="s">
        <v>31</v>
      </c>
      <c r="G294">
        <f>INDEX(Question_Bank!$J$3:$J$14,MATCH(D294,Question_Bank!$A$3:$A$14,0))</f>
        <v>0</v>
      </c>
      <c r="H294">
        <f>IF(F294=G294,1,0)</f>
        <v>0</v>
      </c>
      <c r="I294">
        <f>H294*INDEX(Question_Bank!$M$3:$M$14,MATCH(D294,Question_Bank!$A$3:$A$14,0))</f>
        <v>0</v>
      </c>
      <c r="J294">
        <f>SUMIFS($I$3:$I$518,$A$3:$A$518,A294)</f>
        <v>0</v>
      </c>
      <c r="K294" s="5">
        <f>J294/SUM(Question_Bank!$M$3:$M$14)</f>
        <v>0</v>
      </c>
      <c r="L294" s="5">
        <f>SUMIFS($I$3:$I$518,$A$3:$A$518,A294,$E$3:$E$518,E294)/SUMIFS(Question_Bank!$M$3:$M$14,Question_Bank!$B$3:$B$14,E294)</f>
        <v>0</v>
      </c>
      <c r="M294" t="s">
        <v>312</v>
      </c>
    </row>
    <row r="295" spans="1:13">
      <c r="A295" t="s">
        <v>311</v>
      </c>
      <c r="B295" t="s">
        <v>263</v>
      </c>
      <c r="C295" t="s">
        <v>227</v>
      </c>
      <c r="D295" t="s">
        <v>54</v>
      </c>
      <c r="E295" t="s">
        <v>46</v>
      </c>
      <c r="F295" t="s">
        <v>23</v>
      </c>
      <c r="G295">
        <f>INDEX(Question_Bank!$J$3:$J$14,MATCH(D295,Question_Bank!$A$3:$A$14,0))</f>
        <v>0</v>
      </c>
      <c r="H295">
        <f>IF(F295=G295,1,0)</f>
        <v>0</v>
      </c>
      <c r="I295">
        <f>H295*INDEX(Question_Bank!$M$3:$M$14,MATCH(D295,Question_Bank!$A$3:$A$14,0))</f>
        <v>0</v>
      </c>
      <c r="J295">
        <f>SUMIFS($I$3:$I$518,$A$3:$A$518,A295)</f>
        <v>0</v>
      </c>
      <c r="K295" s="5">
        <f>J295/SUM(Question_Bank!$M$3:$M$14)</f>
        <v>0</v>
      </c>
      <c r="L295" s="5">
        <f>SUMIFS($I$3:$I$518,$A$3:$A$518,A295,$E$3:$E$518,E295)/SUMIFS(Question_Bank!$M$3:$M$14,Question_Bank!$B$3:$B$14,E295)</f>
        <v>0</v>
      </c>
      <c r="M295" t="s">
        <v>312</v>
      </c>
    </row>
    <row r="296" spans="1:13">
      <c r="A296" t="s">
        <v>311</v>
      </c>
      <c r="B296" t="s">
        <v>263</v>
      </c>
      <c r="C296" t="s">
        <v>227</v>
      </c>
      <c r="D296" t="s">
        <v>62</v>
      </c>
      <c r="E296" t="s">
        <v>46</v>
      </c>
      <c r="F296" t="s">
        <v>34</v>
      </c>
      <c r="G296">
        <f>INDEX(Question_Bank!$J$3:$J$14,MATCH(D296,Question_Bank!$A$3:$A$14,0))</f>
        <v>0</v>
      </c>
      <c r="H296">
        <f>IF(F296=G296,1,0)</f>
        <v>0</v>
      </c>
      <c r="I296">
        <f>H296*INDEX(Question_Bank!$M$3:$M$14,MATCH(D296,Question_Bank!$A$3:$A$14,0))</f>
        <v>0</v>
      </c>
      <c r="J296">
        <f>SUMIFS($I$3:$I$518,$A$3:$A$518,A296)</f>
        <v>0</v>
      </c>
      <c r="K296" s="5">
        <f>J296/SUM(Question_Bank!$M$3:$M$14)</f>
        <v>0</v>
      </c>
      <c r="L296" s="5">
        <f>SUMIFS($I$3:$I$518,$A$3:$A$518,A296,$E$3:$E$518,E296)/SUMIFS(Question_Bank!$M$3:$M$14,Question_Bank!$B$3:$B$14,E296)</f>
        <v>0</v>
      </c>
      <c r="M296" t="s">
        <v>312</v>
      </c>
    </row>
    <row r="297" spans="1:13">
      <c r="A297" t="s">
        <v>311</v>
      </c>
      <c r="B297" t="s">
        <v>263</v>
      </c>
      <c r="C297" t="s">
        <v>227</v>
      </c>
      <c r="D297" t="s">
        <v>70</v>
      </c>
      <c r="E297" t="s">
        <v>71</v>
      </c>
      <c r="F297" t="s">
        <v>20</v>
      </c>
      <c r="G297">
        <f>INDEX(Question_Bank!$J$3:$J$14,MATCH(D297,Question_Bank!$A$3:$A$14,0))</f>
        <v>0</v>
      </c>
      <c r="H297">
        <f>IF(F297=G297,1,0)</f>
        <v>0</v>
      </c>
      <c r="I297">
        <f>H297*INDEX(Question_Bank!$M$3:$M$14,MATCH(D297,Question_Bank!$A$3:$A$14,0))</f>
        <v>0</v>
      </c>
      <c r="J297">
        <f>SUMIFS($I$3:$I$518,$A$3:$A$518,A297)</f>
        <v>0</v>
      </c>
      <c r="K297" s="5">
        <f>J297/SUM(Question_Bank!$M$3:$M$14)</f>
        <v>0</v>
      </c>
      <c r="L297" s="5">
        <f>SUMIFS($I$3:$I$518,$A$3:$A$518,A297,$E$3:$E$518,E297)/SUMIFS(Question_Bank!$M$3:$M$14,Question_Bank!$B$3:$B$14,E297)</f>
        <v>0</v>
      </c>
      <c r="M297" t="s">
        <v>312</v>
      </c>
    </row>
    <row r="298" spans="1:13">
      <c r="A298" t="s">
        <v>311</v>
      </c>
      <c r="B298" t="s">
        <v>263</v>
      </c>
      <c r="C298" t="s">
        <v>227</v>
      </c>
      <c r="D298" t="s">
        <v>79</v>
      </c>
      <c r="E298" t="s">
        <v>71</v>
      </c>
      <c r="F298" t="s">
        <v>31</v>
      </c>
      <c r="G298">
        <f>INDEX(Question_Bank!$J$3:$J$14,MATCH(D298,Question_Bank!$A$3:$A$14,0))</f>
        <v>0</v>
      </c>
      <c r="H298">
        <f>IF(F298=G298,1,0)</f>
        <v>0</v>
      </c>
      <c r="I298">
        <f>H298*INDEX(Question_Bank!$M$3:$M$14,MATCH(D298,Question_Bank!$A$3:$A$14,0))</f>
        <v>0</v>
      </c>
      <c r="J298">
        <f>SUMIFS($I$3:$I$518,$A$3:$A$518,A298)</f>
        <v>0</v>
      </c>
      <c r="K298" s="5">
        <f>J298/SUM(Question_Bank!$M$3:$M$14)</f>
        <v>0</v>
      </c>
      <c r="L298" s="5">
        <f>SUMIFS($I$3:$I$518,$A$3:$A$518,A298,$E$3:$E$518,E298)/SUMIFS(Question_Bank!$M$3:$M$14,Question_Bank!$B$3:$B$14,E298)</f>
        <v>0</v>
      </c>
      <c r="M298" t="s">
        <v>312</v>
      </c>
    </row>
    <row r="299" spans="1:13">
      <c r="A299" t="s">
        <v>311</v>
      </c>
      <c r="B299" t="s">
        <v>263</v>
      </c>
      <c r="C299" t="s">
        <v>227</v>
      </c>
      <c r="D299" t="s">
        <v>87</v>
      </c>
      <c r="E299" t="s">
        <v>71</v>
      </c>
      <c r="F299" t="s">
        <v>23</v>
      </c>
      <c r="G299">
        <f>INDEX(Question_Bank!$J$3:$J$14,MATCH(D299,Question_Bank!$A$3:$A$14,0))</f>
        <v>0</v>
      </c>
      <c r="H299">
        <f>IF(F299=G299,1,0)</f>
        <v>0</v>
      </c>
      <c r="I299">
        <f>H299*INDEX(Question_Bank!$M$3:$M$14,MATCH(D299,Question_Bank!$A$3:$A$14,0))</f>
        <v>0</v>
      </c>
      <c r="J299">
        <f>SUMIFS($I$3:$I$518,$A$3:$A$518,A299)</f>
        <v>0</v>
      </c>
      <c r="K299" s="5">
        <f>J299/SUM(Question_Bank!$M$3:$M$14)</f>
        <v>0</v>
      </c>
      <c r="L299" s="5">
        <f>SUMIFS($I$3:$I$518,$A$3:$A$518,A299,$E$3:$E$518,E299)/SUMIFS(Question_Bank!$M$3:$M$14,Question_Bank!$B$3:$B$14,E299)</f>
        <v>0</v>
      </c>
      <c r="M299" t="s">
        <v>312</v>
      </c>
    </row>
    <row r="300" spans="1:13">
      <c r="A300" t="s">
        <v>311</v>
      </c>
      <c r="B300" t="s">
        <v>263</v>
      </c>
      <c r="C300" t="s">
        <v>227</v>
      </c>
      <c r="D300" t="s">
        <v>95</v>
      </c>
      <c r="E300" t="s">
        <v>96</v>
      </c>
      <c r="F300" t="s">
        <v>34</v>
      </c>
      <c r="G300">
        <f>INDEX(Question_Bank!$J$3:$J$14,MATCH(D300,Question_Bank!$A$3:$A$14,0))</f>
        <v>0</v>
      </c>
      <c r="H300">
        <f>IF(F300=G300,1,0)</f>
        <v>0</v>
      </c>
      <c r="I300">
        <f>H300*INDEX(Question_Bank!$M$3:$M$14,MATCH(D300,Question_Bank!$A$3:$A$14,0))</f>
        <v>0</v>
      </c>
      <c r="J300">
        <f>SUMIFS($I$3:$I$518,$A$3:$A$518,A300)</f>
        <v>0</v>
      </c>
      <c r="K300" s="5">
        <f>J300/SUM(Question_Bank!$M$3:$M$14)</f>
        <v>0</v>
      </c>
      <c r="L300" s="5">
        <f>SUMIFS($I$3:$I$518,$A$3:$A$518,A300,$E$3:$E$518,E300)/SUMIFS(Question_Bank!$M$3:$M$14,Question_Bank!$B$3:$B$14,E300)</f>
        <v>0</v>
      </c>
      <c r="M300" t="s">
        <v>312</v>
      </c>
    </row>
    <row r="301" spans="1:13">
      <c r="A301" t="s">
        <v>311</v>
      </c>
      <c r="B301" t="s">
        <v>263</v>
      </c>
      <c r="C301" t="s">
        <v>227</v>
      </c>
      <c r="D301" t="s">
        <v>104</v>
      </c>
      <c r="E301" t="s">
        <v>96</v>
      </c>
      <c r="F301" t="s">
        <v>20</v>
      </c>
      <c r="G301">
        <f>INDEX(Question_Bank!$J$3:$J$14,MATCH(D301,Question_Bank!$A$3:$A$14,0))</f>
        <v>0</v>
      </c>
      <c r="H301">
        <f>IF(F301=G301,1,0)</f>
        <v>0</v>
      </c>
      <c r="I301">
        <f>H301*INDEX(Question_Bank!$M$3:$M$14,MATCH(D301,Question_Bank!$A$3:$A$14,0))</f>
        <v>0</v>
      </c>
      <c r="J301">
        <f>SUMIFS($I$3:$I$518,$A$3:$A$518,A301)</f>
        <v>0</v>
      </c>
      <c r="K301" s="5">
        <f>J301/SUM(Question_Bank!$M$3:$M$14)</f>
        <v>0</v>
      </c>
      <c r="L301" s="5">
        <f>SUMIFS($I$3:$I$518,$A$3:$A$518,A301,$E$3:$E$518,E301)/SUMIFS(Question_Bank!$M$3:$M$14,Question_Bank!$B$3:$B$14,E301)</f>
        <v>0</v>
      </c>
      <c r="M301" t="s">
        <v>312</v>
      </c>
    </row>
    <row r="302" spans="1:13">
      <c r="A302" t="s">
        <v>311</v>
      </c>
      <c r="B302" t="s">
        <v>263</v>
      </c>
      <c r="C302" t="s">
        <v>227</v>
      </c>
      <c r="D302" t="s">
        <v>112</v>
      </c>
      <c r="E302" t="s">
        <v>96</v>
      </c>
      <c r="F302" t="s">
        <v>31</v>
      </c>
      <c r="G302">
        <f>INDEX(Question_Bank!$J$3:$J$14,MATCH(D302,Question_Bank!$A$3:$A$14,0))</f>
        <v>0</v>
      </c>
      <c r="H302">
        <f>IF(F302=G302,1,0)</f>
        <v>0</v>
      </c>
      <c r="I302">
        <f>H302*INDEX(Question_Bank!$M$3:$M$14,MATCH(D302,Question_Bank!$A$3:$A$14,0))</f>
        <v>0</v>
      </c>
      <c r="J302">
        <f>SUMIFS($I$3:$I$518,$A$3:$A$518,A302)</f>
        <v>0</v>
      </c>
      <c r="K302" s="5">
        <f>J302/SUM(Question_Bank!$M$3:$M$14)</f>
        <v>0</v>
      </c>
      <c r="L302" s="5">
        <f>SUMIFS($I$3:$I$518,$A$3:$A$518,A302,$E$3:$E$518,E302)/SUMIFS(Question_Bank!$M$3:$M$14,Question_Bank!$B$3:$B$14,E302)</f>
        <v>0</v>
      </c>
      <c r="M302" t="s">
        <v>312</v>
      </c>
    </row>
    <row r="303" spans="1:13">
      <c r="A303" t="s">
        <v>313</v>
      </c>
      <c r="B303" t="s">
        <v>263</v>
      </c>
      <c r="C303" t="s">
        <v>227</v>
      </c>
      <c r="D303" t="s">
        <v>14</v>
      </c>
      <c r="E303" t="s">
        <v>15</v>
      </c>
      <c r="F303" t="s">
        <v>23</v>
      </c>
      <c r="G303">
        <f>INDEX(Question_Bank!$J$3:$J$14,MATCH(D303,Question_Bank!$A$3:$A$14,0))</f>
        <v>0</v>
      </c>
      <c r="H303">
        <f>IF(F303=G303,1,0)</f>
        <v>0</v>
      </c>
      <c r="I303">
        <f>H303*INDEX(Question_Bank!$M$3:$M$14,MATCH(D303,Question_Bank!$A$3:$A$14,0))</f>
        <v>0</v>
      </c>
      <c r="J303">
        <f>SUMIFS($I$3:$I$518,$A$3:$A$518,A303)</f>
        <v>0</v>
      </c>
      <c r="K303" s="5">
        <f>J303/SUM(Question_Bank!$M$3:$M$14)</f>
        <v>0</v>
      </c>
      <c r="L303" s="5">
        <f>SUMIFS($I$3:$I$518,$A$3:$A$518,A303,$E$3:$E$518,E303)/SUMIFS(Question_Bank!$M$3:$M$14,Question_Bank!$B$3:$B$14,E303)</f>
        <v>0</v>
      </c>
      <c r="M303" t="s">
        <v>314</v>
      </c>
    </row>
    <row r="304" spans="1:13">
      <c r="A304" t="s">
        <v>313</v>
      </c>
      <c r="B304" t="s">
        <v>263</v>
      </c>
      <c r="C304" t="s">
        <v>227</v>
      </c>
      <c r="D304" t="s">
        <v>26</v>
      </c>
      <c r="E304" t="s">
        <v>15</v>
      </c>
      <c r="F304" t="s">
        <v>34</v>
      </c>
      <c r="G304">
        <f>INDEX(Question_Bank!$J$3:$J$14,MATCH(D304,Question_Bank!$A$3:$A$14,0))</f>
        <v>0</v>
      </c>
      <c r="H304">
        <f>IF(F304=G304,1,0)</f>
        <v>0</v>
      </c>
      <c r="I304">
        <f>H304*INDEX(Question_Bank!$M$3:$M$14,MATCH(D304,Question_Bank!$A$3:$A$14,0))</f>
        <v>0</v>
      </c>
      <c r="J304">
        <f>SUMIFS($I$3:$I$518,$A$3:$A$518,A304)</f>
        <v>0</v>
      </c>
      <c r="K304" s="5">
        <f>J304/SUM(Question_Bank!$M$3:$M$14)</f>
        <v>0</v>
      </c>
      <c r="L304" s="5">
        <f>SUMIFS($I$3:$I$518,$A$3:$A$518,A304,$E$3:$E$518,E304)/SUMIFS(Question_Bank!$M$3:$M$14,Question_Bank!$B$3:$B$14,E304)</f>
        <v>0</v>
      </c>
      <c r="M304" t="s">
        <v>314</v>
      </c>
    </row>
    <row r="305" spans="1:13">
      <c r="A305" t="s">
        <v>313</v>
      </c>
      <c r="B305" t="s">
        <v>263</v>
      </c>
      <c r="C305" t="s">
        <v>227</v>
      </c>
      <c r="D305" t="s">
        <v>37</v>
      </c>
      <c r="E305" t="s">
        <v>15</v>
      </c>
      <c r="F305" t="s">
        <v>20</v>
      </c>
      <c r="G305">
        <f>INDEX(Question_Bank!$J$3:$J$14,MATCH(D305,Question_Bank!$A$3:$A$14,0))</f>
        <v>0</v>
      </c>
      <c r="H305">
        <f>IF(F305=G305,1,0)</f>
        <v>0</v>
      </c>
      <c r="I305">
        <f>H305*INDEX(Question_Bank!$M$3:$M$14,MATCH(D305,Question_Bank!$A$3:$A$14,0))</f>
        <v>0</v>
      </c>
      <c r="J305">
        <f>SUMIFS($I$3:$I$518,$A$3:$A$518,A305)</f>
        <v>0</v>
      </c>
      <c r="K305" s="5">
        <f>J305/SUM(Question_Bank!$M$3:$M$14)</f>
        <v>0</v>
      </c>
      <c r="L305" s="5">
        <f>SUMIFS($I$3:$I$518,$A$3:$A$518,A305,$E$3:$E$518,E305)/SUMIFS(Question_Bank!$M$3:$M$14,Question_Bank!$B$3:$B$14,E305)</f>
        <v>0</v>
      </c>
      <c r="M305" t="s">
        <v>314</v>
      </c>
    </row>
    <row r="306" spans="1:13">
      <c r="A306" t="s">
        <v>313</v>
      </c>
      <c r="B306" t="s">
        <v>263</v>
      </c>
      <c r="C306" t="s">
        <v>227</v>
      </c>
      <c r="D306" t="s">
        <v>45</v>
      </c>
      <c r="E306" t="s">
        <v>46</v>
      </c>
      <c r="F306" t="s">
        <v>31</v>
      </c>
      <c r="G306">
        <f>INDEX(Question_Bank!$J$3:$J$14,MATCH(D306,Question_Bank!$A$3:$A$14,0))</f>
        <v>0</v>
      </c>
      <c r="H306">
        <f>IF(F306=G306,1,0)</f>
        <v>0</v>
      </c>
      <c r="I306">
        <f>H306*INDEX(Question_Bank!$M$3:$M$14,MATCH(D306,Question_Bank!$A$3:$A$14,0))</f>
        <v>0</v>
      </c>
      <c r="J306">
        <f>SUMIFS($I$3:$I$518,$A$3:$A$518,A306)</f>
        <v>0</v>
      </c>
      <c r="K306" s="5">
        <f>J306/SUM(Question_Bank!$M$3:$M$14)</f>
        <v>0</v>
      </c>
      <c r="L306" s="5">
        <f>SUMIFS($I$3:$I$518,$A$3:$A$518,A306,$E$3:$E$518,E306)/SUMIFS(Question_Bank!$M$3:$M$14,Question_Bank!$B$3:$B$14,E306)</f>
        <v>0</v>
      </c>
      <c r="M306" t="s">
        <v>314</v>
      </c>
    </row>
    <row r="307" spans="1:13">
      <c r="A307" t="s">
        <v>313</v>
      </c>
      <c r="B307" t="s">
        <v>263</v>
      </c>
      <c r="C307" t="s">
        <v>227</v>
      </c>
      <c r="D307" t="s">
        <v>54</v>
      </c>
      <c r="E307" t="s">
        <v>46</v>
      </c>
      <c r="F307" t="s">
        <v>34</v>
      </c>
      <c r="G307">
        <f>INDEX(Question_Bank!$J$3:$J$14,MATCH(D307,Question_Bank!$A$3:$A$14,0))</f>
        <v>0</v>
      </c>
      <c r="H307">
        <f>IF(F307=G307,1,0)</f>
        <v>0</v>
      </c>
      <c r="I307">
        <f>H307*INDEX(Question_Bank!$M$3:$M$14,MATCH(D307,Question_Bank!$A$3:$A$14,0))</f>
        <v>0</v>
      </c>
      <c r="J307">
        <f>SUMIFS($I$3:$I$518,$A$3:$A$518,A307)</f>
        <v>0</v>
      </c>
      <c r="K307" s="5">
        <f>J307/SUM(Question_Bank!$M$3:$M$14)</f>
        <v>0</v>
      </c>
      <c r="L307" s="5">
        <f>SUMIFS($I$3:$I$518,$A$3:$A$518,A307,$E$3:$E$518,E307)/SUMIFS(Question_Bank!$M$3:$M$14,Question_Bank!$B$3:$B$14,E307)</f>
        <v>0</v>
      </c>
      <c r="M307" t="s">
        <v>314</v>
      </c>
    </row>
    <row r="308" spans="1:13">
      <c r="A308" t="s">
        <v>313</v>
      </c>
      <c r="B308" t="s">
        <v>263</v>
      </c>
      <c r="C308" t="s">
        <v>227</v>
      </c>
      <c r="D308" t="s">
        <v>62</v>
      </c>
      <c r="E308" t="s">
        <v>46</v>
      </c>
      <c r="F308" t="s">
        <v>34</v>
      </c>
      <c r="G308">
        <f>INDEX(Question_Bank!$J$3:$J$14,MATCH(D308,Question_Bank!$A$3:$A$14,0))</f>
        <v>0</v>
      </c>
      <c r="H308">
        <f>IF(F308=G308,1,0)</f>
        <v>0</v>
      </c>
      <c r="I308">
        <f>H308*INDEX(Question_Bank!$M$3:$M$14,MATCH(D308,Question_Bank!$A$3:$A$14,0))</f>
        <v>0</v>
      </c>
      <c r="J308">
        <f>SUMIFS($I$3:$I$518,$A$3:$A$518,A308)</f>
        <v>0</v>
      </c>
      <c r="K308" s="5">
        <f>J308/SUM(Question_Bank!$M$3:$M$14)</f>
        <v>0</v>
      </c>
      <c r="L308" s="5">
        <f>SUMIFS($I$3:$I$518,$A$3:$A$518,A308,$E$3:$E$518,E308)/SUMIFS(Question_Bank!$M$3:$M$14,Question_Bank!$B$3:$B$14,E308)</f>
        <v>0</v>
      </c>
      <c r="M308" t="s">
        <v>314</v>
      </c>
    </row>
    <row r="309" spans="1:13">
      <c r="A309" t="s">
        <v>313</v>
      </c>
      <c r="B309" t="s">
        <v>263</v>
      </c>
      <c r="C309" t="s">
        <v>227</v>
      </c>
      <c r="D309" t="s">
        <v>70</v>
      </c>
      <c r="E309" t="s">
        <v>71</v>
      </c>
      <c r="F309" t="s">
        <v>20</v>
      </c>
      <c r="G309">
        <f>INDEX(Question_Bank!$J$3:$J$14,MATCH(D309,Question_Bank!$A$3:$A$14,0))</f>
        <v>0</v>
      </c>
      <c r="H309">
        <f>IF(F309=G309,1,0)</f>
        <v>0</v>
      </c>
      <c r="I309">
        <f>H309*INDEX(Question_Bank!$M$3:$M$14,MATCH(D309,Question_Bank!$A$3:$A$14,0))</f>
        <v>0</v>
      </c>
      <c r="J309">
        <f>SUMIFS($I$3:$I$518,$A$3:$A$518,A309)</f>
        <v>0</v>
      </c>
      <c r="K309" s="5">
        <f>J309/SUM(Question_Bank!$M$3:$M$14)</f>
        <v>0</v>
      </c>
      <c r="L309" s="5">
        <f>SUMIFS($I$3:$I$518,$A$3:$A$518,A309,$E$3:$E$518,E309)/SUMIFS(Question_Bank!$M$3:$M$14,Question_Bank!$B$3:$B$14,E309)</f>
        <v>0</v>
      </c>
      <c r="M309" t="s">
        <v>314</v>
      </c>
    </row>
    <row r="310" spans="1:13">
      <c r="A310" t="s">
        <v>313</v>
      </c>
      <c r="B310" t="s">
        <v>263</v>
      </c>
      <c r="C310" t="s">
        <v>227</v>
      </c>
      <c r="D310" t="s">
        <v>79</v>
      </c>
      <c r="E310" t="s">
        <v>71</v>
      </c>
      <c r="F310" t="s">
        <v>31</v>
      </c>
      <c r="G310">
        <f>INDEX(Question_Bank!$J$3:$J$14,MATCH(D310,Question_Bank!$A$3:$A$14,0))</f>
        <v>0</v>
      </c>
      <c r="H310">
        <f>IF(F310=G310,1,0)</f>
        <v>0</v>
      </c>
      <c r="I310">
        <f>H310*INDEX(Question_Bank!$M$3:$M$14,MATCH(D310,Question_Bank!$A$3:$A$14,0))</f>
        <v>0</v>
      </c>
      <c r="J310">
        <f>SUMIFS($I$3:$I$518,$A$3:$A$518,A310)</f>
        <v>0</v>
      </c>
      <c r="K310" s="5">
        <f>J310/SUM(Question_Bank!$M$3:$M$14)</f>
        <v>0</v>
      </c>
      <c r="L310" s="5">
        <f>SUMIFS($I$3:$I$518,$A$3:$A$518,A310,$E$3:$E$518,E310)/SUMIFS(Question_Bank!$M$3:$M$14,Question_Bank!$B$3:$B$14,E310)</f>
        <v>0</v>
      </c>
      <c r="M310" t="s">
        <v>314</v>
      </c>
    </row>
    <row r="311" spans="1:13">
      <c r="A311" t="s">
        <v>313</v>
      </c>
      <c r="B311" t="s">
        <v>263</v>
      </c>
      <c r="C311" t="s">
        <v>227</v>
      </c>
      <c r="D311" t="s">
        <v>87</v>
      </c>
      <c r="E311" t="s">
        <v>71</v>
      </c>
      <c r="F311" t="s">
        <v>23</v>
      </c>
      <c r="G311">
        <f>INDEX(Question_Bank!$J$3:$J$14,MATCH(D311,Question_Bank!$A$3:$A$14,0))</f>
        <v>0</v>
      </c>
      <c r="H311">
        <f>IF(F311=G311,1,0)</f>
        <v>0</v>
      </c>
      <c r="I311">
        <f>H311*INDEX(Question_Bank!$M$3:$M$14,MATCH(D311,Question_Bank!$A$3:$A$14,0))</f>
        <v>0</v>
      </c>
      <c r="J311">
        <f>SUMIFS($I$3:$I$518,$A$3:$A$518,A311)</f>
        <v>0</v>
      </c>
      <c r="K311" s="5">
        <f>J311/SUM(Question_Bank!$M$3:$M$14)</f>
        <v>0</v>
      </c>
      <c r="L311" s="5">
        <f>SUMIFS($I$3:$I$518,$A$3:$A$518,A311,$E$3:$E$518,E311)/SUMIFS(Question_Bank!$M$3:$M$14,Question_Bank!$B$3:$B$14,E311)</f>
        <v>0</v>
      </c>
      <c r="M311" t="s">
        <v>314</v>
      </c>
    </row>
    <row r="312" spans="1:13">
      <c r="A312" t="s">
        <v>313</v>
      </c>
      <c r="B312" t="s">
        <v>263</v>
      </c>
      <c r="C312" t="s">
        <v>227</v>
      </c>
      <c r="D312" t="s">
        <v>95</v>
      </c>
      <c r="E312" t="s">
        <v>96</v>
      </c>
      <c r="F312" t="s">
        <v>34</v>
      </c>
      <c r="G312">
        <f>INDEX(Question_Bank!$J$3:$J$14,MATCH(D312,Question_Bank!$A$3:$A$14,0))</f>
        <v>0</v>
      </c>
      <c r="H312">
        <f>IF(F312=G312,1,0)</f>
        <v>0</v>
      </c>
      <c r="I312">
        <f>H312*INDEX(Question_Bank!$M$3:$M$14,MATCH(D312,Question_Bank!$A$3:$A$14,0))</f>
        <v>0</v>
      </c>
      <c r="J312">
        <f>SUMIFS($I$3:$I$518,$A$3:$A$518,A312)</f>
        <v>0</v>
      </c>
      <c r="K312" s="5">
        <f>J312/SUM(Question_Bank!$M$3:$M$14)</f>
        <v>0</v>
      </c>
      <c r="L312" s="5">
        <f>SUMIFS($I$3:$I$518,$A$3:$A$518,A312,$E$3:$E$518,E312)/SUMIFS(Question_Bank!$M$3:$M$14,Question_Bank!$B$3:$B$14,E312)</f>
        <v>0</v>
      </c>
      <c r="M312" t="s">
        <v>314</v>
      </c>
    </row>
    <row r="313" spans="1:13">
      <c r="A313" t="s">
        <v>313</v>
      </c>
      <c r="B313" t="s">
        <v>263</v>
      </c>
      <c r="C313" t="s">
        <v>227</v>
      </c>
      <c r="D313" t="s">
        <v>104</v>
      </c>
      <c r="E313" t="s">
        <v>96</v>
      </c>
      <c r="F313" t="s">
        <v>20</v>
      </c>
      <c r="G313">
        <f>INDEX(Question_Bank!$J$3:$J$14,MATCH(D313,Question_Bank!$A$3:$A$14,0))</f>
        <v>0</v>
      </c>
      <c r="H313">
        <f>IF(F313=G313,1,0)</f>
        <v>0</v>
      </c>
      <c r="I313">
        <f>H313*INDEX(Question_Bank!$M$3:$M$14,MATCH(D313,Question_Bank!$A$3:$A$14,0))</f>
        <v>0</v>
      </c>
      <c r="J313">
        <f>SUMIFS($I$3:$I$518,$A$3:$A$518,A313)</f>
        <v>0</v>
      </c>
      <c r="K313" s="5">
        <f>J313/SUM(Question_Bank!$M$3:$M$14)</f>
        <v>0</v>
      </c>
      <c r="L313" s="5">
        <f>SUMIFS($I$3:$I$518,$A$3:$A$518,A313,$E$3:$E$518,E313)/SUMIFS(Question_Bank!$M$3:$M$14,Question_Bank!$B$3:$B$14,E313)</f>
        <v>0</v>
      </c>
      <c r="M313" t="s">
        <v>314</v>
      </c>
    </row>
    <row r="314" spans="1:13">
      <c r="A314" t="s">
        <v>313</v>
      </c>
      <c r="B314" t="s">
        <v>263</v>
      </c>
      <c r="C314" t="s">
        <v>227</v>
      </c>
      <c r="D314" t="s">
        <v>112</v>
      </c>
      <c r="E314" t="s">
        <v>96</v>
      </c>
      <c r="F314" t="s">
        <v>31</v>
      </c>
      <c r="G314">
        <f>INDEX(Question_Bank!$J$3:$J$14,MATCH(D314,Question_Bank!$A$3:$A$14,0))</f>
        <v>0</v>
      </c>
      <c r="H314">
        <f>IF(F314=G314,1,0)</f>
        <v>0</v>
      </c>
      <c r="I314">
        <f>H314*INDEX(Question_Bank!$M$3:$M$14,MATCH(D314,Question_Bank!$A$3:$A$14,0))</f>
        <v>0</v>
      </c>
      <c r="J314">
        <f>SUMIFS($I$3:$I$518,$A$3:$A$518,A314)</f>
        <v>0</v>
      </c>
      <c r="K314" s="5">
        <f>J314/SUM(Question_Bank!$M$3:$M$14)</f>
        <v>0</v>
      </c>
      <c r="L314" s="5">
        <f>SUMIFS($I$3:$I$518,$A$3:$A$518,A314,$E$3:$E$518,E314)/SUMIFS(Question_Bank!$M$3:$M$14,Question_Bank!$B$3:$B$14,E314)</f>
        <v>0</v>
      </c>
      <c r="M314" t="s">
        <v>314</v>
      </c>
    </row>
    <row r="315" spans="1:13">
      <c r="A315" t="s">
        <v>315</v>
      </c>
      <c r="B315" t="s">
        <v>263</v>
      </c>
      <c r="C315" t="s">
        <v>227</v>
      </c>
      <c r="D315" t="s">
        <v>14</v>
      </c>
      <c r="E315" t="s">
        <v>15</v>
      </c>
      <c r="F315" t="s">
        <v>23</v>
      </c>
      <c r="G315">
        <f>INDEX(Question_Bank!$J$3:$J$14,MATCH(D315,Question_Bank!$A$3:$A$14,0))</f>
        <v>0</v>
      </c>
      <c r="H315">
        <f>IF(F315=G315,1,0)</f>
        <v>0</v>
      </c>
      <c r="I315">
        <f>H315*INDEX(Question_Bank!$M$3:$M$14,MATCH(D315,Question_Bank!$A$3:$A$14,0))</f>
        <v>0</v>
      </c>
      <c r="J315">
        <f>SUMIFS($I$3:$I$518,$A$3:$A$518,A315)</f>
        <v>0</v>
      </c>
      <c r="K315" s="5">
        <f>J315/SUM(Question_Bank!$M$3:$M$14)</f>
        <v>0</v>
      </c>
      <c r="L315" s="5">
        <f>SUMIFS($I$3:$I$518,$A$3:$A$518,A315,$E$3:$E$518,E315)/SUMIFS(Question_Bank!$M$3:$M$14,Question_Bank!$B$3:$B$14,E315)</f>
        <v>0</v>
      </c>
      <c r="M315" t="s">
        <v>316</v>
      </c>
    </row>
    <row r="316" spans="1:13">
      <c r="A316" t="s">
        <v>315</v>
      </c>
      <c r="B316" t="s">
        <v>263</v>
      </c>
      <c r="C316" t="s">
        <v>227</v>
      </c>
      <c r="D316" t="s">
        <v>26</v>
      </c>
      <c r="E316" t="s">
        <v>15</v>
      </c>
      <c r="F316" t="s">
        <v>34</v>
      </c>
      <c r="G316">
        <f>INDEX(Question_Bank!$J$3:$J$14,MATCH(D316,Question_Bank!$A$3:$A$14,0))</f>
        <v>0</v>
      </c>
      <c r="H316">
        <f>IF(F316=G316,1,0)</f>
        <v>0</v>
      </c>
      <c r="I316">
        <f>H316*INDEX(Question_Bank!$M$3:$M$14,MATCH(D316,Question_Bank!$A$3:$A$14,0))</f>
        <v>0</v>
      </c>
      <c r="J316">
        <f>SUMIFS($I$3:$I$518,$A$3:$A$518,A316)</f>
        <v>0</v>
      </c>
      <c r="K316" s="5">
        <f>J316/SUM(Question_Bank!$M$3:$M$14)</f>
        <v>0</v>
      </c>
      <c r="L316" s="5">
        <f>SUMIFS($I$3:$I$518,$A$3:$A$518,A316,$E$3:$E$518,E316)/SUMIFS(Question_Bank!$M$3:$M$14,Question_Bank!$B$3:$B$14,E316)</f>
        <v>0</v>
      </c>
      <c r="M316" t="s">
        <v>316</v>
      </c>
    </row>
    <row r="317" spans="1:13">
      <c r="A317" t="s">
        <v>315</v>
      </c>
      <c r="B317" t="s">
        <v>263</v>
      </c>
      <c r="C317" t="s">
        <v>227</v>
      </c>
      <c r="D317" t="s">
        <v>37</v>
      </c>
      <c r="E317" t="s">
        <v>15</v>
      </c>
      <c r="F317" t="s">
        <v>20</v>
      </c>
      <c r="G317">
        <f>INDEX(Question_Bank!$J$3:$J$14,MATCH(D317,Question_Bank!$A$3:$A$14,0))</f>
        <v>0</v>
      </c>
      <c r="H317">
        <f>IF(F317=G317,1,0)</f>
        <v>0</v>
      </c>
      <c r="I317">
        <f>H317*INDEX(Question_Bank!$M$3:$M$14,MATCH(D317,Question_Bank!$A$3:$A$14,0))</f>
        <v>0</v>
      </c>
      <c r="J317">
        <f>SUMIFS($I$3:$I$518,$A$3:$A$518,A317)</f>
        <v>0</v>
      </c>
      <c r="K317" s="5">
        <f>J317/SUM(Question_Bank!$M$3:$M$14)</f>
        <v>0</v>
      </c>
      <c r="L317" s="5">
        <f>SUMIFS($I$3:$I$518,$A$3:$A$518,A317,$E$3:$E$518,E317)/SUMIFS(Question_Bank!$M$3:$M$14,Question_Bank!$B$3:$B$14,E317)</f>
        <v>0</v>
      </c>
      <c r="M317" t="s">
        <v>316</v>
      </c>
    </row>
    <row r="318" spans="1:13">
      <c r="A318" t="s">
        <v>315</v>
      </c>
      <c r="B318" t="s">
        <v>263</v>
      </c>
      <c r="C318" t="s">
        <v>227</v>
      </c>
      <c r="D318" t="s">
        <v>45</v>
      </c>
      <c r="E318" t="s">
        <v>46</v>
      </c>
      <c r="F318" t="s">
        <v>31</v>
      </c>
      <c r="G318">
        <f>INDEX(Question_Bank!$J$3:$J$14,MATCH(D318,Question_Bank!$A$3:$A$14,0))</f>
        <v>0</v>
      </c>
      <c r="H318">
        <f>IF(F318=G318,1,0)</f>
        <v>0</v>
      </c>
      <c r="I318">
        <f>H318*INDEX(Question_Bank!$M$3:$M$14,MATCH(D318,Question_Bank!$A$3:$A$14,0))</f>
        <v>0</v>
      </c>
      <c r="J318">
        <f>SUMIFS($I$3:$I$518,$A$3:$A$518,A318)</f>
        <v>0</v>
      </c>
      <c r="K318" s="5">
        <f>J318/SUM(Question_Bank!$M$3:$M$14)</f>
        <v>0</v>
      </c>
      <c r="L318" s="5">
        <f>SUMIFS($I$3:$I$518,$A$3:$A$518,A318,$E$3:$E$518,E318)/SUMIFS(Question_Bank!$M$3:$M$14,Question_Bank!$B$3:$B$14,E318)</f>
        <v>0</v>
      </c>
      <c r="M318" t="s">
        <v>316</v>
      </c>
    </row>
    <row r="319" spans="1:13">
      <c r="A319" t="s">
        <v>315</v>
      </c>
      <c r="B319" t="s">
        <v>263</v>
      </c>
      <c r="C319" t="s">
        <v>227</v>
      </c>
      <c r="D319" t="s">
        <v>54</v>
      </c>
      <c r="E319" t="s">
        <v>46</v>
      </c>
      <c r="F319" t="s">
        <v>23</v>
      </c>
      <c r="G319">
        <f>INDEX(Question_Bank!$J$3:$J$14,MATCH(D319,Question_Bank!$A$3:$A$14,0))</f>
        <v>0</v>
      </c>
      <c r="H319">
        <f>IF(F319=G319,1,0)</f>
        <v>0</v>
      </c>
      <c r="I319">
        <f>H319*INDEX(Question_Bank!$M$3:$M$14,MATCH(D319,Question_Bank!$A$3:$A$14,0))</f>
        <v>0</v>
      </c>
      <c r="J319">
        <f>SUMIFS($I$3:$I$518,$A$3:$A$518,A319)</f>
        <v>0</v>
      </c>
      <c r="K319" s="5">
        <f>J319/SUM(Question_Bank!$M$3:$M$14)</f>
        <v>0</v>
      </c>
      <c r="L319" s="5">
        <f>SUMIFS($I$3:$I$518,$A$3:$A$518,A319,$E$3:$E$518,E319)/SUMIFS(Question_Bank!$M$3:$M$14,Question_Bank!$B$3:$B$14,E319)</f>
        <v>0</v>
      </c>
      <c r="M319" t="s">
        <v>316</v>
      </c>
    </row>
    <row r="320" spans="1:13">
      <c r="A320" t="s">
        <v>315</v>
      </c>
      <c r="B320" t="s">
        <v>263</v>
      </c>
      <c r="C320" t="s">
        <v>227</v>
      </c>
      <c r="D320" t="s">
        <v>62</v>
      </c>
      <c r="E320" t="s">
        <v>46</v>
      </c>
      <c r="F320" t="s">
        <v>34</v>
      </c>
      <c r="G320">
        <f>INDEX(Question_Bank!$J$3:$J$14,MATCH(D320,Question_Bank!$A$3:$A$14,0))</f>
        <v>0</v>
      </c>
      <c r="H320">
        <f>IF(F320=G320,1,0)</f>
        <v>0</v>
      </c>
      <c r="I320">
        <f>H320*INDEX(Question_Bank!$M$3:$M$14,MATCH(D320,Question_Bank!$A$3:$A$14,0))</f>
        <v>0</v>
      </c>
      <c r="J320">
        <f>SUMIFS($I$3:$I$518,$A$3:$A$518,A320)</f>
        <v>0</v>
      </c>
      <c r="K320" s="5">
        <f>J320/SUM(Question_Bank!$M$3:$M$14)</f>
        <v>0</v>
      </c>
      <c r="L320" s="5">
        <f>SUMIFS($I$3:$I$518,$A$3:$A$518,A320,$E$3:$E$518,E320)/SUMIFS(Question_Bank!$M$3:$M$14,Question_Bank!$B$3:$B$14,E320)</f>
        <v>0</v>
      </c>
      <c r="M320" t="s">
        <v>316</v>
      </c>
    </row>
    <row r="321" spans="1:13">
      <c r="A321" t="s">
        <v>315</v>
      </c>
      <c r="B321" t="s">
        <v>263</v>
      </c>
      <c r="C321" t="s">
        <v>227</v>
      </c>
      <c r="D321" t="s">
        <v>70</v>
      </c>
      <c r="E321" t="s">
        <v>71</v>
      </c>
      <c r="F321" t="s">
        <v>34</v>
      </c>
      <c r="G321">
        <f>INDEX(Question_Bank!$J$3:$J$14,MATCH(D321,Question_Bank!$A$3:$A$14,0))</f>
        <v>0</v>
      </c>
      <c r="H321">
        <f>IF(F321=G321,1,0)</f>
        <v>0</v>
      </c>
      <c r="I321">
        <f>H321*INDEX(Question_Bank!$M$3:$M$14,MATCH(D321,Question_Bank!$A$3:$A$14,0))</f>
        <v>0</v>
      </c>
      <c r="J321">
        <f>SUMIFS($I$3:$I$518,$A$3:$A$518,A321)</f>
        <v>0</v>
      </c>
      <c r="K321" s="5">
        <f>J321/SUM(Question_Bank!$M$3:$M$14)</f>
        <v>0</v>
      </c>
      <c r="L321" s="5">
        <f>SUMIFS($I$3:$I$518,$A$3:$A$518,A321,$E$3:$E$518,E321)/SUMIFS(Question_Bank!$M$3:$M$14,Question_Bank!$B$3:$B$14,E321)</f>
        <v>0</v>
      </c>
      <c r="M321" t="s">
        <v>316</v>
      </c>
    </row>
    <row r="322" spans="1:13">
      <c r="A322" t="s">
        <v>315</v>
      </c>
      <c r="B322" t="s">
        <v>263</v>
      </c>
      <c r="C322" t="s">
        <v>227</v>
      </c>
      <c r="D322" t="s">
        <v>79</v>
      </c>
      <c r="E322" t="s">
        <v>71</v>
      </c>
      <c r="F322" t="s">
        <v>23</v>
      </c>
      <c r="G322">
        <f>INDEX(Question_Bank!$J$3:$J$14,MATCH(D322,Question_Bank!$A$3:$A$14,0))</f>
        <v>0</v>
      </c>
      <c r="H322">
        <f>IF(F322=G322,1,0)</f>
        <v>0</v>
      </c>
      <c r="I322">
        <f>H322*INDEX(Question_Bank!$M$3:$M$14,MATCH(D322,Question_Bank!$A$3:$A$14,0))</f>
        <v>0</v>
      </c>
      <c r="J322">
        <f>SUMIFS($I$3:$I$518,$A$3:$A$518,A322)</f>
        <v>0</v>
      </c>
      <c r="K322" s="5">
        <f>J322/SUM(Question_Bank!$M$3:$M$14)</f>
        <v>0</v>
      </c>
      <c r="L322" s="5">
        <f>SUMIFS($I$3:$I$518,$A$3:$A$518,A322,$E$3:$E$518,E322)/SUMIFS(Question_Bank!$M$3:$M$14,Question_Bank!$B$3:$B$14,E322)</f>
        <v>0</v>
      </c>
      <c r="M322" t="s">
        <v>316</v>
      </c>
    </row>
    <row r="323" spans="1:13">
      <c r="A323" t="s">
        <v>315</v>
      </c>
      <c r="B323" t="s">
        <v>263</v>
      </c>
      <c r="C323" t="s">
        <v>227</v>
      </c>
      <c r="D323" t="s">
        <v>87</v>
      </c>
      <c r="E323" t="s">
        <v>71</v>
      </c>
      <c r="F323" t="s">
        <v>23</v>
      </c>
      <c r="G323">
        <f>INDEX(Question_Bank!$J$3:$J$14,MATCH(D323,Question_Bank!$A$3:$A$14,0))</f>
        <v>0</v>
      </c>
      <c r="H323">
        <f>IF(F323=G323,1,0)</f>
        <v>0</v>
      </c>
      <c r="I323">
        <f>H323*INDEX(Question_Bank!$M$3:$M$14,MATCH(D323,Question_Bank!$A$3:$A$14,0))</f>
        <v>0</v>
      </c>
      <c r="J323">
        <f>SUMIFS($I$3:$I$518,$A$3:$A$518,A323)</f>
        <v>0</v>
      </c>
      <c r="K323" s="5">
        <f>J323/SUM(Question_Bank!$M$3:$M$14)</f>
        <v>0</v>
      </c>
      <c r="L323" s="5">
        <f>SUMIFS($I$3:$I$518,$A$3:$A$518,A323,$E$3:$E$518,E323)/SUMIFS(Question_Bank!$M$3:$M$14,Question_Bank!$B$3:$B$14,E323)</f>
        <v>0</v>
      </c>
      <c r="M323" t="s">
        <v>316</v>
      </c>
    </row>
    <row r="324" spans="1:13">
      <c r="A324" t="s">
        <v>315</v>
      </c>
      <c r="B324" t="s">
        <v>263</v>
      </c>
      <c r="C324" t="s">
        <v>227</v>
      </c>
      <c r="D324" t="s">
        <v>95</v>
      </c>
      <c r="E324" t="s">
        <v>96</v>
      </c>
      <c r="F324" t="s">
        <v>34</v>
      </c>
      <c r="G324">
        <f>INDEX(Question_Bank!$J$3:$J$14,MATCH(D324,Question_Bank!$A$3:$A$14,0))</f>
        <v>0</v>
      </c>
      <c r="H324">
        <f>IF(F324=G324,1,0)</f>
        <v>0</v>
      </c>
      <c r="I324">
        <f>H324*INDEX(Question_Bank!$M$3:$M$14,MATCH(D324,Question_Bank!$A$3:$A$14,0))</f>
        <v>0</v>
      </c>
      <c r="J324">
        <f>SUMIFS($I$3:$I$518,$A$3:$A$518,A324)</f>
        <v>0</v>
      </c>
      <c r="K324" s="5">
        <f>J324/SUM(Question_Bank!$M$3:$M$14)</f>
        <v>0</v>
      </c>
      <c r="L324" s="5">
        <f>SUMIFS($I$3:$I$518,$A$3:$A$518,A324,$E$3:$E$518,E324)/SUMIFS(Question_Bank!$M$3:$M$14,Question_Bank!$B$3:$B$14,E324)</f>
        <v>0</v>
      </c>
      <c r="M324" t="s">
        <v>316</v>
      </c>
    </row>
    <row r="325" spans="1:13">
      <c r="A325" t="s">
        <v>315</v>
      </c>
      <c r="B325" t="s">
        <v>263</v>
      </c>
      <c r="C325" t="s">
        <v>227</v>
      </c>
      <c r="D325" t="s">
        <v>104</v>
      </c>
      <c r="E325" t="s">
        <v>96</v>
      </c>
      <c r="F325" t="s">
        <v>20</v>
      </c>
      <c r="G325">
        <f>INDEX(Question_Bank!$J$3:$J$14,MATCH(D325,Question_Bank!$A$3:$A$14,0))</f>
        <v>0</v>
      </c>
      <c r="H325">
        <f>IF(F325=G325,1,0)</f>
        <v>0</v>
      </c>
      <c r="I325">
        <f>H325*INDEX(Question_Bank!$M$3:$M$14,MATCH(D325,Question_Bank!$A$3:$A$14,0))</f>
        <v>0</v>
      </c>
      <c r="J325">
        <f>SUMIFS($I$3:$I$518,$A$3:$A$518,A325)</f>
        <v>0</v>
      </c>
      <c r="K325" s="5">
        <f>J325/SUM(Question_Bank!$M$3:$M$14)</f>
        <v>0</v>
      </c>
      <c r="L325" s="5">
        <f>SUMIFS($I$3:$I$518,$A$3:$A$518,A325,$E$3:$E$518,E325)/SUMIFS(Question_Bank!$M$3:$M$14,Question_Bank!$B$3:$B$14,E325)</f>
        <v>0</v>
      </c>
      <c r="M325" t="s">
        <v>316</v>
      </c>
    </row>
    <row r="326" spans="1:13">
      <c r="A326" t="s">
        <v>315</v>
      </c>
      <c r="B326" t="s">
        <v>263</v>
      </c>
      <c r="C326" t="s">
        <v>227</v>
      </c>
      <c r="D326" t="s">
        <v>112</v>
      </c>
      <c r="E326" t="s">
        <v>96</v>
      </c>
      <c r="F326" t="s">
        <v>20</v>
      </c>
      <c r="G326">
        <f>INDEX(Question_Bank!$J$3:$J$14,MATCH(D326,Question_Bank!$A$3:$A$14,0))</f>
        <v>0</v>
      </c>
      <c r="H326">
        <f>IF(F326=G326,1,0)</f>
        <v>0</v>
      </c>
      <c r="I326">
        <f>H326*INDEX(Question_Bank!$M$3:$M$14,MATCH(D326,Question_Bank!$A$3:$A$14,0))</f>
        <v>0</v>
      </c>
      <c r="J326">
        <f>SUMIFS($I$3:$I$518,$A$3:$A$518,A326)</f>
        <v>0</v>
      </c>
      <c r="K326" s="5">
        <f>J326/SUM(Question_Bank!$M$3:$M$14)</f>
        <v>0</v>
      </c>
      <c r="L326" s="5">
        <f>SUMIFS($I$3:$I$518,$A$3:$A$518,A326,$E$3:$E$518,E326)/SUMIFS(Question_Bank!$M$3:$M$14,Question_Bank!$B$3:$B$14,E326)</f>
        <v>0</v>
      </c>
      <c r="M326" t="s">
        <v>316</v>
      </c>
    </row>
    <row r="327" spans="1:13">
      <c r="A327" t="s">
        <v>317</v>
      </c>
      <c r="B327" t="s">
        <v>263</v>
      </c>
      <c r="C327" t="s">
        <v>227</v>
      </c>
      <c r="D327" t="s">
        <v>14</v>
      </c>
      <c r="E327" t="s">
        <v>15</v>
      </c>
      <c r="F327" t="s">
        <v>23</v>
      </c>
      <c r="G327">
        <f>INDEX(Question_Bank!$J$3:$J$14,MATCH(D327,Question_Bank!$A$3:$A$14,0))</f>
        <v>0</v>
      </c>
      <c r="H327">
        <f>IF(F327=G327,1,0)</f>
        <v>0</v>
      </c>
      <c r="I327">
        <f>H327*INDEX(Question_Bank!$M$3:$M$14,MATCH(D327,Question_Bank!$A$3:$A$14,0))</f>
        <v>0</v>
      </c>
      <c r="J327">
        <f>SUMIFS($I$3:$I$518,$A$3:$A$518,A327)</f>
        <v>0</v>
      </c>
      <c r="K327" s="5">
        <f>J327/SUM(Question_Bank!$M$3:$M$14)</f>
        <v>0</v>
      </c>
      <c r="L327" s="5">
        <f>SUMIFS($I$3:$I$518,$A$3:$A$518,A327,$E$3:$E$518,E327)/SUMIFS(Question_Bank!$M$3:$M$14,Question_Bank!$B$3:$B$14,E327)</f>
        <v>0</v>
      </c>
      <c r="M327" t="s">
        <v>318</v>
      </c>
    </row>
    <row r="328" spans="1:13">
      <c r="A328" t="s">
        <v>317</v>
      </c>
      <c r="B328" t="s">
        <v>263</v>
      </c>
      <c r="C328" t="s">
        <v>227</v>
      </c>
      <c r="D328" t="s">
        <v>26</v>
      </c>
      <c r="E328" t="s">
        <v>15</v>
      </c>
      <c r="F328" t="s">
        <v>34</v>
      </c>
      <c r="G328">
        <f>INDEX(Question_Bank!$J$3:$J$14,MATCH(D328,Question_Bank!$A$3:$A$14,0))</f>
        <v>0</v>
      </c>
      <c r="H328">
        <f>IF(F328=G328,1,0)</f>
        <v>0</v>
      </c>
      <c r="I328">
        <f>H328*INDEX(Question_Bank!$M$3:$M$14,MATCH(D328,Question_Bank!$A$3:$A$14,0))</f>
        <v>0</v>
      </c>
      <c r="J328">
        <f>SUMIFS($I$3:$I$518,$A$3:$A$518,A328)</f>
        <v>0</v>
      </c>
      <c r="K328" s="5">
        <f>J328/SUM(Question_Bank!$M$3:$M$14)</f>
        <v>0</v>
      </c>
      <c r="L328" s="5">
        <f>SUMIFS($I$3:$I$518,$A$3:$A$518,A328,$E$3:$E$518,E328)/SUMIFS(Question_Bank!$M$3:$M$14,Question_Bank!$B$3:$B$14,E328)</f>
        <v>0</v>
      </c>
      <c r="M328" t="s">
        <v>318</v>
      </c>
    </row>
    <row r="329" spans="1:13">
      <c r="A329" t="s">
        <v>317</v>
      </c>
      <c r="B329" t="s">
        <v>263</v>
      </c>
      <c r="C329" t="s">
        <v>227</v>
      </c>
      <c r="D329" t="s">
        <v>37</v>
      </c>
      <c r="E329" t="s">
        <v>15</v>
      </c>
      <c r="F329" t="s">
        <v>20</v>
      </c>
      <c r="G329">
        <f>INDEX(Question_Bank!$J$3:$J$14,MATCH(D329,Question_Bank!$A$3:$A$14,0))</f>
        <v>0</v>
      </c>
      <c r="H329">
        <f>IF(F329=G329,1,0)</f>
        <v>0</v>
      </c>
      <c r="I329">
        <f>H329*INDEX(Question_Bank!$M$3:$M$14,MATCH(D329,Question_Bank!$A$3:$A$14,0))</f>
        <v>0</v>
      </c>
      <c r="J329">
        <f>SUMIFS($I$3:$I$518,$A$3:$A$518,A329)</f>
        <v>0</v>
      </c>
      <c r="K329" s="5">
        <f>J329/SUM(Question_Bank!$M$3:$M$14)</f>
        <v>0</v>
      </c>
      <c r="L329" s="5">
        <f>SUMIFS($I$3:$I$518,$A$3:$A$518,A329,$E$3:$E$518,E329)/SUMIFS(Question_Bank!$M$3:$M$14,Question_Bank!$B$3:$B$14,E329)</f>
        <v>0</v>
      </c>
      <c r="M329" t="s">
        <v>318</v>
      </c>
    </row>
    <row r="330" spans="1:13">
      <c r="A330" t="s">
        <v>317</v>
      </c>
      <c r="B330" t="s">
        <v>263</v>
      </c>
      <c r="C330" t="s">
        <v>227</v>
      </c>
      <c r="D330" t="s">
        <v>45</v>
      </c>
      <c r="E330" t="s">
        <v>46</v>
      </c>
      <c r="F330" t="s">
        <v>31</v>
      </c>
      <c r="G330">
        <f>INDEX(Question_Bank!$J$3:$J$14,MATCH(D330,Question_Bank!$A$3:$A$14,0))</f>
        <v>0</v>
      </c>
      <c r="H330">
        <f>IF(F330=G330,1,0)</f>
        <v>0</v>
      </c>
      <c r="I330">
        <f>H330*INDEX(Question_Bank!$M$3:$M$14,MATCH(D330,Question_Bank!$A$3:$A$14,0))</f>
        <v>0</v>
      </c>
      <c r="J330">
        <f>SUMIFS($I$3:$I$518,$A$3:$A$518,A330)</f>
        <v>0</v>
      </c>
      <c r="K330" s="5">
        <f>J330/SUM(Question_Bank!$M$3:$M$14)</f>
        <v>0</v>
      </c>
      <c r="L330" s="5">
        <f>SUMIFS($I$3:$I$518,$A$3:$A$518,A330,$E$3:$E$518,E330)/SUMIFS(Question_Bank!$M$3:$M$14,Question_Bank!$B$3:$B$14,E330)</f>
        <v>0</v>
      </c>
      <c r="M330" t="s">
        <v>318</v>
      </c>
    </row>
    <row r="331" spans="1:13">
      <c r="A331" t="s">
        <v>317</v>
      </c>
      <c r="B331" t="s">
        <v>263</v>
      </c>
      <c r="C331" t="s">
        <v>227</v>
      </c>
      <c r="D331" t="s">
        <v>54</v>
      </c>
      <c r="E331" t="s">
        <v>46</v>
      </c>
      <c r="F331" t="s">
        <v>23</v>
      </c>
      <c r="G331">
        <f>INDEX(Question_Bank!$J$3:$J$14,MATCH(D331,Question_Bank!$A$3:$A$14,0))</f>
        <v>0</v>
      </c>
      <c r="H331">
        <f>IF(F331=G331,1,0)</f>
        <v>0</v>
      </c>
      <c r="I331">
        <f>H331*INDEX(Question_Bank!$M$3:$M$14,MATCH(D331,Question_Bank!$A$3:$A$14,0))</f>
        <v>0</v>
      </c>
      <c r="J331">
        <f>SUMIFS($I$3:$I$518,$A$3:$A$518,A331)</f>
        <v>0</v>
      </c>
      <c r="K331" s="5">
        <f>J331/SUM(Question_Bank!$M$3:$M$14)</f>
        <v>0</v>
      </c>
      <c r="L331" s="5">
        <f>SUMIFS($I$3:$I$518,$A$3:$A$518,A331,$E$3:$E$518,E331)/SUMIFS(Question_Bank!$M$3:$M$14,Question_Bank!$B$3:$B$14,E331)</f>
        <v>0</v>
      </c>
      <c r="M331" t="s">
        <v>318</v>
      </c>
    </row>
    <row r="332" spans="1:13">
      <c r="A332" t="s">
        <v>317</v>
      </c>
      <c r="B332" t="s">
        <v>263</v>
      </c>
      <c r="C332" t="s">
        <v>227</v>
      </c>
      <c r="D332" t="s">
        <v>62</v>
      </c>
      <c r="E332" t="s">
        <v>46</v>
      </c>
      <c r="F332" t="s">
        <v>34</v>
      </c>
      <c r="G332">
        <f>INDEX(Question_Bank!$J$3:$J$14,MATCH(D332,Question_Bank!$A$3:$A$14,0))</f>
        <v>0</v>
      </c>
      <c r="H332">
        <f>IF(F332=G332,1,0)</f>
        <v>0</v>
      </c>
      <c r="I332">
        <f>H332*INDEX(Question_Bank!$M$3:$M$14,MATCH(D332,Question_Bank!$A$3:$A$14,0))</f>
        <v>0</v>
      </c>
      <c r="J332">
        <f>SUMIFS($I$3:$I$518,$A$3:$A$518,A332)</f>
        <v>0</v>
      </c>
      <c r="K332" s="5">
        <f>J332/SUM(Question_Bank!$M$3:$M$14)</f>
        <v>0</v>
      </c>
      <c r="L332" s="5">
        <f>SUMIFS($I$3:$I$518,$A$3:$A$518,A332,$E$3:$E$518,E332)/SUMIFS(Question_Bank!$M$3:$M$14,Question_Bank!$B$3:$B$14,E332)</f>
        <v>0</v>
      </c>
      <c r="M332" t="s">
        <v>318</v>
      </c>
    </row>
    <row r="333" spans="1:13">
      <c r="A333" t="s">
        <v>317</v>
      </c>
      <c r="B333" t="s">
        <v>263</v>
      </c>
      <c r="C333" t="s">
        <v>227</v>
      </c>
      <c r="D333" t="s">
        <v>70</v>
      </c>
      <c r="E333" t="s">
        <v>71</v>
      </c>
      <c r="F333" t="s">
        <v>20</v>
      </c>
      <c r="G333">
        <f>INDEX(Question_Bank!$J$3:$J$14,MATCH(D333,Question_Bank!$A$3:$A$14,0))</f>
        <v>0</v>
      </c>
      <c r="H333">
        <f>IF(F333=G333,1,0)</f>
        <v>0</v>
      </c>
      <c r="I333">
        <f>H333*INDEX(Question_Bank!$M$3:$M$14,MATCH(D333,Question_Bank!$A$3:$A$14,0))</f>
        <v>0</v>
      </c>
      <c r="J333">
        <f>SUMIFS($I$3:$I$518,$A$3:$A$518,A333)</f>
        <v>0</v>
      </c>
      <c r="K333" s="5">
        <f>J333/SUM(Question_Bank!$M$3:$M$14)</f>
        <v>0</v>
      </c>
      <c r="L333" s="5">
        <f>SUMIFS($I$3:$I$518,$A$3:$A$518,A333,$E$3:$E$518,E333)/SUMIFS(Question_Bank!$M$3:$M$14,Question_Bank!$B$3:$B$14,E333)</f>
        <v>0</v>
      </c>
      <c r="M333" t="s">
        <v>318</v>
      </c>
    </row>
    <row r="334" spans="1:13">
      <c r="A334" t="s">
        <v>317</v>
      </c>
      <c r="B334" t="s">
        <v>263</v>
      </c>
      <c r="C334" t="s">
        <v>227</v>
      </c>
      <c r="D334" t="s">
        <v>79</v>
      </c>
      <c r="E334" t="s">
        <v>71</v>
      </c>
      <c r="F334" t="s">
        <v>31</v>
      </c>
      <c r="G334">
        <f>INDEX(Question_Bank!$J$3:$J$14,MATCH(D334,Question_Bank!$A$3:$A$14,0))</f>
        <v>0</v>
      </c>
      <c r="H334">
        <f>IF(F334=G334,1,0)</f>
        <v>0</v>
      </c>
      <c r="I334">
        <f>H334*INDEX(Question_Bank!$M$3:$M$14,MATCH(D334,Question_Bank!$A$3:$A$14,0))</f>
        <v>0</v>
      </c>
      <c r="J334">
        <f>SUMIFS($I$3:$I$518,$A$3:$A$518,A334)</f>
        <v>0</v>
      </c>
      <c r="K334" s="5">
        <f>J334/SUM(Question_Bank!$M$3:$M$14)</f>
        <v>0</v>
      </c>
      <c r="L334" s="5">
        <f>SUMIFS($I$3:$I$518,$A$3:$A$518,A334,$E$3:$E$518,E334)/SUMIFS(Question_Bank!$M$3:$M$14,Question_Bank!$B$3:$B$14,E334)</f>
        <v>0</v>
      </c>
      <c r="M334" t="s">
        <v>318</v>
      </c>
    </row>
    <row r="335" spans="1:13">
      <c r="A335" t="s">
        <v>317</v>
      </c>
      <c r="B335" t="s">
        <v>263</v>
      </c>
      <c r="C335" t="s">
        <v>227</v>
      </c>
      <c r="D335" t="s">
        <v>87</v>
      </c>
      <c r="E335" t="s">
        <v>71</v>
      </c>
      <c r="F335" t="s">
        <v>23</v>
      </c>
      <c r="G335">
        <f>INDEX(Question_Bank!$J$3:$J$14,MATCH(D335,Question_Bank!$A$3:$A$14,0))</f>
        <v>0</v>
      </c>
      <c r="H335">
        <f>IF(F335=G335,1,0)</f>
        <v>0</v>
      </c>
      <c r="I335">
        <f>H335*INDEX(Question_Bank!$M$3:$M$14,MATCH(D335,Question_Bank!$A$3:$A$14,0))</f>
        <v>0</v>
      </c>
      <c r="J335">
        <f>SUMIFS($I$3:$I$518,$A$3:$A$518,A335)</f>
        <v>0</v>
      </c>
      <c r="K335" s="5">
        <f>J335/SUM(Question_Bank!$M$3:$M$14)</f>
        <v>0</v>
      </c>
      <c r="L335" s="5">
        <f>SUMIFS($I$3:$I$518,$A$3:$A$518,A335,$E$3:$E$518,E335)/SUMIFS(Question_Bank!$M$3:$M$14,Question_Bank!$B$3:$B$14,E335)</f>
        <v>0</v>
      </c>
      <c r="M335" t="s">
        <v>318</v>
      </c>
    </row>
    <row r="336" spans="1:13">
      <c r="A336" t="s">
        <v>317</v>
      </c>
      <c r="B336" t="s">
        <v>263</v>
      </c>
      <c r="C336" t="s">
        <v>227</v>
      </c>
      <c r="D336" t="s">
        <v>95</v>
      </c>
      <c r="E336" t="s">
        <v>96</v>
      </c>
      <c r="F336" t="s">
        <v>34</v>
      </c>
      <c r="G336">
        <f>INDEX(Question_Bank!$J$3:$J$14,MATCH(D336,Question_Bank!$A$3:$A$14,0))</f>
        <v>0</v>
      </c>
      <c r="H336">
        <f>IF(F336=G336,1,0)</f>
        <v>0</v>
      </c>
      <c r="I336">
        <f>H336*INDEX(Question_Bank!$M$3:$M$14,MATCH(D336,Question_Bank!$A$3:$A$14,0))</f>
        <v>0</v>
      </c>
      <c r="J336">
        <f>SUMIFS($I$3:$I$518,$A$3:$A$518,A336)</f>
        <v>0</v>
      </c>
      <c r="K336" s="5">
        <f>J336/SUM(Question_Bank!$M$3:$M$14)</f>
        <v>0</v>
      </c>
      <c r="L336" s="5">
        <f>SUMIFS($I$3:$I$518,$A$3:$A$518,A336,$E$3:$E$518,E336)/SUMIFS(Question_Bank!$M$3:$M$14,Question_Bank!$B$3:$B$14,E336)</f>
        <v>0</v>
      </c>
      <c r="M336" t="s">
        <v>318</v>
      </c>
    </row>
    <row r="337" spans="1:13">
      <c r="A337" t="s">
        <v>317</v>
      </c>
      <c r="B337" t="s">
        <v>263</v>
      </c>
      <c r="C337" t="s">
        <v>227</v>
      </c>
      <c r="D337" t="s">
        <v>104</v>
      </c>
      <c r="E337" t="s">
        <v>96</v>
      </c>
      <c r="F337" t="s">
        <v>20</v>
      </c>
      <c r="G337">
        <f>INDEX(Question_Bank!$J$3:$J$14,MATCH(D337,Question_Bank!$A$3:$A$14,0))</f>
        <v>0</v>
      </c>
      <c r="H337">
        <f>IF(F337=G337,1,0)</f>
        <v>0</v>
      </c>
      <c r="I337">
        <f>H337*INDEX(Question_Bank!$M$3:$M$14,MATCH(D337,Question_Bank!$A$3:$A$14,0))</f>
        <v>0</v>
      </c>
      <c r="J337">
        <f>SUMIFS($I$3:$I$518,$A$3:$A$518,A337)</f>
        <v>0</v>
      </c>
      <c r="K337" s="5">
        <f>J337/SUM(Question_Bank!$M$3:$M$14)</f>
        <v>0</v>
      </c>
      <c r="L337" s="5">
        <f>SUMIFS($I$3:$I$518,$A$3:$A$518,A337,$E$3:$E$518,E337)/SUMIFS(Question_Bank!$M$3:$M$14,Question_Bank!$B$3:$B$14,E337)</f>
        <v>0</v>
      </c>
      <c r="M337" t="s">
        <v>318</v>
      </c>
    </row>
    <row r="338" spans="1:13">
      <c r="A338" t="s">
        <v>317</v>
      </c>
      <c r="B338" t="s">
        <v>263</v>
      </c>
      <c r="C338" t="s">
        <v>227</v>
      </c>
      <c r="D338" t="s">
        <v>112</v>
      </c>
      <c r="E338" t="s">
        <v>96</v>
      </c>
      <c r="F338" t="s">
        <v>20</v>
      </c>
      <c r="G338">
        <f>INDEX(Question_Bank!$J$3:$J$14,MATCH(D338,Question_Bank!$A$3:$A$14,0))</f>
        <v>0</v>
      </c>
      <c r="H338">
        <f>IF(F338=G338,1,0)</f>
        <v>0</v>
      </c>
      <c r="I338">
        <f>H338*INDEX(Question_Bank!$M$3:$M$14,MATCH(D338,Question_Bank!$A$3:$A$14,0))</f>
        <v>0</v>
      </c>
      <c r="J338">
        <f>SUMIFS($I$3:$I$518,$A$3:$A$518,A338)</f>
        <v>0</v>
      </c>
      <c r="K338" s="5">
        <f>J338/SUM(Question_Bank!$M$3:$M$14)</f>
        <v>0</v>
      </c>
      <c r="L338" s="5">
        <f>SUMIFS($I$3:$I$518,$A$3:$A$518,A338,$E$3:$E$518,E338)/SUMIFS(Question_Bank!$M$3:$M$14,Question_Bank!$B$3:$B$14,E338)</f>
        <v>0</v>
      </c>
      <c r="M338" t="s">
        <v>318</v>
      </c>
    </row>
    <row r="339" spans="1:13">
      <c r="A339" t="s">
        <v>319</v>
      </c>
      <c r="B339" t="s">
        <v>263</v>
      </c>
      <c r="C339" t="s">
        <v>227</v>
      </c>
      <c r="D339" t="s">
        <v>14</v>
      </c>
      <c r="E339" t="s">
        <v>15</v>
      </c>
      <c r="F339" t="s">
        <v>23</v>
      </c>
      <c r="G339">
        <f>INDEX(Question_Bank!$J$3:$J$14,MATCH(D339,Question_Bank!$A$3:$A$14,0))</f>
        <v>0</v>
      </c>
      <c r="H339">
        <f>IF(F339=G339,1,0)</f>
        <v>0</v>
      </c>
      <c r="I339">
        <f>H339*INDEX(Question_Bank!$M$3:$M$14,MATCH(D339,Question_Bank!$A$3:$A$14,0))</f>
        <v>0</v>
      </c>
      <c r="J339">
        <f>SUMIFS($I$3:$I$518,$A$3:$A$518,A339)</f>
        <v>0</v>
      </c>
      <c r="K339" s="5">
        <f>J339/SUM(Question_Bank!$M$3:$M$14)</f>
        <v>0</v>
      </c>
      <c r="L339" s="5">
        <f>SUMIFS($I$3:$I$518,$A$3:$A$518,A339,$E$3:$E$518,E339)/SUMIFS(Question_Bank!$M$3:$M$14,Question_Bank!$B$3:$B$14,E339)</f>
        <v>0</v>
      </c>
      <c r="M339" t="s">
        <v>320</v>
      </c>
    </row>
    <row r="340" spans="1:13">
      <c r="A340" t="s">
        <v>319</v>
      </c>
      <c r="B340" t="s">
        <v>263</v>
      </c>
      <c r="C340" t="s">
        <v>227</v>
      </c>
      <c r="D340" t="s">
        <v>26</v>
      </c>
      <c r="E340" t="s">
        <v>15</v>
      </c>
      <c r="F340" t="s">
        <v>34</v>
      </c>
      <c r="G340">
        <f>INDEX(Question_Bank!$J$3:$J$14,MATCH(D340,Question_Bank!$A$3:$A$14,0))</f>
        <v>0</v>
      </c>
      <c r="H340">
        <f>IF(F340=G340,1,0)</f>
        <v>0</v>
      </c>
      <c r="I340">
        <f>H340*INDEX(Question_Bank!$M$3:$M$14,MATCH(D340,Question_Bank!$A$3:$A$14,0))</f>
        <v>0</v>
      </c>
      <c r="J340">
        <f>SUMIFS($I$3:$I$518,$A$3:$A$518,A340)</f>
        <v>0</v>
      </c>
      <c r="K340" s="5">
        <f>J340/SUM(Question_Bank!$M$3:$M$14)</f>
        <v>0</v>
      </c>
      <c r="L340" s="5">
        <f>SUMIFS($I$3:$I$518,$A$3:$A$518,A340,$E$3:$E$518,E340)/SUMIFS(Question_Bank!$M$3:$M$14,Question_Bank!$B$3:$B$14,E340)</f>
        <v>0</v>
      </c>
      <c r="M340" t="s">
        <v>320</v>
      </c>
    </row>
    <row r="341" spans="1:13">
      <c r="A341" t="s">
        <v>319</v>
      </c>
      <c r="B341" t="s">
        <v>263</v>
      </c>
      <c r="C341" t="s">
        <v>227</v>
      </c>
      <c r="D341" t="s">
        <v>37</v>
      </c>
      <c r="E341" t="s">
        <v>15</v>
      </c>
      <c r="F341" t="s">
        <v>20</v>
      </c>
      <c r="G341">
        <f>INDEX(Question_Bank!$J$3:$J$14,MATCH(D341,Question_Bank!$A$3:$A$14,0))</f>
        <v>0</v>
      </c>
      <c r="H341">
        <f>IF(F341=G341,1,0)</f>
        <v>0</v>
      </c>
      <c r="I341">
        <f>H341*INDEX(Question_Bank!$M$3:$M$14,MATCH(D341,Question_Bank!$A$3:$A$14,0))</f>
        <v>0</v>
      </c>
      <c r="J341">
        <f>SUMIFS($I$3:$I$518,$A$3:$A$518,A341)</f>
        <v>0</v>
      </c>
      <c r="K341" s="5">
        <f>J341/SUM(Question_Bank!$M$3:$M$14)</f>
        <v>0</v>
      </c>
      <c r="L341" s="5">
        <f>SUMIFS($I$3:$I$518,$A$3:$A$518,A341,$E$3:$E$518,E341)/SUMIFS(Question_Bank!$M$3:$M$14,Question_Bank!$B$3:$B$14,E341)</f>
        <v>0</v>
      </c>
      <c r="M341" t="s">
        <v>320</v>
      </c>
    </row>
    <row r="342" spans="1:13">
      <c r="A342" t="s">
        <v>319</v>
      </c>
      <c r="B342" t="s">
        <v>263</v>
      </c>
      <c r="C342" t="s">
        <v>227</v>
      </c>
      <c r="D342" t="s">
        <v>45</v>
      </c>
      <c r="E342" t="s">
        <v>46</v>
      </c>
      <c r="F342" t="s">
        <v>31</v>
      </c>
      <c r="G342">
        <f>INDEX(Question_Bank!$J$3:$J$14,MATCH(D342,Question_Bank!$A$3:$A$14,0))</f>
        <v>0</v>
      </c>
      <c r="H342">
        <f>IF(F342=G342,1,0)</f>
        <v>0</v>
      </c>
      <c r="I342">
        <f>H342*INDEX(Question_Bank!$M$3:$M$14,MATCH(D342,Question_Bank!$A$3:$A$14,0))</f>
        <v>0</v>
      </c>
      <c r="J342">
        <f>SUMIFS($I$3:$I$518,$A$3:$A$518,A342)</f>
        <v>0</v>
      </c>
      <c r="K342" s="5">
        <f>J342/SUM(Question_Bank!$M$3:$M$14)</f>
        <v>0</v>
      </c>
      <c r="L342" s="5">
        <f>SUMIFS($I$3:$I$518,$A$3:$A$518,A342,$E$3:$E$518,E342)/SUMIFS(Question_Bank!$M$3:$M$14,Question_Bank!$B$3:$B$14,E342)</f>
        <v>0</v>
      </c>
      <c r="M342" t="s">
        <v>320</v>
      </c>
    </row>
    <row r="343" spans="1:13">
      <c r="A343" t="s">
        <v>319</v>
      </c>
      <c r="B343" t="s">
        <v>263</v>
      </c>
      <c r="C343" t="s">
        <v>227</v>
      </c>
      <c r="D343" t="s">
        <v>54</v>
      </c>
      <c r="E343" t="s">
        <v>46</v>
      </c>
      <c r="F343" t="s">
        <v>23</v>
      </c>
      <c r="G343">
        <f>INDEX(Question_Bank!$J$3:$J$14,MATCH(D343,Question_Bank!$A$3:$A$14,0))</f>
        <v>0</v>
      </c>
      <c r="H343">
        <f>IF(F343=G343,1,0)</f>
        <v>0</v>
      </c>
      <c r="I343">
        <f>H343*INDEX(Question_Bank!$M$3:$M$14,MATCH(D343,Question_Bank!$A$3:$A$14,0))</f>
        <v>0</v>
      </c>
      <c r="J343">
        <f>SUMIFS($I$3:$I$518,$A$3:$A$518,A343)</f>
        <v>0</v>
      </c>
      <c r="K343" s="5">
        <f>J343/SUM(Question_Bank!$M$3:$M$14)</f>
        <v>0</v>
      </c>
      <c r="L343" s="5">
        <f>SUMIFS($I$3:$I$518,$A$3:$A$518,A343,$E$3:$E$518,E343)/SUMIFS(Question_Bank!$M$3:$M$14,Question_Bank!$B$3:$B$14,E343)</f>
        <v>0</v>
      </c>
      <c r="M343" t="s">
        <v>320</v>
      </c>
    </row>
    <row r="344" spans="1:13">
      <c r="A344" t="s">
        <v>319</v>
      </c>
      <c r="B344" t="s">
        <v>263</v>
      </c>
      <c r="C344" t="s">
        <v>227</v>
      </c>
      <c r="D344" t="s">
        <v>62</v>
      </c>
      <c r="E344" t="s">
        <v>46</v>
      </c>
      <c r="F344" t="s">
        <v>34</v>
      </c>
      <c r="G344">
        <f>INDEX(Question_Bank!$J$3:$J$14,MATCH(D344,Question_Bank!$A$3:$A$14,0))</f>
        <v>0</v>
      </c>
      <c r="H344">
        <f>IF(F344=G344,1,0)</f>
        <v>0</v>
      </c>
      <c r="I344">
        <f>H344*INDEX(Question_Bank!$M$3:$M$14,MATCH(D344,Question_Bank!$A$3:$A$14,0))</f>
        <v>0</v>
      </c>
      <c r="J344">
        <f>SUMIFS($I$3:$I$518,$A$3:$A$518,A344)</f>
        <v>0</v>
      </c>
      <c r="K344" s="5">
        <f>J344/SUM(Question_Bank!$M$3:$M$14)</f>
        <v>0</v>
      </c>
      <c r="L344" s="5">
        <f>SUMIFS($I$3:$I$518,$A$3:$A$518,A344,$E$3:$E$518,E344)/SUMIFS(Question_Bank!$M$3:$M$14,Question_Bank!$B$3:$B$14,E344)</f>
        <v>0</v>
      </c>
      <c r="M344" t="s">
        <v>320</v>
      </c>
    </row>
    <row r="345" spans="1:13">
      <c r="A345" t="s">
        <v>319</v>
      </c>
      <c r="B345" t="s">
        <v>263</v>
      </c>
      <c r="C345" t="s">
        <v>227</v>
      </c>
      <c r="D345" t="s">
        <v>70</v>
      </c>
      <c r="E345" t="s">
        <v>71</v>
      </c>
      <c r="F345" t="s">
        <v>20</v>
      </c>
      <c r="G345">
        <f>INDEX(Question_Bank!$J$3:$J$14,MATCH(D345,Question_Bank!$A$3:$A$14,0))</f>
        <v>0</v>
      </c>
      <c r="H345">
        <f>IF(F345=G345,1,0)</f>
        <v>0</v>
      </c>
      <c r="I345">
        <f>H345*INDEX(Question_Bank!$M$3:$M$14,MATCH(D345,Question_Bank!$A$3:$A$14,0))</f>
        <v>0</v>
      </c>
      <c r="J345">
        <f>SUMIFS($I$3:$I$518,$A$3:$A$518,A345)</f>
        <v>0</v>
      </c>
      <c r="K345" s="5">
        <f>J345/SUM(Question_Bank!$M$3:$M$14)</f>
        <v>0</v>
      </c>
      <c r="L345" s="5">
        <f>SUMIFS($I$3:$I$518,$A$3:$A$518,A345,$E$3:$E$518,E345)/SUMIFS(Question_Bank!$M$3:$M$14,Question_Bank!$B$3:$B$14,E345)</f>
        <v>0</v>
      </c>
      <c r="M345" t="s">
        <v>320</v>
      </c>
    </row>
    <row r="346" spans="1:13">
      <c r="A346" t="s">
        <v>319</v>
      </c>
      <c r="B346" t="s">
        <v>263</v>
      </c>
      <c r="C346" t="s">
        <v>227</v>
      </c>
      <c r="D346" t="s">
        <v>79</v>
      </c>
      <c r="E346" t="s">
        <v>71</v>
      </c>
      <c r="F346" t="s">
        <v>31</v>
      </c>
      <c r="G346">
        <f>INDEX(Question_Bank!$J$3:$J$14,MATCH(D346,Question_Bank!$A$3:$A$14,0))</f>
        <v>0</v>
      </c>
      <c r="H346">
        <f>IF(F346=G346,1,0)</f>
        <v>0</v>
      </c>
      <c r="I346">
        <f>H346*INDEX(Question_Bank!$M$3:$M$14,MATCH(D346,Question_Bank!$A$3:$A$14,0))</f>
        <v>0</v>
      </c>
      <c r="J346">
        <f>SUMIFS($I$3:$I$518,$A$3:$A$518,A346)</f>
        <v>0</v>
      </c>
      <c r="K346" s="5">
        <f>J346/SUM(Question_Bank!$M$3:$M$14)</f>
        <v>0</v>
      </c>
      <c r="L346" s="5">
        <f>SUMIFS($I$3:$I$518,$A$3:$A$518,A346,$E$3:$E$518,E346)/SUMIFS(Question_Bank!$M$3:$M$14,Question_Bank!$B$3:$B$14,E346)</f>
        <v>0</v>
      </c>
      <c r="M346" t="s">
        <v>320</v>
      </c>
    </row>
    <row r="347" spans="1:13">
      <c r="A347" t="s">
        <v>319</v>
      </c>
      <c r="B347" t="s">
        <v>263</v>
      </c>
      <c r="C347" t="s">
        <v>227</v>
      </c>
      <c r="D347" t="s">
        <v>87</v>
      </c>
      <c r="E347" t="s">
        <v>71</v>
      </c>
      <c r="F347" t="s">
        <v>23</v>
      </c>
      <c r="G347">
        <f>INDEX(Question_Bank!$J$3:$J$14,MATCH(D347,Question_Bank!$A$3:$A$14,0))</f>
        <v>0</v>
      </c>
      <c r="H347">
        <f>IF(F347=G347,1,0)</f>
        <v>0</v>
      </c>
      <c r="I347">
        <f>H347*INDEX(Question_Bank!$M$3:$M$14,MATCH(D347,Question_Bank!$A$3:$A$14,0))</f>
        <v>0</v>
      </c>
      <c r="J347">
        <f>SUMIFS($I$3:$I$518,$A$3:$A$518,A347)</f>
        <v>0</v>
      </c>
      <c r="K347" s="5">
        <f>J347/SUM(Question_Bank!$M$3:$M$14)</f>
        <v>0</v>
      </c>
      <c r="L347" s="5">
        <f>SUMIFS($I$3:$I$518,$A$3:$A$518,A347,$E$3:$E$518,E347)/SUMIFS(Question_Bank!$M$3:$M$14,Question_Bank!$B$3:$B$14,E347)</f>
        <v>0</v>
      </c>
      <c r="M347" t="s">
        <v>320</v>
      </c>
    </row>
    <row r="348" spans="1:13">
      <c r="A348" t="s">
        <v>319</v>
      </c>
      <c r="B348" t="s">
        <v>263</v>
      </c>
      <c r="C348" t="s">
        <v>227</v>
      </c>
      <c r="D348" t="s">
        <v>95</v>
      </c>
      <c r="E348" t="s">
        <v>96</v>
      </c>
      <c r="F348" t="s">
        <v>34</v>
      </c>
      <c r="G348">
        <f>INDEX(Question_Bank!$J$3:$J$14,MATCH(D348,Question_Bank!$A$3:$A$14,0))</f>
        <v>0</v>
      </c>
      <c r="H348">
        <f>IF(F348=G348,1,0)</f>
        <v>0</v>
      </c>
      <c r="I348">
        <f>H348*INDEX(Question_Bank!$M$3:$M$14,MATCH(D348,Question_Bank!$A$3:$A$14,0))</f>
        <v>0</v>
      </c>
      <c r="J348">
        <f>SUMIFS($I$3:$I$518,$A$3:$A$518,A348)</f>
        <v>0</v>
      </c>
      <c r="K348" s="5">
        <f>J348/SUM(Question_Bank!$M$3:$M$14)</f>
        <v>0</v>
      </c>
      <c r="L348" s="5">
        <f>SUMIFS($I$3:$I$518,$A$3:$A$518,A348,$E$3:$E$518,E348)/SUMIFS(Question_Bank!$M$3:$M$14,Question_Bank!$B$3:$B$14,E348)</f>
        <v>0</v>
      </c>
      <c r="M348" t="s">
        <v>320</v>
      </c>
    </row>
    <row r="349" spans="1:13">
      <c r="A349" t="s">
        <v>319</v>
      </c>
      <c r="B349" t="s">
        <v>263</v>
      </c>
      <c r="C349" t="s">
        <v>227</v>
      </c>
      <c r="D349" t="s">
        <v>104</v>
      </c>
      <c r="E349" t="s">
        <v>96</v>
      </c>
      <c r="F349" t="s">
        <v>20</v>
      </c>
      <c r="G349">
        <f>INDEX(Question_Bank!$J$3:$J$14,MATCH(D349,Question_Bank!$A$3:$A$14,0))</f>
        <v>0</v>
      </c>
      <c r="H349">
        <f>IF(F349=G349,1,0)</f>
        <v>0</v>
      </c>
      <c r="I349">
        <f>H349*INDEX(Question_Bank!$M$3:$M$14,MATCH(D349,Question_Bank!$A$3:$A$14,0))</f>
        <v>0</v>
      </c>
      <c r="J349">
        <f>SUMIFS($I$3:$I$518,$A$3:$A$518,A349)</f>
        <v>0</v>
      </c>
      <c r="K349" s="5">
        <f>J349/SUM(Question_Bank!$M$3:$M$14)</f>
        <v>0</v>
      </c>
      <c r="L349" s="5">
        <f>SUMIFS($I$3:$I$518,$A$3:$A$518,A349,$E$3:$E$518,E349)/SUMIFS(Question_Bank!$M$3:$M$14,Question_Bank!$B$3:$B$14,E349)</f>
        <v>0</v>
      </c>
      <c r="M349" t="s">
        <v>320</v>
      </c>
    </row>
    <row r="350" spans="1:13">
      <c r="A350" t="s">
        <v>319</v>
      </c>
      <c r="B350" t="s">
        <v>263</v>
      </c>
      <c r="C350" t="s">
        <v>227</v>
      </c>
      <c r="D350" t="s">
        <v>112</v>
      </c>
      <c r="E350" t="s">
        <v>96</v>
      </c>
      <c r="F350" t="s">
        <v>31</v>
      </c>
      <c r="G350">
        <f>INDEX(Question_Bank!$J$3:$J$14,MATCH(D350,Question_Bank!$A$3:$A$14,0))</f>
        <v>0</v>
      </c>
      <c r="H350">
        <f>IF(F350=G350,1,0)</f>
        <v>0</v>
      </c>
      <c r="I350">
        <f>H350*INDEX(Question_Bank!$M$3:$M$14,MATCH(D350,Question_Bank!$A$3:$A$14,0))</f>
        <v>0</v>
      </c>
      <c r="J350">
        <f>SUMIFS($I$3:$I$518,$A$3:$A$518,A350)</f>
        <v>0</v>
      </c>
      <c r="K350" s="5">
        <f>J350/SUM(Question_Bank!$M$3:$M$14)</f>
        <v>0</v>
      </c>
      <c r="L350" s="5">
        <f>SUMIFS($I$3:$I$518,$A$3:$A$518,A350,$E$3:$E$518,E350)/SUMIFS(Question_Bank!$M$3:$M$14,Question_Bank!$B$3:$B$14,E350)</f>
        <v>0</v>
      </c>
      <c r="M350" t="s">
        <v>320</v>
      </c>
    </row>
    <row r="351" spans="1:13">
      <c r="A351" t="s">
        <v>321</v>
      </c>
      <c r="B351" t="s">
        <v>263</v>
      </c>
      <c r="C351" t="s">
        <v>227</v>
      </c>
      <c r="D351" t="s">
        <v>14</v>
      </c>
      <c r="E351" t="s">
        <v>15</v>
      </c>
      <c r="F351" t="s">
        <v>23</v>
      </c>
      <c r="G351">
        <f>INDEX(Question_Bank!$J$3:$J$14,MATCH(D351,Question_Bank!$A$3:$A$14,0))</f>
        <v>0</v>
      </c>
      <c r="H351">
        <f>IF(F351=G351,1,0)</f>
        <v>0</v>
      </c>
      <c r="I351">
        <f>H351*INDEX(Question_Bank!$M$3:$M$14,MATCH(D351,Question_Bank!$A$3:$A$14,0))</f>
        <v>0</v>
      </c>
      <c r="J351">
        <f>SUMIFS($I$3:$I$518,$A$3:$A$518,A351)</f>
        <v>0</v>
      </c>
      <c r="K351" s="5">
        <f>J351/SUM(Question_Bank!$M$3:$M$14)</f>
        <v>0</v>
      </c>
      <c r="L351" s="5">
        <f>SUMIFS($I$3:$I$518,$A$3:$A$518,A351,$E$3:$E$518,E351)/SUMIFS(Question_Bank!$M$3:$M$14,Question_Bank!$B$3:$B$14,E351)</f>
        <v>0</v>
      </c>
      <c r="M351" t="s">
        <v>322</v>
      </c>
    </row>
    <row r="352" spans="1:13">
      <c r="A352" t="s">
        <v>321</v>
      </c>
      <c r="B352" t="s">
        <v>263</v>
      </c>
      <c r="C352" t="s">
        <v>227</v>
      </c>
      <c r="D352" t="s">
        <v>26</v>
      </c>
      <c r="E352" t="s">
        <v>15</v>
      </c>
      <c r="F352" t="s">
        <v>34</v>
      </c>
      <c r="G352">
        <f>INDEX(Question_Bank!$J$3:$J$14,MATCH(D352,Question_Bank!$A$3:$A$14,0))</f>
        <v>0</v>
      </c>
      <c r="H352">
        <f>IF(F352=G352,1,0)</f>
        <v>0</v>
      </c>
      <c r="I352">
        <f>H352*INDEX(Question_Bank!$M$3:$M$14,MATCH(D352,Question_Bank!$A$3:$A$14,0))</f>
        <v>0</v>
      </c>
      <c r="J352">
        <f>SUMIFS($I$3:$I$518,$A$3:$A$518,A352)</f>
        <v>0</v>
      </c>
      <c r="K352" s="5">
        <f>J352/SUM(Question_Bank!$M$3:$M$14)</f>
        <v>0</v>
      </c>
      <c r="L352" s="5">
        <f>SUMIFS($I$3:$I$518,$A$3:$A$518,A352,$E$3:$E$518,E352)/SUMIFS(Question_Bank!$M$3:$M$14,Question_Bank!$B$3:$B$14,E352)</f>
        <v>0</v>
      </c>
      <c r="M352" t="s">
        <v>322</v>
      </c>
    </row>
    <row r="353" spans="1:13">
      <c r="A353" t="s">
        <v>321</v>
      </c>
      <c r="B353" t="s">
        <v>263</v>
      </c>
      <c r="C353" t="s">
        <v>227</v>
      </c>
      <c r="D353" t="s">
        <v>37</v>
      </c>
      <c r="E353" t="s">
        <v>15</v>
      </c>
      <c r="F353" t="s">
        <v>20</v>
      </c>
      <c r="G353">
        <f>INDEX(Question_Bank!$J$3:$J$14,MATCH(D353,Question_Bank!$A$3:$A$14,0))</f>
        <v>0</v>
      </c>
      <c r="H353">
        <f>IF(F353=G353,1,0)</f>
        <v>0</v>
      </c>
      <c r="I353">
        <f>H353*INDEX(Question_Bank!$M$3:$M$14,MATCH(D353,Question_Bank!$A$3:$A$14,0))</f>
        <v>0</v>
      </c>
      <c r="J353">
        <f>SUMIFS($I$3:$I$518,$A$3:$A$518,A353)</f>
        <v>0</v>
      </c>
      <c r="K353" s="5">
        <f>J353/SUM(Question_Bank!$M$3:$M$14)</f>
        <v>0</v>
      </c>
      <c r="L353" s="5">
        <f>SUMIFS($I$3:$I$518,$A$3:$A$518,A353,$E$3:$E$518,E353)/SUMIFS(Question_Bank!$M$3:$M$14,Question_Bank!$B$3:$B$14,E353)</f>
        <v>0</v>
      </c>
      <c r="M353" t="s">
        <v>322</v>
      </c>
    </row>
    <row r="354" spans="1:13">
      <c r="A354" t="s">
        <v>321</v>
      </c>
      <c r="B354" t="s">
        <v>263</v>
      </c>
      <c r="C354" t="s">
        <v>227</v>
      </c>
      <c r="D354" t="s">
        <v>45</v>
      </c>
      <c r="E354" t="s">
        <v>46</v>
      </c>
      <c r="F354" t="s">
        <v>31</v>
      </c>
      <c r="G354">
        <f>INDEX(Question_Bank!$J$3:$J$14,MATCH(D354,Question_Bank!$A$3:$A$14,0))</f>
        <v>0</v>
      </c>
      <c r="H354">
        <f>IF(F354=G354,1,0)</f>
        <v>0</v>
      </c>
      <c r="I354">
        <f>H354*INDEX(Question_Bank!$M$3:$M$14,MATCH(D354,Question_Bank!$A$3:$A$14,0))</f>
        <v>0</v>
      </c>
      <c r="J354">
        <f>SUMIFS($I$3:$I$518,$A$3:$A$518,A354)</f>
        <v>0</v>
      </c>
      <c r="K354" s="5">
        <f>J354/SUM(Question_Bank!$M$3:$M$14)</f>
        <v>0</v>
      </c>
      <c r="L354" s="5">
        <f>SUMIFS($I$3:$I$518,$A$3:$A$518,A354,$E$3:$E$518,E354)/SUMIFS(Question_Bank!$M$3:$M$14,Question_Bank!$B$3:$B$14,E354)</f>
        <v>0</v>
      </c>
      <c r="M354" t="s">
        <v>322</v>
      </c>
    </row>
    <row r="355" spans="1:13">
      <c r="A355" t="s">
        <v>321</v>
      </c>
      <c r="B355" t="s">
        <v>263</v>
      </c>
      <c r="C355" t="s">
        <v>227</v>
      </c>
      <c r="D355" t="s">
        <v>54</v>
      </c>
      <c r="E355" t="s">
        <v>46</v>
      </c>
      <c r="F355" t="s">
        <v>20</v>
      </c>
      <c r="G355">
        <f>INDEX(Question_Bank!$J$3:$J$14,MATCH(D355,Question_Bank!$A$3:$A$14,0))</f>
        <v>0</v>
      </c>
      <c r="H355">
        <f>IF(F355=G355,1,0)</f>
        <v>0</v>
      </c>
      <c r="I355">
        <f>H355*INDEX(Question_Bank!$M$3:$M$14,MATCH(D355,Question_Bank!$A$3:$A$14,0))</f>
        <v>0</v>
      </c>
      <c r="J355">
        <f>SUMIFS($I$3:$I$518,$A$3:$A$518,A355)</f>
        <v>0</v>
      </c>
      <c r="K355" s="5">
        <f>J355/SUM(Question_Bank!$M$3:$M$14)</f>
        <v>0</v>
      </c>
      <c r="L355" s="5">
        <f>SUMIFS($I$3:$I$518,$A$3:$A$518,A355,$E$3:$E$518,E355)/SUMIFS(Question_Bank!$M$3:$M$14,Question_Bank!$B$3:$B$14,E355)</f>
        <v>0</v>
      </c>
      <c r="M355" t="s">
        <v>322</v>
      </c>
    </row>
    <row r="356" spans="1:13">
      <c r="A356" t="s">
        <v>321</v>
      </c>
      <c r="B356" t="s">
        <v>263</v>
      </c>
      <c r="C356" t="s">
        <v>227</v>
      </c>
      <c r="D356" t="s">
        <v>62</v>
      </c>
      <c r="E356" t="s">
        <v>46</v>
      </c>
      <c r="F356" t="s">
        <v>34</v>
      </c>
      <c r="G356">
        <f>INDEX(Question_Bank!$J$3:$J$14,MATCH(D356,Question_Bank!$A$3:$A$14,0))</f>
        <v>0</v>
      </c>
      <c r="H356">
        <f>IF(F356=G356,1,0)</f>
        <v>0</v>
      </c>
      <c r="I356">
        <f>H356*INDEX(Question_Bank!$M$3:$M$14,MATCH(D356,Question_Bank!$A$3:$A$14,0))</f>
        <v>0</v>
      </c>
      <c r="J356">
        <f>SUMIFS($I$3:$I$518,$A$3:$A$518,A356)</f>
        <v>0</v>
      </c>
      <c r="K356" s="5">
        <f>J356/SUM(Question_Bank!$M$3:$M$14)</f>
        <v>0</v>
      </c>
      <c r="L356" s="5">
        <f>SUMIFS($I$3:$I$518,$A$3:$A$518,A356,$E$3:$E$518,E356)/SUMIFS(Question_Bank!$M$3:$M$14,Question_Bank!$B$3:$B$14,E356)</f>
        <v>0</v>
      </c>
      <c r="M356" t="s">
        <v>322</v>
      </c>
    </row>
    <row r="357" spans="1:13">
      <c r="A357" t="s">
        <v>321</v>
      </c>
      <c r="B357" t="s">
        <v>263</v>
      </c>
      <c r="C357" t="s">
        <v>227</v>
      </c>
      <c r="D357" t="s">
        <v>70</v>
      </c>
      <c r="E357" t="s">
        <v>71</v>
      </c>
      <c r="F357" t="s">
        <v>20</v>
      </c>
      <c r="G357">
        <f>INDEX(Question_Bank!$J$3:$J$14,MATCH(D357,Question_Bank!$A$3:$A$14,0))</f>
        <v>0</v>
      </c>
      <c r="H357">
        <f>IF(F357=G357,1,0)</f>
        <v>0</v>
      </c>
      <c r="I357">
        <f>H357*INDEX(Question_Bank!$M$3:$M$14,MATCH(D357,Question_Bank!$A$3:$A$14,0))</f>
        <v>0</v>
      </c>
      <c r="J357">
        <f>SUMIFS($I$3:$I$518,$A$3:$A$518,A357)</f>
        <v>0</v>
      </c>
      <c r="K357" s="5">
        <f>J357/SUM(Question_Bank!$M$3:$M$14)</f>
        <v>0</v>
      </c>
      <c r="L357" s="5">
        <f>SUMIFS($I$3:$I$518,$A$3:$A$518,A357,$E$3:$E$518,E357)/SUMIFS(Question_Bank!$M$3:$M$14,Question_Bank!$B$3:$B$14,E357)</f>
        <v>0</v>
      </c>
      <c r="M357" t="s">
        <v>322</v>
      </c>
    </row>
    <row r="358" spans="1:13">
      <c r="A358" t="s">
        <v>321</v>
      </c>
      <c r="B358" t="s">
        <v>263</v>
      </c>
      <c r="C358" t="s">
        <v>227</v>
      </c>
      <c r="D358" t="s">
        <v>79</v>
      </c>
      <c r="E358" t="s">
        <v>71</v>
      </c>
      <c r="F358" t="s">
        <v>31</v>
      </c>
      <c r="G358">
        <f>INDEX(Question_Bank!$J$3:$J$14,MATCH(D358,Question_Bank!$A$3:$A$14,0))</f>
        <v>0</v>
      </c>
      <c r="H358">
        <f>IF(F358=G358,1,0)</f>
        <v>0</v>
      </c>
      <c r="I358">
        <f>H358*INDEX(Question_Bank!$M$3:$M$14,MATCH(D358,Question_Bank!$A$3:$A$14,0))</f>
        <v>0</v>
      </c>
      <c r="J358">
        <f>SUMIFS($I$3:$I$518,$A$3:$A$518,A358)</f>
        <v>0</v>
      </c>
      <c r="K358" s="5">
        <f>J358/SUM(Question_Bank!$M$3:$M$14)</f>
        <v>0</v>
      </c>
      <c r="L358" s="5">
        <f>SUMIFS($I$3:$I$518,$A$3:$A$518,A358,$E$3:$E$518,E358)/SUMIFS(Question_Bank!$M$3:$M$14,Question_Bank!$B$3:$B$14,E358)</f>
        <v>0</v>
      </c>
      <c r="M358" t="s">
        <v>322</v>
      </c>
    </row>
    <row r="359" spans="1:13">
      <c r="A359" t="s">
        <v>321</v>
      </c>
      <c r="B359" t="s">
        <v>263</v>
      </c>
      <c r="C359" t="s">
        <v>227</v>
      </c>
      <c r="D359" t="s">
        <v>87</v>
      </c>
      <c r="E359" t="s">
        <v>71</v>
      </c>
      <c r="F359" t="s">
        <v>23</v>
      </c>
      <c r="G359">
        <f>INDEX(Question_Bank!$J$3:$J$14,MATCH(D359,Question_Bank!$A$3:$A$14,0))</f>
        <v>0</v>
      </c>
      <c r="H359">
        <f>IF(F359=G359,1,0)</f>
        <v>0</v>
      </c>
      <c r="I359">
        <f>H359*INDEX(Question_Bank!$M$3:$M$14,MATCH(D359,Question_Bank!$A$3:$A$14,0))</f>
        <v>0</v>
      </c>
      <c r="J359">
        <f>SUMIFS($I$3:$I$518,$A$3:$A$518,A359)</f>
        <v>0</v>
      </c>
      <c r="K359" s="5">
        <f>J359/SUM(Question_Bank!$M$3:$M$14)</f>
        <v>0</v>
      </c>
      <c r="L359" s="5">
        <f>SUMIFS($I$3:$I$518,$A$3:$A$518,A359,$E$3:$E$518,E359)/SUMIFS(Question_Bank!$M$3:$M$14,Question_Bank!$B$3:$B$14,E359)</f>
        <v>0</v>
      </c>
      <c r="M359" t="s">
        <v>322</v>
      </c>
    </row>
    <row r="360" spans="1:13">
      <c r="A360" t="s">
        <v>321</v>
      </c>
      <c r="B360" t="s">
        <v>263</v>
      </c>
      <c r="C360" t="s">
        <v>227</v>
      </c>
      <c r="D360" t="s">
        <v>95</v>
      </c>
      <c r="E360" t="s">
        <v>96</v>
      </c>
      <c r="F360" t="s">
        <v>34</v>
      </c>
      <c r="G360">
        <f>INDEX(Question_Bank!$J$3:$J$14,MATCH(D360,Question_Bank!$A$3:$A$14,0))</f>
        <v>0</v>
      </c>
      <c r="H360">
        <f>IF(F360=G360,1,0)</f>
        <v>0</v>
      </c>
      <c r="I360">
        <f>H360*INDEX(Question_Bank!$M$3:$M$14,MATCH(D360,Question_Bank!$A$3:$A$14,0))</f>
        <v>0</v>
      </c>
      <c r="J360">
        <f>SUMIFS($I$3:$I$518,$A$3:$A$518,A360)</f>
        <v>0</v>
      </c>
      <c r="K360" s="5">
        <f>J360/SUM(Question_Bank!$M$3:$M$14)</f>
        <v>0</v>
      </c>
      <c r="L360" s="5">
        <f>SUMIFS($I$3:$I$518,$A$3:$A$518,A360,$E$3:$E$518,E360)/SUMIFS(Question_Bank!$M$3:$M$14,Question_Bank!$B$3:$B$14,E360)</f>
        <v>0</v>
      </c>
      <c r="M360" t="s">
        <v>322</v>
      </c>
    </row>
    <row r="361" spans="1:13">
      <c r="A361" t="s">
        <v>321</v>
      </c>
      <c r="B361" t="s">
        <v>263</v>
      </c>
      <c r="C361" t="s">
        <v>227</v>
      </c>
      <c r="D361" t="s">
        <v>104</v>
      </c>
      <c r="E361" t="s">
        <v>96</v>
      </c>
      <c r="F361" t="s">
        <v>20</v>
      </c>
      <c r="G361">
        <f>INDEX(Question_Bank!$J$3:$J$14,MATCH(D361,Question_Bank!$A$3:$A$14,0))</f>
        <v>0</v>
      </c>
      <c r="H361">
        <f>IF(F361=G361,1,0)</f>
        <v>0</v>
      </c>
      <c r="I361">
        <f>H361*INDEX(Question_Bank!$M$3:$M$14,MATCH(D361,Question_Bank!$A$3:$A$14,0))</f>
        <v>0</v>
      </c>
      <c r="J361">
        <f>SUMIFS($I$3:$I$518,$A$3:$A$518,A361)</f>
        <v>0</v>
      </c>
      <c r="K361" s="5">
        <f>J361/SUM(Question_Bank!$M$3:$M$14)</f>
        <v>0</v>
      </c>
      <c r="L361" s="5">
        <f>SUMIFS($I$3:$I$518,$A$3:$A$518,A361,$E$3:$E$518,E361)/SUMIFS(Question_Bank!$M$3:$M$14,Question_Bank!$B$3:$B$14,E361)</f>
        <v>0</v>
      </c>
      <c r="M361" t="s">
        <v>322</v>
      </c>
    </row>
    <row r="362" spans="1:13">
      <c r="A362" t="s">
        <v>321</v>
      </c>
      <c r="B362" t="s">
        <v>263</v>
      </c>
      <c r="C362" t="s">
        <v>227</v>
      </c>
      <c r="D362" t="s">
        <v>112</v>
      </c>
      <c r="E362" t="s">
        <v>96</v>
      </c>
      <c r="F362" t="s">
        <v>31</v>
      </c>
      <c r="G362">
        <f>INDEX(Question_Bank!$J$3:$J$14,MATCH(D362,Question_Bank!$A$3:$A$14,0))</f>
        <v>0</v>
      </c>
      <c r="H362">
        <f>IF(F362=G362,1,0)</f>
        <v>0</v>
      </c>
      <c r="I362">
        <f>H362*INDEX(Question_Bank!$M$3:$M$14,MATCH(D362,Question_Bank!$A$3:$A$14,0))</f>
        <v>0</v>
      </c>
      <c r="J362">
        <f>SUMIFS($I$3:$I$518,$A$3:$A$518,A362)</f>
        <v>0</v>
      </c>
      <c r="K362" s="5">
        <f>J362/SUM(Question_Bank!$M$3:$M$14)</f>
        <v>0</v>
      </c>
      <c r="L362" s="5">
        <f>SUMIFS($I$3:$I$518,$A$3:$A$518,A362,$E$3:$E$518,E362)/SUMIFS(Question_Bank!$M$3:$M$14,Question_Bank!$B$3:$B$14,E362)</f>
        <v>0</v>
      </c>
      <c r="M362" t="s">
        <v>322</v>
      </c>
    </row>
    <row r="363" spans="1:13">
      <c r="A363" t="s">
        <v>323</v>
      </c>
      <c r="B363" t="s">
        <v>263</v>
      </c>
      <c r="C363" t="s">
        <v>227</v>
      </c>
      <c r="D363" t="s">
        <v>14</v>
      </c>
      <c r="E363" t="s">
        <v>15</v>
      </c>
      <c r="F363" t="s">
        <v>23</v>
      </c>
      <c r="G363">
        <f>INDEX(Question_Bank!$J$3:$J$14,MATCH(D363,Question_Bank!$A$3:$A$14,0))</f>
        <v>0</v>
      </c>
      <c r="H363">
        <f>IF(F363=G363,1,0)</f>
        <v>0</v>
      </c>
      <c r="I363">
        <f>H363*INDEX(Question_Bank!$M$3:$M$14,MATCH(D363,Question_Bank!$A$3:$A$14,0))</f>
        <v>0</v>
      </c>
      <c r="J363">
        <f>SUMIFS($I$3:$I$518,$A$3:$A$518,A363)</f>
        <v>0</v>
      </c>
      <c r="K363" s="5">
        <f>J363/SUM(Question_Bank!$M$3:$M$14)</f>
        <v>0</v>
      </c>
      <c r="L363" s="5">
        <f>SUMIFS($I$3:$I$518,$A$3:$A$518,A363,$E$3:$E$518,E363)/SUMIFS(Question_Bank!$M$3:$M$14,Question_Bank!$B$3:$B$14,E363)</f>
        <v>0</v>
      </c>
      <c r="M363" t="s">
        <v>324</v>
      </c>
    </row>
    <row r="364" spans="1:13">
      <c r="A364" t="s">
        <v>323</v>
      </c>
      <c r="B364" t="s">
        <v>263</v>
      </c>
      <c r="C364" t="s">
        <v>227</v>
      </c>
      <c r="D364" t="s">
        <v>26</v>
      </c>
      <c r="E364" t="s">
        <v>15</v>
      </c>
      <c r="F364" t="s">
        <v>34</v>
      </c>
      <c r="G364">
        <f>INDEX(Question_Bank!$J$3:$J$14,MATCH(D364,Question_Bank!$A$3:$A$14,0))</f>
        <v>0</v>
      </c>
      <c r="H364">
        <f>IF(F364=G364,1,0)</f>
        <v>0</v>
      </c>
      <c r="I364">
        <f>H364*INDEX(Question_Bank!$M$3:$M$14,MATCH(D364,Question_Bank!$A$3:$A$14,0))</f>
        <v>0</v>
      </c>
      <c r="J364">
        <f>SUMIFS($I$3:$I$518,$A$3:$A$518,A364)</f>
        <v>0</v>
      </c>
      <c r="K364" s="5">
        <f>J364/SUM(Question_Bank!$M$3:$M$14)</f>
        <v>0</v>
      </c>
      <c r="L364" s="5">
        <f>SUMIFS($I$3:$I$518,$A$3:$A$518,A364,$E$3:$E$518,E364)/SUMIFS(Question_Bank!$M$3:$M$14,Question_Bank!$B$3:$B$14,E364)</f>
        <v>0</v>
      </c>
      <c r="M364" t="s">
        <v>324</v>
      </c>
    </row>
    <row r="365" spans="1:13">
      <c r="A365" t="s">
        <v>323</v>
      </c>
      <c r="B365" t="s">
        <v>263</v>
      </c>
      <c r="C365" t="s">
        <v>227</v>
      </c>
      <c r="D365" t="s">
        <v>37</v>
      </c>
      <c r="E365" t="s">
        <v>15</v>
      </c>
      <c r="F365" t="s">
        <v>20</v>
      </c>
      <c r="G365">
        <f>INDEX(Question_Bank!$J$3:$J$14,MATCH(D365,Question_Bank!$A$3:$A$14,0))</f>
        <v>0</v>
      </c>
      <c r="H365">
        <f>IF(F365=G365,1,0)</f>
        <v>0</v>
      </c>
      <c r="I365">
        <f>H365*INDEX(Question_Bank!$M$3:$M$14,MATCH(D365,Question_Bank!$A$3:$A$14,0))</f>
        <v>0</v>
      </c>
      <c r="J365">
        <f>SUMIFS($I$3:$I$518,$A$3:$A$518,A365)</f>
        <v>0</v>
      </c>
      <c r="K365" s="5">
        <f>J365/SUM(Question_Bank!$M$3:$M$14)</f>
        <v>0</v>
      </c>
      <c r="L365" s="5">
        <f>SUMIFS($I$3:$I$518,$A$3:$A$518,A365,$E$3:$E$518,E365)/SUMIFS(Question_Bank!$M$3:$M$14,Question_Bank!$B$3:$B$14,E365)</f>
        <v>0</v>
      </c>
      <c r="M365" t="s">
        <v>324</v>
      </c>
    </row>
    <row r="366" spans="1:13">
      <c r="A366" t="s">
        <v>323</v>
      </c>
      <c r="B366" t="s">
        <v>263</v>
      </c>
      <c r="C366" t="s">
        <v>227</v>
      </c>
      <c r="D366" t="s">
        <v>45</v>
      </c>
      <c r="E366" t="s">
        <v>46</v>
      </c>
      <c r="F366" t="s">
        <v>23</v>
      </c>
      <c r="G366">
        <f>INDEX(Question_Bank!$J$3:$J$14,MATCH(D366,Question_Bank!$A$3:$A$14,0))</f>
        <v>0</v>
      </c>
      <c r="H366">
        <f>IF(F366=G366,1,0)</f>
        <v>0</v>
      </c>
      <c r="I366">
        <f>H366*INDEX(Question_Bank!$M$3:$M$14,MATCH(D366,Question_Bank!$A$3:$A$14,0))</f>
        <v>0</v>
      </c>
      <c r="J366">
        <f>SUMIFS($I$3:$I$518,$A$3:$A$518,A366)</f>
        <v>0</v>
      </c>
      <c r="K366" s="5">
        <f>J366/SUM(Question_Bank!$M$3:$M$14)</f>
        <v>0</v>
      </c>
      <c r="L366" s="5">
        <f>SUMIFS($I$3:$I$518,$A$3:$A$518,A366,$E$3:$E$518,E366)/SUMIFS(Question_Bank!$M$3:$M$14,Question_Bank!$B$3:$B$14,E366)</f>
        <v>0</v>
      </c>
      <c r="M366" t="s">
        <v>324</v>
      </c>
    </row>
    <row r="367" spans="1:13">
      <c r="A367" t="s">
        <v>323</v>
      </c>
      <c r="B367" t="s">
        <v>263</v>
      </c>
      <c r="C367" t="s">
        <v>227</v>
      </c>
      <c r="D367" t="s">
        <v>54</v>
      </c>
      <c r="E367" t="s">
        <v>46</v>
      </c>
      <c r="F367" t="s">
        <v>23</v>
      </c>
      <c r="G367">
        <f>INDEX(Question_Bank!$J$3:$J$14,MATCH(D367,Question_Bank!$A$3:$A$14,0))</f>
        <v>0</v>
      </c>
      <c r="H367">
        <f>IF(F367=G367,1,0)</f>
        <v>0</v>
      </c>
      <c r="I367">
        <f>H367*INDEX(Question_Bank!$M$3:$M$14,MATCH(D367,Question_Bank!$A$3:$A$14,0))</f>
        <v>0</v>
      </c>
      <c r="J367">
        <f>SUMIFS($I$3:$I$518,$A$3:$A$518,A367)</f>
        <v>0</v>
      </c>
      <c r="K367" s="5">
        <f>J367/SUM(Question_Bank!$M$3:$M$14)</f>
        <v>0</v>
      </c>
      <c r="L367" s="5">
        <f>SUMIFS($I$3:$I$518,$A$3:$A$518,A367,$E$3:$E$518,E367)/SUMIFS(Question_Bank!$M$3:$M$14,Question_Bank!$B$3:$B$14,E367)</f>
        <v>0</v>
      </c>
      <c r="M367" t="s">
        <v>324</v>
      </c>
    </row>
    <row r="368" spans="1:13">
      <c r="A368" t="s">
        <v>323</v>
      </c>
      <c r="B368" t="s">
        <v>263</v>
      </c>
      <c r="C368" t="s">
        <v>227</v>
      </c>
      <c r="D368" t="s">
        <v>62</v>
      </c>
      <c r="E368" t="s">
        <v>46</v>
      </c>
      <c r="F368" t="s">
        <v>34</v>
      </c>
      <c r="G368">
        <f>INDEX(Question_Bank!$J$3:$J$14,MATCH(D368,Question_Bank!$A$3:$A$14,0))</f>
        <v>0</v>
      </c>
      <c r="H368">
        <f>IF(F368=G368,1,0)</f>
        <v>0</v>
      </c>
      <c r="I368">
        <f>H368*INDEX(Question_Bank!$M$3:$M$14,MATCH(D368,Question_Bank!$A$3:$A$14,0))</f>
        <v>0</v>
      </c>
      <c r="J368">
        <f>SUMIFS($I$3:$I$518,$A$3:$A$518,A368)</f>
        <v>0</v>
      </c>
      <c r="K368" s="5">
        <f>J368/SUM(Question_Bank!$M$3:$M$14)</f>
        <v>0</v>
      </c>
      <c r="L368" s="5">
        <f>SUMIFS($I$3:$I$518,$A$3:$A$518,A368,$E$3:$E$518,E368)/SUMIFS(Question_Bank!$M$3:$M$14,Question_Bank!$B$3:$B$14,E368)</f>
        <v>0</v>
      </c>
      <c r="M368" t="s">
        <v>324</v>
      </c>
    </row>
    <row r="369" spans="1:13">
      <c r="A369" t="s">
        <v>323</v>
      </c>
      <c r="B369" t="s">
        <v>263</v>
      </c>
      <c r="C369" t="s">
        <v>227</v>
      </c>
      <c r="D369" t="s">
        <v>70</v>
      </c>
      <c r="E369" t="s">
        <v>71</v>
      </c>
      <c r="F369" t="s">
        <v>20</v>
      </c>
      <c r="G369">
        <f>INDEX(Question_Bank!$J$3:$J$14,MATCH(D369,Question_Bank!$A$3:$A$14,0))</f>
        <v>0</v>
      </c>
      <c r="H369">
        <f>IF(F369=G369,1,0)</f>
        <v>0</v>
      </c>
      <c r="I369">
        <f>H369*INDEX(Question_Bank!$M$3:$M$14,MATCH(D369,Question_Bank!$A$3:$A$14,0))</f>
        <v>0</v>
      </c>
      <c r="J369">
        <f>SUMIFS($I$3:$I$518,$A$3:$A$518,A369)</f>
        <v>0</v>
      </c>
      <c r="K369" s="5">
        <f>J369/SUM(Question_Bank!$M$3:$M$14)</f>
        <v>0</v>
      </c>
      <c r="L369" s="5">
        <f>SUMIFS($I$3:$I$518,$A$3:$A$518,A369,$E$3:$E$518,E369)/SUMIFS(Question_Bank!$M$3:$M$14,Question_Bank!$B$3:$B$14,E369)</f>
        <v>0</v>
      </c>
      <c r="M369" t="s">
        <v>324</v>
      </c>
    </row>
    <row r="370" spans="1:13">
      <c r="A370" t="s">
        <v>323</v>
      </c>
      <c r="B370" t="s">
        <v>263</v>
      </c>
      <c r="C370" t="s">
        <v>227</v>
      </c>
      <c r="D370" t="s">
        <v>79</v>
      </c>
      <c r="E370" t="s">
        <v>71</v>
      </c>
      <c r="F370" t="s">
        <v>31</v>
      </c>
      <c r="G370">
        <f>INDEX(Question_Bank!$J$3:$J$14,MATCH(D370,Question_Bank!$A$3:$A$14,0))</f>
        <v>0</v>
      </c>
      <c r="H370">
        <f>IF(F370=G370,1,0)</f>
        <v>0</v>
      </c>
      <c r="I370">
        <f>H370*INDEX(Question_Bank!$M$3:$M$14,MATCH(D370,Question_Bank!$A$3:$A$14,0))</f>
        <v>0</v>
      </c>
      <c r="J370">
        <f>SUMIFS($I$3:$I$518,$A$3:$A$518,A370)</f>
        <v>0</v>
      </c>
      <c r="K370" s="5">
        <f>J370/SUM(Question_Bank!$M$3:$M$14)</f>
        <v>0</v>
      </c>
      <c r="L370" s="5">
        <f>SUMIFS($I$3:$I$518,$A$3:$A$518,A370,$E$3:$E$518,E370)/SUMIFS(Question_Bank!$M$3:$M$14,Question_Bank!$B$3:$B$14,E370)</f>
        <v>0</v>
      </c>
      <c r="M370" t="s">
        <v>324</v>
      </c>
    </row>
    <row r="371" spans="1:13">
      <c r="A371" t="s">
        <v>323</v>
      </c>
      <c r="B371" t="s">
        <v>263</v>
      </c>
      <c r="C371" t="s">
        <v>227</v>
      </c>
      <c r="D371" t="s">
        <v>87</v>
      </c>
      <c r="E371" t="s">
        <v>71</v>
      </c>
      <c r="F371" t="s">
        <v>23</v>
      </c>
      <c r="G371">
        <f>INDEX(Question_Bank!$J$3:$J$14,MATCH(D371,Question_Bank!$A$3:$A$14,0))</f>
        <v>0</v>
      </c>
      <c r="H371">
        <f>IF(F371=G371,1,0)</f>
        <v>0</v>
      </c>
      <c r="I371">
        <f>H371*INDEX(Question_Bank!$M$3:$M$14,MATCH(D371,Question_Bank!$A$3:$A$14,0))</f>
        <v>0</v>
      </c>
      <c r="J371">
        <f>SUMIFS($I$3:$I$518,$A$3:$A$518,A371)</f>
        <v>0</v>
      </c>
      <c r="K371" s="5">
        <f>J371/SUM(Question_Bank!$M$3:$M$14)</f>
        <v>0</v>
      </c>
      <c r="L371" s="5">
        <f>SUMIFS($I$3:$I$518,$A$3:$A$518,A371,$E$3:$E$518,E371)/SUMIFS(Question_Bank!$M$3:$M$14,Question_Bank!$B$3:$B$14,E371)</f>
        <v>0</v>
      </c>
      <c r="M371" t="s">
        <v>324</v>
      </c>
    </row>
    <row r="372" spans="1:13">
      <c r="A372" t="s">
        <v>323</v>
      </c>
      <c r="B372" t="s">
        <v>263</v>
      </c>
      <c r="C372" t="s">
        <v>227</v>
      </c>
      <c r="D372" t="s">
        <v>95</v>
      </c>
      <c r="E372" t="s">
        <v>96</v>
      </c>
      <c r="F372" t="s">
        <v>34</v>
      </c>
      <c r="G372">
        <f>INDEX(Question_Bank!$J$3:$J$14,MATCH(D372,Question_Bank!$A$3:$A$14,0))</f>
        <v>0</v>
      </c>
      <c r="H372">
        <f>IF(F372=G372,1,0)</f>
        <v>0</v>
      </c>
      <c r="I372">
        <f>H372*INDEX(Question_Bank!$M$3:$M$14,MATCH(D372,Question_Bank!$A$3:$A$14,0))</f>
        <v>0</v>
      </c>
      <c r="J372">
        <f>SUMIFS($I$3:$I$518,$A$3:$A$518,A372)</f>
        <v>0</v>
      </c>
      <c r="K372" s="5">
        <f>J372/SUM(Question_Bank!$M$3:$M$14)</f>
        <v>0</v>
      </c>
      <c r="L372" s="5">
        <f>SUMIFS($I$3:$I$518,$A$3:$A$518,A372,$E$3:$E$518,E372)/SUMIFS(Question_Bank!$M$3:$M$14,Question_Bank!$B$3:$B$14,E372)</f>
        <v>0</v>
      </c>
      <c r="M372" t="s">
        <v>324</v>
      </c>
    </row>
    <row r="373" spans="1:13">
      <c r="A373" t="s">
        <v>323</v>
      </c>
      <c r="B373" t="s">
        <v>263</v>
      </c>
      <c r="C373" t="s">
        <v>227</v>
      </c>
      <c r="D373" t="s">
        <v>104</v>
      </c>
      <c r="E373" t="s">
        <v>96</v>
      </c>
      <c r="F373" t="s">
        <v>20</v>
      </c>
      <c r="G373">
        <f>INDEX(Question_Bank!$J$3:$J$14,MATCH(D373,Question_Bank!$A$3:$A$14,0))</f>
        <v>0</v>
      </c>
      <c r="H373">
        <f>IF(F373=G373,1,0)</f>
        <v>0</v>
      </c>
      <c r="I373">
        <f>H373*INDEX(Question_Bank!$M$3:$M$14,MATCH(D373,Question_Bank!$A$3:$A$14,0))</f>
        <v>0</v>
      </c>
      <c r="J373">
        <f>SUMIFS($I$3:$I$518,$A$3:$A$518,A373)</f>
        <v>0</v>
      </c>
      <c r="K373" s="5">
        <f>J373/SUM(Question_Bank!$M$3:$M$14)</f>
        <v>0</v>
      </c>
      <c r="L373" s="5">
        <f>SUMIFS($I$3:$I$518,$A$3:$A$518,A373,$E$3:$E$518,E373)/SUMIFS(Question_Bank!$M$3:$M$14,Question_Bank!$B$3:$B$14,E373)</f>
        <v>0</v>
      </c>
      <c r="M373" t="s">
        <v>324</v>
      </c>
    </row>
    <row r="374" spans="1:13">
      <c r="A374" t="s">
        <v>323</v>
      </c>
      <c r="B374" t="s">
        <v>263</v>
      </c>
      <c r="C374" t="s">
        <v>227</v>
      </c>
      <c r="D374" t="s">
        <v>112</v>
      </c>
      <c r="E374" t="s">
        <v>96</v>
      </c>
      <c r="F374" t="s">
        <v>31</v>
      </c>
      <c r="G374">
        <f>INDEX(Question_Bank!$J$3:$J$14,MATCH(D374,Question_Bank!$A$3:$A$14,0))</f>
        <v>0</v>
      </c>
      <c r="H374">
        <f>IF(F374=G374,1,0)</f>
        <v>0</v>
      </c>
      <c r="I374">
        <f>H374*INDEX(Question_Bank!$M$3:$M$14,MATCH(D374,Question_Bank!$A$3:$A$14,0))</f>
        <v>0</v>
      </c>
      <c r="J374">
        <f>SUMIFS($I$3:$I$518,$A$3:$A$518,A374)</f>
        <v>0</v>
      </c>
      <c r="K374" s="5">
        <f>J374/SUM(Question_Bank!$M$3:$M$14)</f>
        <v>0</v>
      </c>
      <c r="L374" s="5">
        <f>SUMIFS($I$3:$I$518,$A$3:$A$518,A374,$E$3:$E$518,E374)/SUMIFS(Question_Bank!$M$3:$M$14,Question_Bank!$B$3:$B$14,E374)</f>
        <v>0</v>
      </c>
      <c r="M374" t="s">
        <v>324</v>
      </c>
    </row>
    <row r="375" spans="1:13">
      <c r="A375" t="s">
        <v>325</v>
      </c>
      <c r="B375" t="s">
        <v>263</v>
      </c>
      <c r="C375" t="s">
        <v>227</v>
      </c>
      <c r="D375" t="s">
        <v>14</v>
      </c>
      <c r="E375" t="s">
        <v>15</v>
      </c>
      <c r="F375" t="s">
        <v>23</v>
      </c>
      <c r="G375">
        <f>INDEX(Question_Bank!$J$3:$J$14,MATCH(D375,Question_Bank!$A$3:$A$14,0))</f>
        <v>0</v>
      </c>
      <c r="H375">
        <f>IF(F375=G375,1,0)</f>
        <v>0</v>
      </c>
      <c r="I375">
        <f>H375*INDEX(Question_Bank!$M$3:$M$14,MATCH(D375,Question_Bank!$A$3:$A$14,0))</f>
        <v>0</v>
      </c>
      <c r="J375">
        <f>SUMIFS($I$3:$I$518,$A$3:$A$518,A375)</f>
        <v>0</v>
      </c>
      <c r="K375" s="5">
        <f>J375/SUM(Question_Bank!$M$3:$M$14)</f>
        <v>0</v>
      </c>
      <c r="L375" s="5">
        <f>SUMIFS($I$3:$I$518,$A$3:$A$518,A375,$E$3:$E$518,E375)/SUMIFS(Question_Bank!$M$3:$M$14,Question_Bank!$B$3:$B$14,E375)</f>
        <v>0</v>
      </c>
      <c r="M375" t="s">
        <v>326</v>
      </c>
    </row>
    <row r="376" spans="1:13">
      <c r="A376" t="s">
        <v>325</v>
      </c>
      <c r="B376" t="s">
        <v>263</v>
      </c>
      <c r="C376" t="s">
        <v>227</v>
      </c>
      <c r="D376" t="s">
        <v>26</v>
      </c>
      <c r="E376" t="s">
        <v>15</v>
      </c>
      <c r="F376" t="s">
        <v>34</v>
      </c>
      <c r="G376">
        <f>INDEX(Question_Bank!$J$3:$J$14,MATCH(D376,Question_Bank!$A$3:$A$14,0))</f>
        <v>0</v>
      </c>
      <c r="H376">
        <f>IF(F376=G376,1,0)</f>
        <v>0</v>
      </c>
      <c r="I376">
        <f>H376*INDEX(Question_Bank!$M$3:$M$14,MATCH(D376,Question_Bank!$A$3:$A$14,0))</f>
        <v>0</v>
      </c>
      <c r="J376">
        <f>SUMIFS($I$3:$I$518,$A$3:$A$518,A376)</f>
        <v>0</v>
      </c>
      <c r="K376" s="5">
        <f>J376/SUM(Question_Bank!$M$3:$M$14)</f>
        <v>0</v>
      </c>
      <c r="L376" s="5">
        <f>SUMIFS($I$3:$I$518,$A$3:$A$518,A376,$E$3:$E$518,E376)/SUMIFS(Question_Bank!$M$3:$M$14,Question_Bank!$B$3:$B$14,E376)</f>
        <v>0</v>
      </c>
      <c r="M376" t="s">
        <v>326</v>
      </c>
    </row>
    <row r="377" spans="1:13">
      <c r="A377" t="s">
        <v>325</v>
      </c>
      <c r="B377" t="s">
        <v>263</v>
      </c>
      <c r="C377" t="s">
        <v>227</v>
      </c>
      <c r="D377" t="s">
        <v>37</v>
      </c>
      <c r="E377" t="s">
        <v>15</v>
      </c>
      <c r="F377" t="s">
        <v>20</v>
      </c>
      <c r="G377">
        <f>INDEX(Question_Bank!$J$3:$J$14,MATCH(D377,Question_Bank!$A$3:$A$14,0))</f>
        <v>0</v>
      </c>
      <c r="H377">
        <f>IF(F377=G377,1,0)</f>
        <v>0</v>
      </c>
      <c r="I377">
        <f>H377*INDEX(Question_Bank!$M$3:$M$14,MATCH(D377,Question_Bank!$A$3:$A$14,0))</f>
        <v>0</v>
      </c>
      <c r="J377">
        <f>SUMIFS($I$3:$I$518,$A$3:$A$518,A377)</f>
        <v>0</v>
      </c>
      <c r="K377" s="5">
        <f>J377/SUM(Question_Bank!$M$3:$M$14)</f>
        <v>0</v>
      </c>
      <c r="L377" s="5">
        <f>SUMIFS($I$3:$I$518,$A$3:$A$518,A377,$E$3:$E$518,E377)/SUMIFS(Question_Bank!$M$3:$M$14,Question_Bank!$B$3:$B$14,E377)</f>
        <v>0</v>
      </c>
      <c r="M377" t="s">
        <v>326</v>
      </c>
    </row>
    <row r="378" spans="1:13">
      <c r="A378" t="s">
        <v>325</v>
      </c>
      <c r="B378" t="s">
        <v>263</v>
      </c>
      <c r="C378" t="s">
        <v>227</v>
      </c>
      <c r="D378" t="s">
        <v>45</v>
      </c>
      <c r="E378" t="s">
        <v>46</v>
      </c>
      <c r="F378" t="s">
        <v>31</v>
      </c>
      <c r="G378">
        <f>INDEX(Question_Bank!$J$3:$J$14,MATCH(D378,Question_Bank!$A$3:$A$14,0))</f>
        <v>0</v>
      </c>
      <c r="H378">
        <f>IF(F378=G378,1,0)</f>
        <v>0</v>
      </c>
      <c r="I378">
        <f>H378*INDEX(Question_Bank!$M$3:$M$14,MATCH(D378,Question_Bank!$A$3:$A$14,0))</f>
        <v>0</v>
      </c>
      <c r="J378">
        <f>SUMIFS($I$3:$I$518,$A$3:$A$518,A378)</f>
        <v>0</v>
      </c>
      <c r="K378" s="5">
        <f>J378/SUM(Question_Bank!$M$3:$M$14)</f>
        <v>0</v>
      </c>
      <c r="L378" s="5">
        <f>SUMIFS($I$3:$I$518,$A$3:$A$518,A378,$E$3:$E$518,E378)/SUMIFS(Question_Bank!$M$3:$M$14,Question_Bank!$B$3:$B$14,E378)</f>
        <v>0</v>
      </c>
      <c r="M378" t="s">
        <v>326</v>
      </c>
    </row>
    <row r="379" spans="1:13">
      <c r="A379" t="s">
        <v>325</v>
      </c>
      <c r="B379" t="s">
        <v>263</v>
      </c>
      <c r="C379" t="s">
        <v>227</v>
      </c>
      <c r="D379" t="s">
        <v>54</v>
      </c>
      <c r="E379" t="s">
        <v>46</v>
      </c>
      <c r="F379" t="s">
        <v>23</v>
      </c>
      <c r="G379">
        <f>INDEX(Question_Bank!$J$3:$J$14,MATCH(D379,Question_Bank!$A$3:$A$14,0))</f>
        <v>0</v>
      </c>
      <c r="H379">
        <f>IF(F379=G379,1,0)</f>
        <v>0</v>
      </c>
      <c r="I379">
        <f>H379*INDEX(Question_Bank!$M$3:$M$14,MATCH(D379,Question_Bank!$A$3:$A$14,0))</f>
        <v>0</v>
      </c>
      <c r="J379">
        <f>SUMIFS($I$3:$I$518,$A$3:$A$518,A379)</f>
        <v>0</v>
      </c>
      <c r="K379" s="5">
        <f>J379/SUM(Question_Bank!$M$3:$M$14)</f>
        <v>0</v>
      </c>
      <c r="L379" s="5">
        <f>SUMIFS($I$3:$I$518,$A$3:$A$518,A379,$E$3:$E$518,E379)/SUMIFS(Question_Bank!$M$3:$M$14,Question_Bank!$B$3:$B$14,E379)</f>
        <v>0</v>
      </c>
      <c r="M379" t="s">
        <v>326</v>
      </c>
    </row>
    <row r="380" spans="1:13">
      <c r="A380" t="s">
        <v>325</v>
      </c>
      <c r="B380" t="s">
        <v>263</v>
      </c>
      <c r="C380" t="s">
        <v>227</v>
      </c>
      <c r="D380" t="s">
        <v>62</v>
      </c>
      <c r="E380" t="s">
        <v>46</v>
      </c>
      <c r="F380" t="s">
        <v>34</v>
      </c>
      <c r="G380">
        <f>INDEX(Question_Bank!$J$3:$J$14,MATCH(D380,Question_Bank!$A$3:$A$14,0))</f>
        <v>0</v>
      </c>
      <c r="H380">
        <f>IF(F380=G380,1,0)</f>
        <v>0</v>
      </c>
      <c r="I380">
        <f>H380*INDEX(Question_Bank!$M$3:$M$14,MATCH(D380,Question_Bank!$A$3:$A$14,0))</f>
        <v>0</v>
      </c>
      <c r="J380">
        <f>SUMIFS($I$3:$I$518,$A$3:$A$518,A380)</f>
        <v>0</v>
      </c>
      <c r="K380" s="5">
        <f>J380/SUM(Question_Bank!$M$3:$M$14)</f>
        <v>0</v>
      </c>
      <c r="L380" s="5">
        <f>SUMIFS($I$3:$I$518,$A$3:$A$518,A380,$E$3:$E$518,E380)/SUMIFS(Question_Bank!$M$3:$M$14,Question_Bank!$B$3:$B$14,E380)</f>
        <v>0</v>
      </c>
      <c r="M380" t="s">
        <v>326</v>
      </c>
    </row>
    <row r="381" spans="1:13">
      <c r="A381" t="s">
        <v>325</v>
      </c>
      <c r="B381" t="s">
        <v>263</v>
      </c>
      <c r="C381" t="s">
        <v>227</v>
      </c>
      <c r="D381" t="s">
        <v>70</v>
      </c>
      <c r="E381" t="s">
        <v>71</v>
      </c>
      <c r="F381" t="s">
        <v>20</v>
      </c>
      <c r="G381">
        <f>INDEX(Question_Bank!$J$3:$J$14,MATCH(D381,Question_Bank!$A$3:$A$14,0))</f>
        <v>0</v>
      </c>
      <c r="H381">
        <f>IF(F381=G381,1,0)</f>
        <v>0</v>
      </c>
      <c r="I381">
        <f>H381*INDEX(Question_Bank!$M$3:$M$14,MATCH(D381,Question_Bank!$A$3:$A$14,0))</f>
        <v>0</v>
      </c>
      <c r="J381">
        <f>SUMIFS($I$3:$I$518,$A$3:$A$518,A381)</f>
        <v>0</v>
      </c>
      <c r="K381" s="5">
        <f>J381/SUM(Question_Bank!$M$3:$M$14)</f>
        <v>0</v>
      </c>
      <c r="L381" s="5">
        <f>SUMIFS($I$3:$I$518,$A$3:$A$518,A381,$E$3:$E$518,E381)/SUMIFS(Question_Bank!$M$3:$M$14,Question_Bank!$B$3:$B$14,E381)</f>
        <v>0</v>
      </c>
      <c r="M381" t="s">
        <v>326</v>
      </c>
    </row>
    <row r="382" spans="1:13">
      <c r="A382" t="s">
        <v>325</v>
      </c>
      <c r="B382" t="s">
        <v>263</v>
      </c>
      <c r="C382" t="s">
        <v>227</v>
      </c>
      <c r="D382" t="s">
        <v>79</v>
      </c>
      <c r="E382" t="s">
        <v>71</v>
      </c>
      <c r="F382" t="s">
        <v>31</v>
      </c>
      <c r="G382">
        <f>INDEX(Question_Bank!$J$3:$J$14,MATCH(D382,Question_Bank!$A$3:$A$14,0))</f>
        <v>0</v>
      </c>
      <c r="H382">
        <f>IF(F382=G382,1,0)</f>
        <v>0</v>
      </c>
      <c r="I382">
        <f>H382*INDEX(Question_Bank!$M$3:$M$14,MATCH(D382,Question_Bank!$A$3:$A$14,0))</f>
        <v>0</v>
      </c>
      <c r="J382">
        <f>SUMIFS($I$3:$I$518,$A$3:$A$518,A382)</f>
        <v>0</v>
      </c>
      <c r="K382" s="5">
        <f>J382/SUM(Question_Bank!$M$3:$M$14)</f>
        <v>0</v>
      </c>
      <c r="L382" s="5">
        <f>SUMIFS($I$3:$I$518,$A$3:$A$518,A382,$E$3:$E$518,E382)/SUMIFS(Question_Bank!$M$3:$M$14,Question_Bank!$B$3:$B$14,E382)</f>
        <v>0</v>
      </c>
      <c r="M382" t="s">
        <v>326</v>
      </c>
    </row>
    <row r="383" spans="1:13">
      <c r="A383" t="s">
        <v>325</v>
      </c>
      <c r="B383" t="s">
        <v>263</v>
      </c>
      <c r="C383" t="s">
        <v>227</v>
      </c>
      <c r="D383" t="s">
        <v>87</v>
      </c>
      <c r="E383" t="s">
        <v>71</v>
      </c>
      <c r="F383" t="s">
        <v>23</v>
      </c>
      <c r="G383">
        <f>INDEX(Question_Bank!$J$3:$J$14,MATCH(D383,Question_Bank!$A$3:$A$14,0))</f>
        <v>0</v>
      </c>
      <c r="H383">
        <f>IF(F383=G383,1,0)</f>
        <v>0</v>
      </c>
      <c r="I383">
        <f>H383*INDEX(Question_Bank!$M$3:$M$14,MATCH(D383,Question_Bank!$A$3:$A$14,0))</f>
        <v>0</v>
      </c>
      <c r="J383">
        <f>SUMIFS($I$3:$I$518,$A$3:$A$518,A383)</f>
        <v>0</v>
      </c>
      <c r="K383" s="5">
        <f>J383/SUM(Question_Bank!$M$3:$M$14)</f>
        <v>0</v>
      </c>
      <c r="L383" s="5">
        <f>SUMIFS($I$3:$I$518,$A$3:$A$518,A383,$E$3:$E$518,E383)/SUMIFS(Question_Bank!$M$3:$M$14,Question_Bank!$B$3:$B$14,E383)</f>
        <v>0</v>
      </c>
      <c r="M383" t="s">
        <v>326</v>
      </c>
    </row>
    <row r="384" spans="1:13">
      <c r="A384" t="s">
        <v>325</v>
      </c>
      <c r="B384" t="s">
        <v>263</v>
      </c>
      <c r="C384" t="s">
        <v>227</v>
      </c>
      <c r="D384" t="s">
        <v>95</v>
      </c>
      <c r="E384" t="s">
        <v>96</v>
      </c>
      <c r="F384" t="s">
        <v>34</v>
      </c>
      <c r="G384">
        <f>INDEX(Question_Bank!$J$3:$J$14,MATCH(D384,Question_Bank!$A$3:$A$14,0))</f>
        <v>0</v>
      </c>
      <c r="H384">
        <f>IF(F384=G384,1,0)</f>
        <v>0</v>
      </c>
      <c r="I384">
        <f>H384*INDEX(Question_Bank!$M$3:$M$14,MATCH(D384,Question_Bank!$A$3:$A$14,0))</f>
        <v>0</v>
      </c>
      <c r="J384">
        <f>SUMIFS($I$3:$I$518,$A$3:$A$518,A384)</f>
        <v>0</v>
      </c>
      <c r="K384" s="5">
        <f>J384/SUM(Question_Bank!$M$3:$M$14)</f>
        <v>0</v>
      </c>
      <c r="L384" s="5">
        <f>SUMIFS($I$3:$I$518,$A$3:$A$518,A384,$E$3:$E$518,E384)/SUMIFS(Question_Bank!$M$3:$M$14,Question_Bank!$B$3:$B$14,E384)</f>
        <v>0</v>
      </c>
      <c r="M384" t="s">
        <v>326</v>
      </c>
    </row>
    <row r="385" spans="1:13">
      <c r="A385" t="s">
        <v>325</v>
      </c>
      <c r="B385" t="s">
        <v>263</v>
      </c>
      <c r="C385" t="s">
        <v>227</v>
      </c>
      <c r="D385" t="s">
        <v>104</v>
      </c>
      <c r="E385" t="s">
        <v>96</v>
      </c>
      <c r="F385" t="s">
        <v>20</v>
      </c>
      <c r="G385">
        <f>INDEX(Question_Bank!$J$3:$J$14,MATCH(D385,Question_Bank!$A$3:$A$14,0))</f>
        <v>0</v>
      </c>
      <c r="H385">
        <f>IF(F385=G385,1,0)</f>
        <v>0</v>
      </c>
      <c r="I385">
        <f>H385*INDEX(Question_Bank!$M$3:$M$14,MATCH(D385,Question_Bank!$A$3:$A$14,0))</f>
        <v>0</v>
      </c>
      <c r="J385">
        <f>SUMIFS($I$3:$I$518,$A$3:$A$518,A385)</f>
        <v>0</v>
      </c>
      <c r="K385" s="5">
        <f>J385/SUM(Question_Bank!$M$3:$M$14)</f>
        <v>0</v>
      </c>
      <c r="L385" s="5">
        <f>SUMIFS($I$3:$I$518,$A$3:$A$518,A385,$E$3:$E$518,E385)/SUMIFS(Question_Bank!$M$3:$M$14,Question_Bank!$B$3:$B$14,E385)</f>
        <v>0</v>
      </c>
      <c r="M385" t="s">
        <v>326</v>
      </c>
    </row>
    <row r="386" spans="1:13">
      <c r="A386" t="s">
        <v>325</v>
      </c>
      <c r="B386" t="s">
        <v>263</v>
      </c>
      <c r="C386" t="s">
        <v>227</v>
      </c>
      <c r="D386" t="s">
        <v>112</v>
      </c>
      <c r="E386" t="s">
        <v>96</v>
      </c>
      <c r="F386" t="s">
        <v>31</v>
      </c>
      <c r="G386">
        <f>INDEX(Question_Bank!$J$3:$J$14,MATCH(D386,Question_Bank!$A$3:$A$14,0))</f>
        <v>0</v>
      </c>
      <c r="H386">
        <f>IF(F386=G386,1,0)</f>
        <v>0</v>
      </c>
      <c r="I386">
        <f>H386*INDEX(Question_Bank!$M$3:$M$14,MATCH(D386,Question_Bank!$A$3:$A$14,0))</f>
        <v>0</v>
      </c>
      <c r="J386">
        <f>SUMIFS($I$3:$I$518,$A$3:$A$518,A386)</f>
        <v>0</v>
      </c>
      <c r="K386" s="5">
        <f>J386/SUM(Question_Bank!$M$3:$M$14)</f>
        <v>0</v>
      </c>
      <c r="L386" s="5">
        <f>SUMIFS($I$3:$I$518,$A$3:$A$518,A386,$E$3:$E$518,E386)/SUMIFS(Question_Bank!$M$3:$M$14,Question_Bank!$B$3:$B$14,E386)</f>
        <v>0</v>
      </c>
      <c r="M386" t="s">
        <v>326</v>
      </c>
    </row>
    <row r="387" spans="1:13">
      <c r="A387" t="s">
        <v>327</v>
      </c>
      <c r="B387" t="s">
        <v>263</v>
      </c>
      <c r="C387" t="s">
        <v>227</v>
      </c>
      <c r="D387" t="s">
        <v>14</v>
      </c>
      <c r="E387" t="s">
        <v>15</v>
      </c>
      <c r="F387" t="s">
        <v>23</v>
      </c>
      <c r="G387">
        <f>INDEX(Question_Bank!$J$3:$J$14,MATCH(D387,Question_Bank!$A$3:$A$14,0))</f>
        <v>0</v>
      </c>
      <c r="H387">
        <f>IF(F387=G387,1,0)</f>
        <v>0</v>
      </c>
      <c r="I387">
        <f>H387*INDEX(Question_Bank!$M$3:$M$14,MATCH(D387,Question_Bank!$A$3:$A$14,0))</f>
        <v>0</v>
      </c>
      <c r="J387">
        <f>SUMIFS($I$3:$I$518,$A$3:$A$518,A387)</f>
        <v>0</v>
      </c>
      <c r="K387" s="5">
        <f>J387/SUM(Question_Bank!$M$3:$M$14)</f>
        <v>0</v>
      </c>
      <c r="L387" s="5">
        <f>SUMIFS($I$3:$I$518,$A$3:$A$518,A387,$E$3:$E$518,E387)/SUMIFS(Question_Bank!$M$3:$M$14,Question_Bank!$B$3:$B$14,E387)</f>
        <v>0</v>
      </c>
      <c r="M387" t="s">
        <v>328</v>
      </c>
    </row>
    <row r="388" spans="1:13">
      <c r="A388" t="s">
        <v>327</v>
      </c>
      <c r="B388" t="s">
        <v>263</v>
      </c>
      <c r="C388" t="s">
        <v>227</v>
      </c>
      <c r="D388" t="s">
        <v>26</v>
      </c>
      <c r="E388" t="s">
        <v>15</v>
      </c>
      <c r="F388" t="s">
        <v>34</v>
      </c>
      <c r="G388">
        <f>INDEX(Question_Bank!$J$3:$J$14,MATCH(D388,Question_Bank!$A$3:$A$14,0))</f>
        <v>0</v>
      </c>
      <c r="H388">
        <f>IF(F388=G388,1,0)</f>
        <v>0</v>
      </c>
      <c r="I388">
        <f>H388*INDEX(Question_Bank!$M$3:$M$14,MATCH(D388,Question_Bank!$A$3:$A$14,0))</f>
        <v>0</v>
      </c>
      <c r="J388">
        <f>SUMIFS($I$3:$I$518,$A$3:$A$518,A388)</f>
        <v>0</v>
      </c>
      <c r="K388" s="5">
        <f>J388/SUM(Question_Bank!$M$3:$M$14)</f>
        <v>0</v>
      </c>
      <c r="L388" s="5">
        <f>SUMIFS($I$3:$I$518,$A$3:$A$518,A388,$E$3:$E$518,E388)/SUMIFS(Question_Bank!$M$3:$M$14,Question_Bank!$B$3:$B$14,E388)</f>
        <v>0</v>
      </c>
      <c r="M388" t="s">
        <v>328</v>
      </c>
    </row>
    <row r="389" spans="1:13">
      <c r="A389" t="s">
        <v>327</v>
      </c>
      <c r="B389" t="s">
        <v>263</v>
      </c>
      <c r="C389" t="s">
        <v>227</v>
      </c>
      <c r="D389" t="s">
        <v>37</v>
      </c>
      <c r="E389" t="s">
        <v>15</v>
      </c>
      <c r="F389" t="s">
        <v>20</v>
      </c>
      <c r="G389">
        <f>INDEX(Question_Bank!$J$3:$J$14,MATCH(D389,Question_Bank!$A$3:$A$14,0))</f>
        <v>0</v>
      </c>
      <c r="H389">
        <f>IF(F389=G389,1,0)</f>
        <v>0</v>
      </c>
      <c r="I389">
        <f>H389*INDEX(Question_Bank!$M$3:$M$14,MATCH(D389,Question_Bank!$A$3:$A$14,0))</f>
        <v>0</v>
      </c>
      <c r="J389">
        <f>SUMIFS($I$3:$I$518,$A$3:$A$518,A389)</f>
        <v>0</v>
      </c>
      <c r="K389" s="5">
        <f>J389/SUM(Question_Bank!$M$3:$M$14)</f>
        <v>0</v>
      </c>
      <c r="L389" s="5">
        <f>SUMIFS($I$3:$I$518,$A$3:$A$518,A389,$E$3:$E$518,E389)/SUMIFS(Question_Bank!$M$3:$M$14,Question_Bank!$B$3:$B$14,E389)</f>
        <v>0</v>
      </c>
      <c r="M389" t="s">
        <v>328</v>
      </c>
    </row>
    <row r="390" spans="1:13">
      <c r="A390" t="s">
        <v>327</v>
      </c>
      <c r="B390" t="s">
        <v>263</v>
      </c>
      <c r="C390" t="s">
        <v>227</v>
      </c>
      <c r="D390" t="s">
        <v>45</v>
      </c>
      <c r="E390" t="s">
        <v>46</v>
      </c>
      <c r="F390" t="s">
        <v>31</v>
      </c>
      <c r="G390">
        <f>INDEX(Question_Bank!$J$3:$J$14,MATCH(D390,Question_Bank!$A$3:$A$14,0))</f>
        <v>0</v>
      </c>
      <c r="H390">
        <f>IF(F390=G390,1,0)</f>
        <v>0</v>
      </c>
      <c r="I390">
        <f>H390*INDEX(Question_Bank!$M$3:$M$14,MATCH(D390,Question_Bank!$A$3:$A$14,0))</f>
        <v>0</v>
      </c>
      <c r="J390">
        <f>SUMIFS($I$3:$I$518,$A$3:$A$518,A390)</f>
        <v>0</v>
      </c>
      <c r="K390" s="5">
        <f>J390/SUM(Question_Bank!$M$3:$M$14)</f>
        <v>0</v>
      </c>
      <c r="L390" s="5">
        <f>SUMIFS($I$3:$I$518,$A$3:$A$518,A390,$E$3:$E$518,E390)/SUMIFS(Question_Bank!$M$3:$M$14,Question_Bank!$B$3:$B$14,E390)</f>
        <v>0</v>
      </c>
      <c r="M390" t="s">
        <v>328</v>
      </c>
    </row>
    <row r="391" spans="1:13">
      <c r="A391" t="s">
        <v>327</v>
      </c>
      <c r="B391" t="s">
        <v>263</v>
      </c>
      <c r="C391" t="s">
        <v>227</v>
      </c>
      <c r="D391" t="s">
        <v>54</v>
      </c>
      <c r="E391" t="s">
        <v>46</v>
      </c>
      <c r="F391" t="s">
        <v>23</v>
      </c>
      <c r="G391">
        <f>INDEX(Question_Bank!$J$3:$J$14,MATCH(D391,Question_Bank!$A$3:$A$14,0))</f>
        <v>0</v>
      </c>
      <c r="H391">
        <f>IF(F391=G391,1,0)</f>
        <v>0</v>
      </c>
      <c r="I391">
        <f>H391*INDEX(Question_Bank!$M$3:$M$14,MATCH(D391,Question_Bank!$A$3:$A$14,0))</f>
        <v>0</v>
      </c>
      <c r="J391">
        <f>SUMIFS($I$3:$I$518,$A$3:$A$518,A391)</f>
        <v>0</v>
      </c>
      <c r="K391" s="5">
        <f>J391/SUM(Question_Bank!$M$3:$M$14)</f>
        <v>0</v>
      </c>
      <c r="L391" s="5">
        <f>SUMIFS($I$3:$I$518,$A$3:$A$518,A391,$E$3:$E$518,E391)/SUMIFS(Question_Bank!$M$3:$M$14,Question_Bank!$B$3:$B$14,E391)</f>
        <v>0</v>
      </c>
      <c r="M391" t="s">
        <v>328</v>
      </c>
    </row>
    <row r="392" spans="1:13">
      <c r="A392" t="s">
        <v>327</v>
      </c>
      <c r="B392" t="s">
        <v>263</v>
      </c>
      <c r="C392" t="s">
        <v>227</v>
      </c>
      <c r="D392" t="s">
        <v>62</v>
      </c>
      <c r="E392" t="s">
        <v>46</v>
      </c>
      <c r="F392" t="s">
        <v>34</v>
      </c>
      <c r="G392">
        <f>INDEX(Question_Bank!$J$3:$J$14,MATCH(D392,Question_Bank!$A$3:$A$14,0))</f>
        <v>0</v>
      </c>
      <c r="H392">
        <f>IF(F392=G392,1,0)</f>
        <v>0</v>
      </c>
      <c r="I392">
        <f>H392*INDEX(Question_Bank!$M$3:$M$14,MATCH(D392,Question_Bank!$A$3:$A$14,0))</f>
        <v>0</v>
      </c>
      <c r="J392">
        <f>SUMIFS($I$3:$I$518,$A$3:$A$518,A392)</f>
        <v>0</v>
      </c>
      <c r="K392" s="5">
        <f>J392/SUM(Question_Bank!$M$3:$M$14)</f>
        <v>0</v>
      </c>
      <c r="L392" s="5">
        <f>SUMIFS($I$3:$I$518,$A$3:$A$518,A392,$E$3:$E$518,E392)/SUMIFS(Question_Bank!$M$3:$M$14,Question_Bank!$B$3:$B$14,E392)</f>
        <v>0</v>
      </c>
      <c r="M392" t="s">
        <v>328</v>
      </c>
    </row>
    <row r="393" spans="1:13">
      <c r="A393" t="s">
        <v>327</v>
      </c>
      <c r="B393" t="s">
        <v>263</v>
      </c>
      <c r="C393" t="s">
        <v>227</v>
      </c>
      <c r="D393" t="s">
        <v>70</v>
      </c>
      <c r="E393" t="s">
        <v>71</v>
      </c>
      <c r="F393" t="s">
        <v>20</v>
      </c>
      <c r="G393">
        <f>INDEX(Question_Bank!$J$3:$J$14,MATCH(D393,Question_Bank!$A$3:$A$14,0))</f>
        <v>0</v>
      </c>
      <c r="H393">
        <f>IF(F393=G393,1,0)</f>
        <v>0</v>
      </c>
      <c r="I393">
        <f>H393*INDEX(Question_Bank!$M$3:$M$14,MATCH(D393,Question_Bank!$A$3:$A$14,0))</f>
        <v>0</v>
      </c>
      <c r="J393">
        <f>SUMIFS($I$3:$I$518,$A$3:$A$518,A393)</f>
        <v>0</v>
      </c>
      <c r="K393" s="5">
        <f>J393/SUM(Question_Bank!$M$3:$M$14)</f>
        <v>0</v>
      </c>
      <c r="L393" s="5">
        <f>SUMIFS($I$3:$I$518,$A$3:$A$518,A393,$E$3:$E$518,E393)/SUMIFS(Question_Bank!$M$3:$M$14,Question_Bank!$B$3:$B$14,E393)</f>
        <v>0</v>
      </c>
      <c r="M393" t="s">
        <v>328</v>
      </c>
    </row>
    <row r="394" spans="1:13">
      <c r="A394" t="s">
        <v>327</v>
      </c>
      <c r="B394" t="s">
        <v>263</v>
      </c>
      <c r="C394" t="s">
        <v>227</v>
      </c>
      <c r="D394" t="s">
        <v>79</v>
      </c>
      <c r="E394" t="s">
        <v>71</v>
      </c>
      <c r="F394" t="s">
        <v>23</v>
      </c>
      <c r="G394">
        <f>INDEX(Question_Bank!$J$3:$J$14,MATCH(D394,Question_Bank!$A$3:$A$14,0))</f>
        <v>0</v>
      </c>
      <c r="H394">
        <f>IF(F394=G394,1,0)</f>
        <v>0</v>
      </c>
      <c r="I394">
        <f>H394*INDEX(Question_Bank!$M$3:$M$14,MATCH(D394,Question_Bank!$A$3:$A$14,0))</f>
        <v>0</v>
      </c>
      <c r="J394">
        <f>SUMIFS($I$3:$I$518,$A$3:$A$518,A394)</f>
        <v>0</v>
      </c>
      <c r="K394" s="5">
        <f>J394/SUM(Question_Bank!$M$3:$M$14)</f>
        <v>0</v>
      </c>
      <c r="L394" s="5">
        <f>SUMIFS($I$3:$I$518,$A$3:$A$518,A394,$E$3:$E$518,E394)/SUMIFS(Question_Bank!$M$3:$M$14,Question_Bank!$B$3:$B$14,E394)</f>
        <v>0</v>
      </c>
      <c r="M394" t="s">
        <v>328</v>
      </c>
    </row>
    <row r="395" spans="1:13">
      <c r="A395" t="s">
        <v>327</v>
      </c>
      <c r="B395" t="s">
        <v>263</v>
      </c>
      <c r="C395" t="s">
        <v>227</v>
      </c>
      <c r="D395" t="s">
        <v>87</v>
      </c>
      <c r="E395" t="s">
        <v>71</v>
      </c>
      <c r="F395" t="s">
        <v>34</v>
      </c>
      <c r="G395">
        <f>INDEX(Question_Bank!$J$3:$J$14,MATCH(D395,Question_Bank!$A$3:$A$14,0))</f>
        <v>0</v>
      </c>
      <c r="H395">
        <f>IF(F395=G395,1,0)</f>
        <v>0</v>
      </c>
      <c r="I395">
        <f>H395*INDEX(Question_Bank!$M$3:$M$14,MATCH(D395,Question_Bank!$A$3:$A$14,0))</f>
        <v>0</v>
      </c>
      <c r="J395">
        <f>SUMIFS($I$3:$I$518,$A$3:$A$518,A395)</f>
        <v>0</v>
      </c>
      <c r="K395" s="5">
        <f>J395/SUM(Question_Bank!$M$3:$M$14)</f>
        <v>0</v>
      </c>
      <c r="L395" s="5">
        <f>SUMIFS($I$3:$I$518,$A$3:$A$518,A395,$E$3:$E$518,E395)/SUMIFS(Question_Bank!$M$3:$M$14,Question_Bank!$B$3:$B$14,E395)</f>
        <v>0</v>
      </c>
      <c r="M395" t="s">
        <v>328</v>
      </c>
    </row>
    <row r="396" spans="1:13">
      <c r="A396" t="s">
        <v>327</v>
      </c>
      <c r="B396" t="s">
        <v>263</v>
      </c>
      <c r="C396" t="s">
        <v>227</v>
      </c>
      <c r="D396" t="s">
        <v>95</v>
      </c>
      <c r="E396" t="s">
        <v>96</v>
      </c>
      <c r="F396" t="s">
        <v>34</v>
      </c>
      <c r="G396">
        <f>INDEX(Question_Bank!$J$3:$J$14,MATCH(D396,Question_Bank!$A$3:$A$14,0))</f>
        <v>0</v>
      </c>
      <c r="H396">
        <f>IF(F396=G396,1,0)</f>
        <v>0</v>
      </c>
      <c r="I396">
        <f>H396*INDEX(Question_Bank!$M$3:$M$14,MATCH(D396,Question_Bank!$A$3:$A$14,0))</f>
        <v>0</v>
      </c>
      <c r="J396">
        <f>SUMIFS($I$3:$I$518,$A$3:$A$518,A396)</f>
        <v>0</v>
      </c>
      <c r="K396" s="5">
        <f>J396/SUM(Question_Bank!$M$3:$M$14)</f>
        <v>0</v>
      </c>
      <c r="L396" s="5">
        <f>SUMIFS($I$3:$I$518,$A$3:$A$518,A396,$E$3:$E$518,E396)/SUMIFS(Question_Bank!$M$3:$M$14,Question_Bank!$B$3:$B$14,E396)</f>
        <v>0</v>
      </c>
      <c r="M396" t="s">
        <v>328</v>
      </c>
    </row>
    <row r="397" spans="1:13">
      <c r="A397" t="s">
        <v>327</v>
      </c>
      <c r="B397" t="s">
        <v>263</v>
      </c>
      <c r="C397" t="s">
        <v>227</v>
      </c>
      <c r="D397" t="s">
        <v>104</v>
      </c>
      <c r="E397" t="s">
        <v>96</v>
      </c>
      <c r="F397" t="s">
        <v>31</v>
      </c>
      <c r="G397">
        <f>INDEX(Question_Bank!$J$3:$J$14,MATCH(D397,Question_Bank!$A$3:$A$14,0))</f>
        <v>0</v>
      </c>
      <c r="H397">
        <f>IF(F397=G397,1,0)</f>
        <v>0</v>
      </c>
      <c r="I397">
        <f>H397*INDEX(Question_Bank!$M$3:$M$14,MATCH(D397,Question_Bank!$A$3:$A$14,0))</f>
        <v>0</v>
      </c>
      <c r="J397">
        <f>SUMIFS($I$3:$I$518,$A$3:$A$518,A397)</f>
        <v>0</v>
      </c>
      <c r="K397" s="5">
        <f>J397/SUM(Question_Bank!$M$3:$M$14)</f>
        <v>0</v>
      </c>
      <c r="L397" s="5">
        <f>SUMIFS($I$3:$I$518,$A$3:$A$518,A397,$E$3:$E$518,E397)/SUMIFS(Question_Bank!$M$3:$M$14,Question_Bank!$B$3:$B$14,E397)</f>
        <v>0</v>
      </c>
      <c r="M397" t="s">
        <v>328</v>
      </c>
    </row>
    <row r="398" spans="1:13">
      <c r="A398" t="s">
        <v>327</v>
      </c>
      <c r="B398" t="s">
        <v>263</v>
      </c>
      <c r="C398" t="s">
        <v>227</v>
      </c>
      <c r="D398" t="s">
        <v>112</v>
      </c>
      <c r="E398" t="s">
        <v>96</v>
      </c>
      <c r="F398" t="s">
        <v>31</v>
      </c>
      <c r="G398">
        <f>INDEX(Question_Bank!$J$3:$J$14,MATCH(D398,Question_Bank!$A$3:$A$14,0))</f>
        <v>0</v>
      </c>
      <c r="H398">
        <f>IF(F398=G398,1,0)</f>
        <v>0</v>
      </c>
      <c r="I398">
        <f>H398*INDEX(Question_Bank!$M$3:$M$14,MATCH(D398,Question_Bank!$A$3:$A$14,0))</f>
        <v>0</v>
      </c>
      <c r="J398">
        <f>SUMIFS($I$3:$I$518,$A$3:$A$518,A398)</f>
        <v>0</v>
      </c>
      <c r="K398" s="5">
        <f>J398/SUM(Question_Bank!$M$3:$M$14)</f>
        <v>0</v>
      </c>
      <c r="L398" s="5">
        <f>SUMIFS($I$3:$I$518,$A$3:$A$518,A398,$E$3:$E$518,E398)/SUMIFS(Question_Bank!$M$3:$M$14,Question_Bank!$B$3:$B$14,E398)</f>
        <v>0</v>
      </c>
      <c r="M398" t="s">
        <v>328</v>
      </c>
    </row>
    <row r="399" spans="1:13">
      <c r="A399" t="s">
        <v>329</v>
      </c>
      <c r="B399" t="s">
        <v>263</v>
      </c>
      <c r="C399" t="s">
        <v>227</v>
      </c>
      <c r="D399" t="s">
        <v>14</v>
      </c>
      <c r="E399" t="s">
        <v>15</v>
      </c>
      <c r="F399" t="s">
        <v>23</v>
      </c>
      <c r="G399">
        <f>INDEX(Question_Bank!$J$3:$J$14,MATCH(D399,Question_Bank!$A$3:$A$14,0))</f>
        <v>0</v>
      </c>
      <c r="H399">
        <f>IF(F399=G399,1,0)</f>
        <v>0</v>
      </c>
      <c r="I399">
        <f>H399*INDEX(Question_Bank!$M$3:$M$14,MATCH(D399,Question_Bank!$A$3:$A$14,0))</f>
        <v>0</v>
      </c>
      <c r="J399">
        <f>SUMIFS($I$3:$I$518,$A$3:$A$518,A399)</f>
        <v>0</v>
      </c>
      <c r="K399" s="5">
        <f>J399/SUM(Question_Bank!$M$3:$M$14)</f>
        <v>0</v>
      </c>
      <c r="L399" s="5">
        <f>SUMIFS($I$3:$I$518,$A$3:$A$518,A399,$E$3:$E$518,E399)/SUMIFS(Question_Bank!$M$3:$M$14,Question_Bank!$B$3:$B$14,E399)</f>
        <v>0</v>
      </c>
      <c r="M399" t="s">
        <v>330</v>
      </c>
    </row>
    <row r="400" spans="1:13">
      <c r="A400" t="s">
        <v>329</v>
      </c>
      <c r="B400" t="s">
        <v>263</v>
      </c>
      <c r="C400" t="s">
        <v>227</v>
      </c>
      <c r="D400" t="s">
        <v>26</v>
      </c>
      <c r="E400" t="s">
        <v>15</v>
      </c>
      <c r="F400" t="s">
        <v>34</v>
      </c>
      <c r="G400">
        <f>INDEX(Question_Bank!$J$3:$J$14,MATCH(D400,Question_Bank!$A$3:$A$14,0))</f>
        <v>0</v>
      </c>
      <c r="H400">
        <f>IF(F400=G400,1,0)</f>
        <v>0</v>
      </c>
      <c r="I400">
        <f>H400*INDEX(Question_Bank!$M$3:$M$14,MATCH(D400,Question_Bank!$A$3:$A$14,0))</f>
        <v>0</v>
      </c>
      <c r="J400">
        <f>SUMIFS($I$3:$I$518,$A$3:$A$518,A400)</f>
        <v>0</v>
      </c>
      <c r="K400" s="5">
        <f>J400/SUM(Question_Bank!$M$3:$M$14)</f>
        <v>0</v>
      </c>
      <c r="L400" s="5">
        <f>SUMIFS($I$3:$I$518,$A$3:$A$518,A400,$E$3:$E$518,E400)/SUMIFS(Question_Bank!$M$3:$M$14,Question_Bank!$B$3:$B$14,E400)</f>
        <v>0</v>
      </c>
      <c r="M400" t="s">
        <v>330</v>
      </c>
    </row>
    <row r="401" spans="1:13">
      <c r="A401" t="s">
        <v>329</v>
      </c>
      <c r="B401" t="s">
        <v>263</v>
      </c>
      <c r="C401" t="s">
        <v>227</v>
      </c>
      <c r="D401" t="s">
        <v>37</v>
      </c>
      <c r="E401" t="s">
        <v>15</v>
      </c>
      <c r="F401" t="s">
        <v>20</v>
      </c>
      <c r="G401">
        <f>INDEX(Question_Bank!$J$3:$J$14,MATCH(D401,Question_Bank!$A$3:$A$14,0))</f>
        <v>0</v>
      </c>
      <c r="H401">
        <f>IF(F401=G401,1,0)</f>
        <v>0</v>
      </c>
      <c r="I401">
        <f>H401*INDEX(Question_Bank!$M$3:$M$14,MATCH(D401,Question_Bank!$A$3:$A$14,0))</f>
        <v>0</v>
      </c>
      <c r="J401">
        <f>SUMIFS($I$3:$I$518,$A$3:$A$518,A401)</f>
        <v>0</v>
      </c>
      <c r="K401" s="5">
        <f>J401/SUM(Question_Bank!$M$3:$M$14)</f>
        <v>0</v>
      </c>
      <c r="L401" s="5">
        <f>SUMIFS($I$3:$I$518,$A$3:$A$518,A401,$E$3:$E$518,E401)/SUMIFS(Question_Bank!$M$3:$M$14,Question_Bank!$B$3:$B$14,E401)</f>
        <v>0</v>
      </c>
      <c r="M401" t="s">
        <v>330</v>
      </c>
    </row>
    <row r="402" spans="1:13">
      <c r="A402" t="s">
        <v>329</v>
      </c>
      <c r="B402" t="s">
        <v>263</v>
      </c>
      <c r="C402" t="s">
        <v>227</v>
      </c>
      <c r="D402" t="s">
        <v>45</v>
      </c>
      <c r="E402" t="s">
        <v>46</v>
      </c>
      <c r="F402" t="s">
        <v>31</v>
      </c>
      <c r="G402">
        <f>INDEX(Question_Bank!$J$3:$J$14,MATCH(D402,Question_Bank!$A$3:$A$14,0))</f>
        <v>0</v>
      </c>
      <c r="H402">
        <f>IF(F402=G402,1,0)</f>
        <v>0</v>
      </c>
      <c r="I402">
        <f>H402*INDEX(Question_Bank!$M$3:$M$14,MATCH(D402,Question_Bank!$A$3:$A$14,0))</f>
        <v>0</v>
      </c>
      <c r="J402">
        <f>SUMIFS($I$3:$I$518,$A$3:$A$518,A402)</f>
        <v>0</v>
      </c>
      <c r="K402" s="5">
        <f>J402/SUM(Question_Bank!$M$3:$M$14)</f>
        <v>0</v>
      </c>
      <c r="L402" s="5">
        <f>SUMIFS($I$3:$I$518,$A$3:$A$518,A402,$E$3:$E$518,E402)/SUMIFS(Question_Bank!$M$3:$M$14,Question_Bank!$B$3:$B$14,E402)</f>
        <v>0</v>
      </c>
      <c r="M402" t="s">
        <v>330</v>
      </c>
    </row>
    <row r="403" spans="1:13">
      <c r="A403" t="s">
        <v>329</v>
      </c>
      <c r="B403" t="s">
        <v>263</v>
      </c>
      <c r="C403" t="s">
        <v>227</v>
      </c>
      <c r="D403" t="s">
        <v>54</v>
      </c>
      <c r="E403" t="s">
        <v>46</v>
      </c>
      <c r="F403" t="s">
        <v>23</v>
      </c>
      <c r="G403">
        <f>INDEX(Question_Bank!$J$3:$J$14,MATCH(D403,Question_Bank!$A$3:$A$14,0))</f>
        <v>0</v>
      </c>
      <c r="H403">
        <f>IF(F403=G403,1,0)</f>
        <v>0</v>
      </c>
      <c r="I403">
        <f>H403*INDEX(Question_Bank!$M$3:$M$14,MATCH(D403,Question_Bank!$A$3:$A$14,0))</f>
        <v>0</v>
      </c>
      <c r="J403">
        <f>SUMIFS($I$3:$I$518,$A$3:$A$518,A403)</f>
        <v>0</v>
      </c>
      <c r="K403" s="5">
        <f>J403/SUM(Question_Bank!$M$3:$M$14)</f>
        <v>0</v>
      </c>
      <c r="L403" s="5">
        <f>SUMIFS($I$3:$I$518,$A$3:$A$518,A403,$E$3:$E$518,E403)/SUMIFS(Question_Bank!$M$3:$M$14,Question_Bank!$B$3:$B$14,E403)</f>
        <v>0</v>
      </c>
      <c r="M403" t="s">
        <v>330</v>
      </c>
    </row>
    <row r="404" spans="1:13">
      <c r="A404" t="s">
        <v>329</v>
      </c>
      <c r="B404" t="s">
        <v>263</v>
      </c>
      <c r="C404" t="s">
        <v>227</v>
      </c>
      <c r="D404" t="s">
        <v>62</v>
      </c>
      <c r="E404" t="s">
        <v>46</v>
      </c>
      <c r="F404" t="s">
        <v>34</v>
      </c>
      <c r="G404">
        <f>INDEX(Question_Bank!$J$3:$J$14,MATCH(D404,Question_Bank!$A$3:$A$14,0))</f>
        <v>0</v>
      </c>
      <c r="H404">
        <f>IF(F404=G404,1,0)</f>
        <v>0</v>
      </c>
      <c r="I404">
        <f>H404*INDEX(Question_Bank!$M$3:$M$14,MATCH(D404,Question_Bank!$A$3:$A$14,0))</f>
        <v>0</v>
      </c>
      <c r="J404">
        <f>SUMIFS($I$3:$I$518,$A$3:$A$518,A404)</f>
        <v>0</v>
      </c>
      <c r="K404" s="5">
        <f>J404/SUM(Question_Bank!$M$3:$M$14)</f>
        <v>0</v>
      </c>
      <c r="L404" s="5">
        <f>SUMIFS($I$3:$I$518,$A$3:$A$518,A404,$E$3:$E$518,E404)/SUMIFS(Question_Bank!$M$3:$M$14,Question_Bank!$B$3:$B$14,E404)</f>
        <v>0</v>
      </c>
      <c r="M404" t="s">
        <v>330</v>
      </c>
    </row>
    <row r="405" spans="1:13">
      <c r="A405" t="s">
        <v>329</v>
      </c>
      <c r="B405" t="s">
        <v>263</v>
      </c>
      <c r="C405" t="s">
        <v>227</v>
      </c>
      <c r="D405" t="s">
        <v>70</v>
      </c>
      <c r="E405" t="s">
        <v>71</v>
      </c>
      <c r="F405" t="s">
        <v>20</v>
      </c>
      <c r="G405">
        <f>INDEX(Question_Bank!$J$3:$J$14,MATCH(D405,Question_Bank!$A$3:$A$14,0))</f>
        <v>0</v>
      </c>
      <c r="H405">
        <f>IF(F405=G405,1,0)</f>
        <v>0</v>
      </c>
      <c r="I405">
        <f>H405*INDEX(Question_Bank!$M$3:$M$14,MATCH(D405,Question_Bank!$A$3:$A$14,0))</f>
        <v>0</v>
      </c>
      <c r="J405">
        <f>SUMIFS($I$3:$I$518,$A$3:$A$518,A405)</f>
        <v>0</v>
      </c>
      <c r="K405" s="5">
        <f>J405/SUM(Question_Bank!$M$3:$M$14)</f>
        <v>0</v>
      </c>
      <c r="L405" s="5">
        <f>SUMIFS($I$3:$I$518,$A$3:$A$518,A405,$E$3:$E$518,E405)/SUMIFS(Question_Bank!$M$3:$M$14,Question_Bank!$B$3:$B$14,E405)</f>
        <v>0</v>
      </c>
      <c r="M405" t="s">
        <v>330</v>
      </c>
    </row>
    <row r="406" spans="1:13">
      <c r="A406" t="s">
        <v>329</v>
      </c>
      <c r="B406" t="s">
        <v>263</v>
      </c>
      <c r="C406" t="s">
        <v>227</v>
      </c>
      <c r="D406" t="s">
        <v>79</v>
      </c>
      <c r="E406" t="s">
        <v>71</v>
      </c>
      <c r="F406" t="s">
        <v>31</v>
      </c>
      <c r="G406">
        <f>INDEX(Question_Bank!$J$3:$J$14,MATCH(D406,Question_Bank!$A$3:$A$14,0))</f>
        <v>0</v>
      </c>
      <c r="H406">
        <f>IF(F406=G406,1,0)</f>
        <v>0</v>
      </c>
      <c r="I406">
        <f>H406*INDEX(Question_Bank!$M$3:$M$14,MATCH(D406,Question_Bank!$A$3:$A$14,0))</f>
        <v>0</v>
      </c>
      <c r="J406">
        <f>SUMIFS($I$3:$I$518,$A$3:$A$518,A406)</f>
        <v>0</v>
      </c>
      <c r="K406" s="5">
        <f>J406/SUM(Question_Bank!$M$3:$M$14)</f>
        <v>0</v>
      </c>
      <c r="L406" s="5">
        <f>SUMIFS($I$3:$I$518,$A$3:$A$518,A406,$E$3:$E$518,E406)/SUMIFS(Question_Bank!$M$3:$M$14,Question_Bank!$B$3:$B$14,E406)</f>
        <v>0</v>
      </c>
      <c r="M406" t="s">
        <v>330</v>
      </c>
    </row>
    <row r="407" spans="1:13">
      <c r="A407" t="s">
        <v>329</v>
      </c>
      <c r="B407" t="s">
        <v>263</v>
      </c>
      <c r="C407" t="s">
        <v>227</v>
      </c>
      <c r="D407" t="s">
        <v>87</v>
      </c>
      <c r="E407" t="s">
        <v>71</v>
      </c>
      <c r="F407" t="s">
        <v>23</v>
      </c>
      <c r="G407">
        <f>INDEX(Question_Bank!$J$3:$J$14,MATCH(D407,Question_Bank!$A$3:$A$14,0))</f>
        <v>0</v>
      </c>
      <c r="H407">
        <f>IF(F407=G407,1,0)</f>
        <v>0</v>
      </c>
      <c r="I407">
        <f>H407*INDEX(Question_Bank!$M$3:$M$14,MATCH(D407,Question_Bank!$A$3:$A$14,0))</f>
        <v>0</v>
      </c>
      <c r="J407">
        <f>SUMIFS($I$3:$I$518,$A$3:$A$518,A407)</f>
        <v>0</v>
      </c>
      <c r="K407" s="5">
        <f>J407/SUM(Question_Bank!$M$3:$M$14)</f>
        <v>0</v>
      </c>
      <c r="L407" s="5">
        <f>SUMIFS($I$3:$I$518,$A$3:$A$518,A407,$E$3:$E$518,E407)/SUMIFS(Question_Bank!$M$3:$M$14,Question_Bank!$B$3:$B$14,E407)</f>
        <v>0</v>
      </c>
      <c r="M407" t="s">
        <v>330</v>
      </c>
    </row>
    <row r="408" spans="1:13">
      <c r="A408" t="s">
        <v>329</v>
      </c>
      <c r="B408" t="s">
        <v>263</v>
      </c>
      <c r="C408" t="s">
        <v>227</v>
      </c>
      <c r="D408" t="s">
        <v>95</v>
      </c>
      <c r="E408" t="s">
        <v>96</v>
      </c>
      <c r="F408" t="s">
        <v>34</v>
      </c>
      <c r="G408">
        <f>INDEX(Question_Bank!$J$3:$J$14,MATCH(D408,Question_Bank!$A$3:$A$14,0))</f>
        <v>0</v>
      </c>
      <c r="H408">
        <f>IF(F408=G408,1,0)</f>
        <v>0</v>
      </c>
      <c r="I408">
        <f>H408*INDEX(Question_Bank!$M$3:$M$14,MATCH(D408,Question_Bank!$A$3:$A$14,0))</f>
        <v>0</v>
      </c>
      <c r="J408">
        <f>SUMIFS($I$3:$I$518,$A$3:$A$518,A408)</f>
        <v>0</v>
      </c>
      <c r="K408" s="5">
        <f>J408/SUM(Question_Bank!$M$3:$M$14)</f>
        <v>0</v>
      </c>
      <c r="L408" s="5">
        <f>SUMIFS($I$3:$I$518,$A$3:$A$518,A408,$E$3:$E$518,E408)/SUMIFS(Question_Bank!$M$3:$M$14,Question_Bank!$B$3:$B$14,E408)</f>
        <v>0</v>
      </c>
      <c r="M408" t="s">
        <v>330</v>
      </c>
    </row>
    <row r="409" spans="1:13">
      <c r="A409" t="s">
        <v>329</v>
      </c>
      <c r="B409" t="s">
        <v>263</v>
      </c>
      <c r="C409" t="s">
        <v>227</v>
      </c>
      <c r="D409" t="s">
        <v>104</v>
      </c>
      <c r="E409" t="s">
        <v>96</v>
      </c>
      <c r="F409" t="s">
        <v>20</v>
      </c>
      <c r="G409">
        <f>INDEX(Question_Bank!$J$3:$J$14,MATCH(D409,Question_Bank!$A$3:$A$14,0))</f>
        <v>0</v>
      </c>
      <c r="H409">
        <f>IF(F409=G409,1,0)</f>
        <v>0</v>
      </c>
      <c r="I409">
        <f>H409*INDEX(Question_Bank!$M$3:$M$14,MATCH(D409,Question_Bank!$A$3:$A$14,0))</f>
        <v>0</v>
      </c>
      <c r="J409">
        <f>SUMIFS($I$3:$I$518,$A$3:$A$518,A409)</f>
        <v>0</v>
      </c>
      <c r="K409" s="5">
        <f>J409/SUM(Question_Bank!$M$3:$M$14)</f>
        <v>0</v>
      </c>
      <c r="L409" s="5">
        <f>SUMIFS($I$3:$I$518,$A$3:$A$518,A409,$E$3:$E$518,E409)/SUMIFS(Question_Bank!$M$3:$M$14,Question_Bank!$B$3:$B$14,E409)</f>
        <v>0</v>
      </c>
      <c r="M409" t="s">
        <v>330</v>
      </c>
    </row>
    <row r="410" spans="1:13">
      <c r="A410" t="s">
        <v>329</v>
      </c>
      <c r="B410" t="s">
        <v>263</v>
      </c>
      <c r="C410" t="s">
        <v>227</v>
      </c>
      <c r="D410" t="s">
        <v>112</v>
      </c>
      <c r="E410" t="s">
        <v>96</v>
      </c>
      <c r="F410" t="s">
        <v>31</v>
      </c>
      <c r="G410">
        <f>INDEX(Question_Bank!$J$3:$J$14,MATCH(D410,Question_Bank!$A$3:$A$14,0))</f>
        <v>0</v>
      </c>
      <c r="H410">
        <f>IF(F410=G410,1,0)</f>
        <v>0</v>
      </c>
      <c r="I410">
        <f>H410*INDEX(Question_Bank!$M$3:$M$14,MATCH(D410,Question_Bank!$A$3:$A$14,0))</f>
        <v>0</v>
      </c>
      <c r="J410">
        <f>SUMIFS($I$3:$I$518,$A$3:$A$518,A410)</f>
        <v>0</v>
      </c>
      <c r="K410" s="5">
        <f>J410/SUM(Question_Bank!$M$3:$M$14)</f>
        <v>0</v>
      </c>
      <c r="L410" s="5">
        <f>SUMIFS($I$3:$I$518,$A$3:$A$518,A410,$E$3:$E$518,E410)/SUMIFS(Question_Bank!$M$3:$M$14,Question_Bank!$B$3:$B$14,E410)</f>
        <v>0</v>
      </c>
      <c r="M410" t="s">
        <v>330</v>
      </c>
    </row>
    <row r="411" spans="1:13">
      <c r="A411" t="s">
        <v>331</v>
      </c>
      <c r="B411" t="s">
        <v>263</v>
      </c>
      <c r="C411" t="s">
        <v>227</v>
      </c>
      <c r="D411" t="s">
        <v>14</v>
      </c>
      <c r="E411" t="s">
        <v>15</v>
      </c>
      <c r="F411" t="s">
        <v>23</v>
      </c>
      <c r="G411">
        <f>INDEX(Question_Bank!$J$3:$J$14,MATCH(D411,Question_Bank!$A$3:$A$14,0))</f>
        <v>0</v>
      </c>
      <c r="H411">
        <f>IF(F411=G411,1,0)</f>
        <v>0</v>
      </c>
      <c r="I411">
        <f>H411*INDEX(Question_Bank!$M$3:$M$14,MATCH(D411,Question_Bank!$A$3:$A$14,0))</f>
        <v>0</v>
      </c>
      <c r="J411">
        <f>SUMIFS($I$3:$I$518,$A$3:$A$518,A411)</f>
        <v>0</v>
      </c>
      <c r="K411" s="5">
        <f>J411/SUM(Question_Bank!$M$3:$M$14)</f>
        <v>0</v>
      </c>
      <c r="L411" s="5">
        <f>SUMIFS($I$3:$I$518,$A$3:$A$518,A411,$E$3:$E$518,E411)/SUMIFS(Question_Bank!$M$3:$M$14,Question_Bank!$B$3:$B$14,E411)</f>
        <v>0</v>
      </c>
      <c r="M411" t="s">
        <v>332</v>
      </c>
    </row>
    <row r="412" spans="1:13">
      <c r="A412" t="s">
        <v>331</v>
      </c>
      <c r="B412" t="s">
        <v>263</v>
      </c>
      <c r="C412" t="s">
        <v>227</v>
      </c>
      <c r="D412" t="s">
        <v>26</v>
      </c>
      <c r="E412" t="s">
        <v>15</v>
      </c>
      <c r="F412" t="s">
        <v>34</v>
      </c>
      <c r="G412">
        <f>INDEX(Question_Bank!$J$3:$J$14,MATCH(D412,Question_Bank!$A$3:$A$14,0))</f>
        <v>0</v>
      </c>
      <c r="H412">
        <f>IF(F412=G412,1,0)</f>
        <v>0</v>
      </c>
      <c r="I412">
        <f>H412*INDEX(Question_Bank!$M$3:$M$14,MATCH(D412,Question_Bank!$A$3:$A$14,0))</f>
        <v>0</v>
      </c>
      <c r="J412">
        <f>SUMIFS($I$3:$I$518,$A$3:$A$518,A412)</f>
        <v>0</v>
      </c>
      <c r="K412" s="5">
        <f>J412/SUM(Question_Bank!$M$3:$M$14)</f>
        <v>0</v>
      </c>
      <c r="L412" s="5">
        <f>SUMIFS($I$3:$I$518,$A$3:$A$518,A412,$E$3:$E$518,E412)/SUMIFS(Question_Bank!$M$3:$M$14,Question_Bank!$B$3:$B$14,E412)</f>
        <v>0</v>
      </c>
      <c r="M412" t="s">
        <v>332</v>
      </c>
    </row>
    <row r="413" spans="1:13">
      <c r="A413" t="s">
        <v>331</v>
      </c>
      <c r="B413" t="s">
        <v>263</v>
      </c>
      <c r="C413" t="s">
        <v>227</v>
      </c>
      <c r="D413" t="s">
        <v>37</v>
      </c>
      <c r="E413" t="s">
        <v>15</v>
      </c>
      <c r="F413" t="s">
        <v>20</v>
      </c>
      <c r="G413">
        <f>INDEX(Question_Bank!$J$3:$J$14,MATCH(D413,Question_Bank!$A$3:$A$14,0))</f>
        <v>0</v>
      </c>
      <c r="H413">
        <f>IF(F413=G413,1,0)</f>
        <v>0</v>
      </c>
      <c r="I413">
        <f>H413*INDEX(Question_Bank!$M$3:$M$14,MATCH(D413,Question_Bank!$A$3:$A$14,0))</f>
        <v>0</v>
      </c>
      <c r="J413">
        <f>SUMIFS($I$3:$I$518,$A$3:$A$518,A413)</f>
        <v>0</v>
      </c>
      <c r="K413" s="5">
        <f>J413/SUM(Question_Bank!$M$3:$M$14)</f>
        <v>0</v>
      </c>
      <c r="L413" s="5">
        <f>SUMIFS($I$3:$I$518,$A$3:$A$518,A413,$E$3:$E$518,E413)/SUMIFS(Question_Bank!$M$3:$M$14,Question_Bank!$B$3:$B$14,E413)</f>
        <v>0</v>
      </c>
      <c r="M413" t="s">
        <v>332</v>
      </c>
    </row>
    <row r="414" spans="1:13">
      <c r="A414" t="s">
        <v>331</v>
      </c>
      <c r="B414" t="s">
        <v>263</v>
      </c>
      <c r="C414" t="s">
        <v>227</v>
      </c>
      <c r="D414" t="s">
        <v>45</v>
      </c>
      <c r="E414" t="s">
        <v>46</v>
      </c>
      <c r="F414" t="s">
        <v>31</v>
      </c>
      <c r="G414">
        <f>INDEX(Question_Bank!$J$3:$J$14,MATCH(D414,Question_Bank!$A$3:$A$14,0))</f>
        <v>0</v>
      </c>
      <c r="H414">
        <f>IF(F414=G414,1,0)</f>
        <v>0</v>
      </c>
      <c r="I414">
        <f>H414*INDEX(Question_Bank!$M$3:$M$14,MATCH(D414,Question_Bank!$A$3:$A$14,0))</f>
        <v>0</v>
      </c>
      <c r="J414">
        <f>SUMIFS($I$3:$I$518,$A$3:$A$518,A414)</f>
        <v>0</v>
      </c>
      <c r="K414" s="5">
        <f>J414/SUM(Question_Bank!$M$3:$M$14)</f>
        <v>0</v>
      </c>
      <c r="L414" s="5">
        <f>SUMIFS($I$3:$I$518,$A$3:$A$518,A414,$E$3:$E$518,E414)/SUMIFS(Question_Bank!$M$3:$M$14,Question_Bank!$B$3:$B$14,E414)</f>
        <v>0</v>
      </c>
      <c r="M414" t="s">
        <v>332</v>
      </c>
    </row>
    <row r="415" spans="1:13">
      <c r="A415" t="s">
        <v>331</v>
      </c>
      <c r="B415" t="s">
        <v>263</v>
      </c>
      <c r="C415" t="s">
        <v>227</v>
      </c>
      <c r="D415" t="s">
        <v>54</v>
      </c>
      <c r="E415" t="s">
        <v>46</v>
      </c>
      <c r="F415" t="s">
        <v>23</v>
      </c>
      <c r="G415">
        <f>INDEX(Question_Bank!$J$3:$J$14,MATCH(D415,Question_Bank!$A$3:$A$14,0))</f>
        <v>0</v>
      </c>
      <c r="H415">
        <f>IF(F415=G415,1,0)</f>
        <v>0</v>
      </c>
      <c r="I415">
        <f>H415*INDEX(Question_Bank!$M$3:$M$14,MATCH(D415,Question_Bank!$A$3:$A$14,0))</f>
        <v>0</v>
      </c>
      <c r="J415">
        <f>SUMIFS($I$3:$I$518,$A$3:$A$518,A415)</f>
        <v>0</v>
      </c>
      <c r="K415" s="5">
        <f>J415/SUM(Question_Bank!$M$3:$M$14)</f>
        <v>0</v>
      </c>
      <c r="L415" s="5">
        <f>SUMIFS($I$3:$I$518,$A$3:$A$518,A415,$E$3:$E$518,E415)/SUMIFS(Question_Bank!$M$3:$M$14,Question_Bank!$B$3:$B$14,E415)</f>
        <v>0</v>
      </c>
      <c r="M415" t="s">
        <v>332</v>
      </c>
    </row>
    <row r="416" spans="1:13">
      <c r="A416" t="s">
        <v>331</v>
      </c>
      <c r="B416" t="s">
        <v>263</v>
      </c>
      <c r="C416" t="s">
        <v>227</v>
      </c>
      <c r="D416" t="s">
        <v>62</v>
      </c>
      <c r="E416" t="s">
        <v>46</v>
      </c>
      <c r="F416" t="s">
        <v>34</v>
      </c>
      <c r="G416">
        <f>INDEX(Question_Bank!$J$3:$J$14,MATCH(D416,Question_Bank!$A$3:$A$14,0))</f>
        <v>0</v>
      </c>
      <c r="H416">
        <f>IF(F416=G416,1,0)</f>
        <v>0</v>
      </c>
      <c r="I416">
        <f>H416*INDEX(Question_Bank!$M$3:$M$14,MATCH(D416,Question_Bank!$A$3:$A$14,0))</f>
        <v>0</v>
      </c>
      <c r="J416">
        <f>SUMIFS($I$3:$I$518,$A$3:$A$518,A416)</f>
        <v>0</v>
      </c>
      <c r="K416" s="5">
        <f>J416/SUM(Question_Bank!$M$3:$M$14)</f>
        <v>0</v>
      </c>
      <c r="L416" s="5">
        <f>SUMIFS($I$3:$I$518,$A$3:$A$518,A416,$E$3:$E$518,E416)/SUMIFS(Question_Bank!$M$3:$M$14,Question_Bank!$B$3:$B$14,E416)</f>
        <v>0</v>
      </c>
      <c r="M416" t="s">
        <v>332</v>
      </c>
    </row>
    <row r="417" spans="1:13">
      <c r="A417" t="s">
        <v>331</v>
      </c>
      <c r="B417" t="s">
        <v>263</v>
      </c>
      <c r="C417" t="s">
        <v>227</v>
      </c>
      <c r="D417" t="s">
        <v>70</v>
      </c>
      <c r="E417" t="s">
        <v>71</v>
      </c>
      <c r="F417" t="s">
        <v>20</v>
      </c>
      <c r="G417">
        <f>INDEX(Question_Bank!$J$3:$J$14,MATCH(D417,Question_Bank!$A$3:$A$14,0))</f>
        <v>0</v>
      </c>
      <c r="H417">
        <f>IF(F417=G417,1,0)</f>
        <v>0</v>
      </c>
      <c r="I417">
        <f>H417*INDEX(Question_Bank!$M$3:$M$14,MATCH(D417,Question_Bank!$A$3:$A$14,0))</f>
        <v>0</v>
      </c>
      <c r="J417">
        <f>SUMIFS($I$3:$I$518,$A$3:$A$518,A417)</f>
        <v>0</v>
      </c>
      <c r="K417" s="5">
        <f>J417/SUM(Question_Bank!$M$3:$M$14)</f>
        <v>0</v>
      </c>
      <c r="L417" s="5">
        <f>SUMIFS($I$3:$I$518,$A$3:$A$518,A417,$E$3:$E$518,E417)/SUMIFS(Question_Bank!$M$3:$M$14,Question_Bank!$B$3:$B$14,E417)</f>
        <v>0</v>
      </c>
      <c r="M417" t="s">
        <v>332</v>
      </c>
    </row>
    <row r="418" spans="1:13">
      <c r="A418" t="s">
        <v>331</v>
      </c>
      <c r="B418" t="s">
        <v>263</v>
      </c>
      <c r="C418" t="s">
        <v>227</v>
      </c>
      <c r="D418" t="s">
        <v>79</v>
      </c>
      <c r="E418" t="s">
        <v>71</v>
      </c>
      <c r="F418" t="s">
        <v>31</v>
      </c>
      <c r="G418">
        <f>INDEX(Question_Bank!$J$3:$J$14,MATCH(D418,Question_Bank!$A$3:$A$14,0))</f>
        <v>0</v>
      </c>
      <c r="H418">
        <f>IF(F418=G418,1,0)</f>
        <v>0</v>
      </c>
      <c r="I418">
        <f>H418*INDEX(Question_Bank!$M$3:$M$14,MATCH(D418,Question_Bank!$A$3:$A$14,0))</f>
        <v>0</v>
      </c>
      <c r="J418">
        <f>SUMIFS($I$3:$I$518,$A$3:$A$518,A418)</f>
        <v>0</v>
      </c>
      <c r="K418" s="5">
        <f>J418/SUM(Question_Bank!$M$3:$M$14)</f>
        <v>0</v>
      </c>
      <c r="L418" s="5">
        <f>SUMIFS($I$3:$I$518,$A$3:$A$518,A418,$E$3:$E$518,E418)/SUMIFS(Question_Bank!$M$3:$M$14,Question_Bank!$B$3:$B$14,E418)</f>
        <v>0</v>
      </c>
      <c r="M418" t="s">
        <v>332</v>
      </c>
    </row>
    <row r="419" spans="1:13">
      <c r="A419" t="s">
        <v>331</v>
      </c>
      <c r="B419" t="s">
        <v>263</v>
      </c>
      <c r="C419" t="s">
        <v>227</v>
      </c>
      <c r="D419" t="s">
        <v>87</v>
      </c>
      <c r="E419" t="s">
        <v>71</v>
      </c>
      <c r="F419" t="s">
        <v>23</v>
      </c>
      <c r="G419">
        <f>INDEX(Question_Bank!$J$3:$J$14,MATCH(D419,Question_Bank!$A$3:$A$14,0))</f>
        <v>0</v>
      </c>
      <c r="H419">
        <f>IF(F419=G419,1,0)</f>
        <v>0</v>
      </c>
      <c r="I419">
        <f>H419*INDEX(Question_Bank!$M$3:$M$14,MATCH(D419,Question_Bank!$A$3:$A$14,0))</f>
        <v>0</v>
      </c>
      <c r="J419">
        <f>SUMIFS($I$3:$I$518,$A$3:$A$518,A419)</f>
        <v>0</v>
      </c>
      <c r="K419" s="5">
        <f>J419/SUM(Question_Bank!$M$3:$M$14)</f>
        <v>0</v>
      </c>
      <c r="L419" s="5">
        <f>SUMIFS($I$3:$I$518,$A$3:$A$518,A419,$E$3:$E$518,E419)/SUMIFS(Question_Bank!$M$3:$M$14,Question_Bank!$B$3:$B$14,E419)</f>
        <v>0</v>
      </c>
      <c r="M419" t="s">
        <v>332</v>
      </c>
    </row>
    <row r="420" spans="1:13">
      <c r="A420" t="s">
        <v>331</v>
      </c>
      <c r="B420" t="s">
        <v>263</v>
      </c>
      <c r="C420" t="s">
        <v>227</v>
      </c>
      <c r="D420" t="s">
        <v>95</v>
      </c>
      <c r="E420" t="s">
        <v>96</v>
      </c>
      <c r="F420" t="s">
        <v>34</v>
      </c>
      <c r="G420">
        <f>INDEX(Question_Bank!$J$3:$J$14,MATCH(D420,Question_Bank!$A$3:$A$14,0))</f>
        <v>0</v>
      </c>
      <c r="H420">
        <f>IF(F420=G420,1,0)</f>
        <v>0</v>
      </c>
      <c r="I420">
        <f>H420*INDEX(Question_Bank!$M$3:$M$14,MATCH(D420,Question_Bank!$A$3:$A$14,0))</f>
        <v>0</v>
      </c>
      <c r="J420">
        <f>SUMIFS($I$3:$I$518,$A$3:$A$518,A420)</f>
        <v>0</v>
      </c>
      <c r="K420" s="5">
        <f>J420/SUM(Question_Bank!$M$3:$M$14)</f>
        <v>0</v>
      </c>
      <c r="L420" s="5">
        <f>SUMIFS($I$3:$I$518,$A$3:$A$518,A420,$E$3:$E$518,E420)/SUMIFS(Question_Bank!$M$3:$M$14,Question_Bank!$B$3:$B$14,E420)</f>
        <v>0</v>
      </c>
      <c r="M420" t="s">
        <v>332</v>
      </c>
    </row>
    <row r="421" spans="1:13">
      <c r="A421" t="s">
        <v>331</v>
      </c>
      <c r="B421" t="s">
        <v>263</v>
      </c>
      <c r="C421" t="s">
        <v>227</v>
      </c>
      <c r="D421" t="s">
        <v>104</v>
      </c>
      <c r="E421" t="s">
        <v>96</v>
      </c>
      <c r="F421" t="s">
        <v>20</v>
      </c>
      <c r="G421">
        <f>INDEX(Question_Bank!$J$3:$J$14,MATCH(D421,Question_Bank!$A$3:$A$14,0))</f>
        <v>0</v>
      </c>
      <c r="H421">
        <f>IF(F421=G421,1,0)</f>
        <v>0</v>
      </c>
      <c r="I421">
        <f>H421*INDEX(Question_Bank!$M$3:$M$14,MATCH(D421,Question_Bank!$A$3:$A$14,0))</f>
        <v>0</v>
      </c>
      <c r="J421">
        <f>SUMIFS($I$3:$I$518,$A$3:$A$518,A421)</f>
        <v>0</v>
      </c>
      <c r="K421" s="5">
        <f>J421/SUM(Question_Bank!$M$3:$M$14)</f>
        <v>0</v>
      </c>
      <c r="L421" s="5">
        <f>SUMIFS($I$3:$I$518,$A$3:$A$518,A421,$E$3:$E$518,E421)/SUMIFS(Question_Bank!$M$3:$M$14,Question_Bank!$B$3:$B$14,E421)</f>
        <v>0</v>
      </c>
      <c r="M421" t="s">
        <v>332</v>
      </c>
    </row>
    <row r="422" spans="1:13">
      <c r="A422" t="s">
        <v>331</v>
      </c>
      <c r="B422" t="s">
        <v>263</v>
      </c>
      <c r="C422" t="s">
        <v>227</v>
      </c>
      <c r="D422" t="s">
        <v>112</v>
      </c>
      <c r="E422" t="s">
        <v>96</v>
      </c>
      <c r="F422" t="s">
        <v>31</v>
      </c>
      <c r="G422">
        <f>INDEX(Question_Bank!$J$3:$J$14,MATCH(D422,Question_Bank!$A$3:$A$14,0))</f>
        <v>0</v>
      </c>
      <c r="H422">
        <f>IF(F422=G422,1,0)</f>
        <v>0</v>
      </c>
      <c r="I422">
        <f>H422*INDEX(Question_Bank!$M$3:$M$14,MATCH(D422,Question_Bank!$A$3:$A$14,0))</f>
        <v>0</v>
      </c>
      <c r="J422">
        <f>SUMIFS($I$3:$I$518,$A$3:$A$518,A422)</f>
        <v>0</v>
      </c>
      <c r="K422" s="5">
        <f>J422/SUM(Question_Bank!$M$3:$M$14)</f>
        <v>0</v>
      </c>
      <c r="L422" s="5">
        <f>SUMIFS($I$3:$I$518,$A$3:$A$518,A422,$E$3:$E$518,E422)/SUMIFS(Question_Bank!$M$3:$M$14,Question_Bank!$B$3:$B$14,E422)</f>
        <v>0</v>
      </c>
      <c r="M422" t="s">
        <v>332</v>
      </c>
    </row>
    <row r="423" spans="1:13">
      <c r="A423" t="s">
        <v>333</v>
      </c>
      <c r="B423" t="s">
        <v>263</v>
      </c>
      <c r="C423" t="s">
        <v>227</v>
      </c>
      <c r="D423" t="s">
        <v>14</v>
      </c>
      <c r="E423" t="s">
        <v>15</v>
      </c>
      <c r="F423" t="s">
        <v>23</v>
      </c>
      <c r="G423">
        <f>INDEX(Question_Bank!$J$3:$J$14,MATCH(D423,Question_Bank!$A$3:$A$14,0))</f>
        <v>0</v>
      </c>
      <c r="H423">
        <f>IF(F423=G423,1,0)</f>
        <v>0</v>
      </c>
      <c r="I423">
        <f>H423*INDEX(Question_Bank!$M$3:$M$14,MATCH(D423,Question_Bank!$A$3:$A$14,0))</f>
        <v>0</v>
      </c>
      <c r="J423">
        <f>SUMIFS($I$3:$I$518,$A$3:$A$518,A423)</f>
        <v>0</v>
      </c>
      <c r="K423" s="5">
        <f>J423/SUM(Question_Bank!$M$3:$M$14)</f>
        <v>0</v>
      </c>
      <c r="L423" s="5">
        <f>SUMIFS($I$3:$I$518,$A$3:$A$518,A423,$E$3:$E$518,E423)/SUMIFS(Question_Bank!$M$3:$M$14,Question_Bank!$B$3:$B$14,E423)</f>
        <v>0</v>
      </c>
      <c r="M423" t="s">
        <v>334</v>
      </c>
    </row>
    <row r="424" spans="1:13">
      <c r="A424" t="s">
        <v>333</v>
      </c>
      <c r="B424" t="s">
        <v>263</v>
      </c>
      <c r="C424" t="s">
        <v>227</v>
      </c>
      <c r="D424" t="s">
        <v>26</v>
      </c>
      <c r="E424" t="s">
        <v>15</v>
      </c>
      <c r="F424" t="s">
        <v>34</v>
      </c>
      <c r="G424">
        <f>INDEX(Question_Bank!$J$3:$J$14,MATCH(D424,Question_Bank!$A$3:$A$14,0))</f>
        <v>0</v>
      </c>
      <c r="H424">
        <f>IF(F424=G424,1,0)</f>
        <v>0</v>
      </c>
      <c r="I424">
        <f>H424*INDEX(Question_Bank!$M$3:$M$14,MATCH(D424,Question_Bank!$A$3:$A$14,0))</f>
        <v>0</v>
      </c>
      <c r="J424">
        <f>SUMIFS($I$3:$I$518,$A$3:$A$518,A424)</f>
        <v>0</v>
      </c>
      <c r="K424" s="5">
        <f>J424/SUM(Question_Bank!$M$3:$M$14)</f>
        <v>0</v>
      </c>
      <c r="L424" s="5">
        <f>SUMIFS($I$3:$I$518,$A$3:$A$518,A424,$E$3:$E$518,E424)/SUMIFS(Question_Bank!$M$3:$M$14,Question_Bank!$B$3:$B$14,E424)</f>
        <v>0</v>
      </c>
      <c r="M424" t="s">
        <v>334</v>
      </c>
    </row>
    <row r="425" spans="1:13">
      <c r="A425" t="s">
        <v>333</v>
      </c>
      <c r="B425" t="s">
        <v>263</v>
      </c>
      <c r="C425" t="s">
        <v>227</v>
      </c>
      <c r="D425" t="s">
        <v>37</v>
      </c>
      <c r="E425" t="s">
        <v>15</v>
      </c>
      <c r="F425" t="s">
        <v>20</v>
      </c>
      <c r="G425">
        <f>INDEX(Question_Bank!$J$3:$J$14,MATCH(D425,Question_Bank!$A$3:$A$14,0))</f>
        <v>0</v>
      </c>
      <c r="H425">
        <f>IF(F425=G425,1,0)</f>
        <v>0</v>
      </c>
      <c r="I425">
        <f>H425*INDEX(Question_Bank!$M$3:$M$14,MATCH(D425,Question_Bank!$A$3:$A$14,0))</f>
        <v>0</v>
      </c>
      <c r="J425">
        <f>SUMIFS($I$3:$I$518,$A$3:$A$518,A425)</f>
        <v>0</v>
      </c>
      <c r="K425" s="5">
        <f>J425/SUM(Question_Bank!$M$3:$M$14)</f>
        <v>0</v>
      </c>
      <c r="L425" s="5">
        <f>SUMIFS($I$3:$I$518,$A$3:$A$518,A425,$E$3:$E$518,E425)/SUMIFS(Question_Bank!$M$3:$M$14,Question_Bank!$B$3:$B$14,E425)</f>
        <v>0</v>
      </c>
      <c r="M425" t="s">
        <v>334</v>
      </c>
    </row>
    <row r="426" spans="1:13">
      <c r="A426" t="s">
        <v>333</v>
      </c>
      <c r="B426" t="s">
        <v>263</v>
      </c>
      <c r="C426" t="s">
        <v>227</v>
      </c>
      <c r="D426" t="s">
        <v>45</v>
      </c>
      <c r="E426" t="s">
        <v>46</v>
      </c>
      <c r="F426" t="s">
        <v>31</v>
      </c>
      <c r="G426">
        <f>INDEX(Question_Bank!$J$3:$J$14,MATCH(D426,Question_Bank!$A$3:$A$14,0))</f>
        <v>0</v>
      </c>
      <c r="H426">
        <f>IF(F426=G426,1,0)</f>
        <v>0</v>
      </c>
      <c r="I426">
        <f>H426*INDEX(Question_Bank!$M$3:$M$14,MATCH(D426,Question_Bank!$A$3:$A$14,0))</f>
        <v>0</v>
      </c>
      <c r="J426">
        <f>SUMIFS($I$3:$I$518,$A$3:$A$518,A426)</f>
        <v>0</v>
      </c>
      <c r="K426" s="5">
        <f>J426/SUM(Question_Bank!$M$3:$M$14)</f>
        <v>0</v>
      </c>
      <c r="L426" s="5">
        <f>SUMIFS($I$3:$I$518,$A$3:$A$518,A426,$E$3:$E$518,E426)/SUMIFS(Question_Bank!$M$3:$M$14,Question_Bank!$B$3:$B$14,E426)</f>
        <v>0</v>
      </c>
      <c r="M426" t="s">
        <v>334</v>
      </c>
    </row>
    <row r="427" spans="1:13">
      <c r="A427" t="s">
        <v>333</v>
      </c>
      <c r="B427" t="s">
        <v>263</v>
      </c>
      <c r="C427" t="s">
        <v>227</v>
      </c>
      <c r="D427" t="s">
        <v>54</v>
      </c>
      <c r="E427" t="s">
        <v>46</v>
      </c>
      <c r="F427" t="s">
        <v>23</v>
      </c>
      <c r="G427">
        <f>INDEX(Question_Bank!$J$3:$J$14,MATCH(D427,Question_Bank!$A$3:$A$14,0))</f>
        <v>0</v>
      </c>
      <c r="H427">
        <f>IF(F427=G427,1,0)</f>
        <v>0</v>
      </c>
      <c r="I427">
        <f>H427*INDEX(Question_Bank!$M$3:$M$14,MATCH(D427,Question_Bank!$A$3:$A$14,0))</f>
        <v>0</v>
      </c>
      <c r="J427">
        <f>SUMIFS($I$3:$I$518,$A$3:$A$518,A427)</f>
        <v>0</v>
      </c>
      <c r="K427" s="5">
        <f>J427/SUM(Question_Bank!$M$3:$M$14)</f>
        <v>0</v>
      </c>
      <c r="L427" s="5">
        <f>SUMIFS($I$3:$I$518,$A$3:$A$518,A427,$E$3:$E$518,E427)/SUMIFS(Question_Bank!$M$3:$M$14,Question_Bank!$B$3:$B$14,E427)</f>
        <v>0</v>
      </c>
      <c r="M427" t="s">
        <v>334</v>
      </c>
    </row>
    <row r="428" spans="1:13">
      <c r="A428" t="s">
        <v>333</v>
      </c>
      <c r="B428" t="s">
        <v>263</v>
      </c>
      <c r="C428" t="s">
        <v>227</v>
      </c>
      <c r="D428" t="s">
        <v>62</v>
      </c>
      <c r="E428" t="s">
        <v>46</v>
      </c>
      <c r="F428" t="s">
        <v>34</v>
      </c>
      <c r="G428">
        <f>INDEX(Question_Bank!$J$3:$J$14,MATCH(D428,Question_Bank!$A$3:$A$14,0))</f>
        <v>0</v>
      </c>
      <c r="H428">
        <f>IF(F428=G428,1,0)</f>
        <v>0</v>
      </c>
      <c r="I428">
        <f>H428*INDEX(Question_Bank!$M$3:$M$14,MATCH(D428,Question_Bank!$A$3:$A$14,0))</f>
        <v>0</v>
      </c>
      <c r="J428">
        <f>SUMIFS($I$3:$I$518,$A$3:$A$518,A428)</f>
        <v>0</v>
      </c>
      <c r="K428" s="5">
        <f>J428/SUM(Question_Bank!$M$3:$M$14)</f>
        <v>0</v>
      </c>
      <c r="L428" s="5">
        <f>SUMIFS($I$3:$I$518,$A$3:$A$518,A428,$E$3:$E$518,E428)/SUMIFS(Question_Bank!$M$3:$M$14,Question_Bank!$B$3:$B$14,E428)</f>
        <v>0</v>
      </c>
      <c r="M428" t="s">
        <v>334</v>
      </c>
    </row>
    <row r="429" spans="1:13">
      <c r="A429" t="s">
        <v>333</v>
      </c>
      <c r="B429" t="s">
        <v>263</v>
      </c>
      <c r="C429" t="s">
        <v>227</v>
      </c>
      <c r="D429" t="s">
        <v>70</v>
      </c>
      <c r="E429" t="s">
        <v>71</v>
      </c>
      <c r="F429" t="s">
        <v>34</v>
      </c>
      <c r="G429">
        <f>INDEX(Question_Bank!$J$3:$J$14,MATCH(D429,Question_Bank!$A$3:$A$14,0))</f>
        <v>0</v>
      </c>
      <c r="H429">
        <f>IF(F429=G429,1,0)</f>
        <v>0</v>
      </c>
      <c r="I429">
        <f>H429*INDEX(Question_Bank!$M$3:$M$14,MATCH(D429,Question_Bank!$A$3:$A$14,0))</f>
        <v>0</v>
      </c>
      <c r="J429">
        <f>SUMIFS($I$3:$I$518,$A$3:$A$518,A429)</f>
        <v>0</v>
      </c>
      <c r="K429" s="5">
        <f>J429/SUM(Question_Bank!$M$3:$M$14)</f>
        <v>0</v>
      </c>
      <c r="L429" s="5">
        <f>SUMIFS($I$3:$I$518,$A$3:$A$518,A429,$E$3:$E$518,E429)/SUMIFS(Question_Bank!$M$3:$M$14,Question_Bank!$B$3:$B$14,E429)</f>
        <v>0</v>
      </c>
      <c r="M429" t="s">
        <v>334</v>
      </c>
    </row>
    <row r="430" spans="1:13">
      <c r="A430" t="s">
        <v>333</v>
      </c>
      <c r="B430" t="s">
        <v>263</v>
      </c>
      <c r="C430" t="s">
        <v>227</v>
      </c>
      <c r="D430" t="s">
        <v>79</v>
      </c>
      <c r="E430" t="s">
        <v>71</v>
      </c>
      <c r="F430" t="s">
        <v>31</v>
      </c>
      <c r="G430">
        <f>INDEX(Question_Bank!$J$3:$J$14,MATCH(D430,Question_Bank!$A$3:$A$14,0))</f>
        <v>0</v>
      </c>
      <c r="H430">
        <f>IF(F430=G430,1,0)</f>
        <v>0</v>
      </c>
      <c r="I430">
        <f>H430*INDEX(Question_Bank!$M$3:$M$14,MATCH(D430,Question_Bank!$A$3:$A$14,0))</f>
        <v>0</v>
      </c>
      <c r="J430">
        <f>SUMIFS($I$3:$I$518,$A$3:$A$518,A430)</f>
        <v>0</v>
      </c>
      <c r="K430" s="5">
        <f>J430/SUM(Question_Bank!$M$3:$M$14)</f>
        <v>0</v>
      </c>
      <c r="L430" s="5">
        <f>SUMIFS($I$3:$I$518,$A$3:$A$518,A430,$E$3:$E$518,E430)/SUMIFS(Question_Bank!$M$3:$M$14,Question_Bank!$B$3:$B$14,E430)</f>
        <v>0</v>
      </c>
      <c r="M430" t="s">
        <v>334</v>
      </c>
    </row>
    <row r="431" spans="1:13">
      <c r="A431" t="s">
        <v>333</v>
      </c>
      <c r="B431" t="s">
        <v>263</v>
      </c>
      <c r="C431" t="s">
        <v>227</v>
      </c>
      <c r="D431" t="s">
        <v>87</v>
      </c>
      <c r="E431" t="s">
        <v>71</v>
      </c>
      <c r="F431" t="s">
        <v>23</v>
      </c>
      <c r="G431">
        <f>INDEX(Question_Bank!$J$3:$J$14,MATCH(D431,Question_Bank!$A$3:$A$14,0))</f>
        <v>0</v>
      </c>
      <c r="H431">
        <f>IF(F431=G431,1,0)</f>
        <v>0</v>
      </c>
      <c r="I431">
        <f>H431*INDEX(Question_Bank!$M$3:$M$14,MATCH(D431,Question_Bank!$A$3:$A$14,0))</f>
        <v>0</v>
      </c>
      <c r="J431">
        <f>SUMIFS($I$3:$I$518,$A$3:$A$518,A431)</f>
        <v>0</v>
      </c>
      <c r="K431" s="5">
        <f>J431/SUM(Question_Bank!$M$3:$M$14)</f>
        <v>0</v>
      </c>
      <c r="L431" s="5">
        <f>SUMIFS($I$3:$I$518,$A$3:$A$518,A431,$E$3:$E$518,E431)/SUMIFS(Question_Bank!$M$3:$M$14,Question_Bank!$B$3:$B$14,E431)</f>
        <v>0</v>
      </c>
      <c r="M431" t="s">
        <v>334</v>
      </c>
    </row>
    <row r="432" spans="1:13">
      <c r="A432" t="s">
        <v>333</v>
      </c>
      <c r="B432" t="s">
        <v>263</v>
      </c>
      <c r="C432" t="s">
        <v>227</v>
      </c>
      <c r="D432" t="s">
        <v>95</v>
      </c>
      <c r="E432" t="s">
        <v>96</v>
      </c>
      <c r="F432" t="s">
        <v>34</v>
      </c>
      <c r="G432">
        <f>INDEX(Question_Bank!$J$3:$J$14,MATCH(D432,Question_Bank!$A$3:$A$14,0))</f>
        <v>0</v>
      </c>
      <c r="H432">
        <f>IF(F432=G432,1,0)</f>
        <v>0</v>
      </c>
      <c r="I432">
        <f>H432*INDEX(Question_Bank!$M$3:$M$14,MATCH(D432,Question_Bank!$A$3:$A$14,0))</f>
        <v>0</v>
      </c>
      <c r="J432">
        <f>SUMIFS($I$3:$I$518,$A$3:$A$518,A432)</f>
        <v>0</v>
      </c>
      <c r="K432" s="5">
        <f>J432/SUM(Question_Bank!$M$3:$M$14)</f>
        <v>0</v>
      </c>
      <c r="L432" s="5">
        <f>SUMIFS($I$3:$I$518,$A$3:$A$518,A432,$E$3:$E$518,E432)/SUMIFS(Question_Bank!$M$3:$M$14,Question_Bank!$B$3:$B$14,E432)</f>
        <v>0</v>
      </c>
      <c r="M432" t="s">
        <v>334</v>
      </c>
    </row>
    <row r="433" spans="1:13">
      <c r="A433" t="s">
        <v>333</v>
      </c>
      <c r="B433" t="s">
        <v>263</v>
      </c>
      <c r="C433" t="s">
        <v>227</v>
      </c>
      <c r="D433" t="s">
        <v>104</v>
      </c>
      <c r="E433" t="s">
        <v>96</v>
      </c>
      <c r="F433" t="s">
        <v>20</v>
      </c>
      <c r="G433">
        <f>INDEX(Question_Bank!$J$3:$J$14,MATCH(D433,Question_Bank!$A$3:$A$14,0))</f>
        <v>0</v>
      </c>
      <c r="H433">
        <f>IF(F433=G433,1,0)</f>
        <v>0</v>
      </c>
      <c r="I433">
        <f>H433*INDEX(Question_Bank!$M$3:$M$14,MATCH(D433,Question_Bank!$A$3:$A$14,0))</f>
        <v>0</v>
      </c>
      <c r="J433">
        <f>SUMIFS($I$3:$I$518,$A$3:$A$518,A433)</f>
        <v>0</v>
      </c>
      <c r="K433" s="5">
        <f>J433/SUM(Question_Bank!$M$3:$M$14)</f>
        <v>0</v>
      </c>
      <c r="L433" s="5">
        <f>SUMIFS($I$3:$I$518,$A$3:$A$518,A433,$E$3:$E$518,E433)/SUMIFS(Question_Bank!$M$3:$M$14,Question_Bank!$B$3:$B$14,E433)</f>
        <v>0</v>
      </c>
      <c r="M433" t="s">
        <v>334</v>
      </c>
    </row>
    <row r="434" spans="1:13">
      <c r="A434" t="s">
        <v>333</v>
      </c>
      <c r="B434" t="s">
        <v>263</v>
      </c>
      <c r="C434" t="s">
        <v>227</v>
      </c>
      <c r="D434" t="s">
        <v>112</v>
      </c>
      <c r="E434" t="s">
        <v>96</v>
      </c>
      <c r="F434" t="s">
        <v>31</v>
      </c>
      <c r="G434">
        <f>INDEX(Question_Bank!$J$3:$J$14,MATCH(D434,Question_Bank!$A$3:$A$14,0))</f>
        <v>0</v>
      </c>
      <c r="H434">
        <f>IF(F434=G434,1,0)</f>
        <v>0</v>
      </c>
      <c r="I434">
        <f>H434*INDEX(Question_Bank!$M$3:$M$14,MATCH(D434,Question_Bank!$A$3:$A$14,0))</f>
        <v>0</v>
      </c>
      <c r="J434">
        <f>SUMIFS($I$3:$I$518,$A$3:$A$518,A434)</f>
        <v>0</v>
      </c>
      <c r="K434" s="5">
        <f>J434/SUM(Question_Bank!$M$3:$M$14)</f>
        <v>0</v>
      </c>
      <c r="L434" s="5">
        <f>SUMIFS($I$3:$I$518,$A$3:$A$518,A434,$E$3:$E$518,E434)/SUMIFS(Question_Bank!$M$3:$M$14,Question_Bank!$B$3:$B$14,E434)</f>
        <v>0</v>
      </c>
      <c r="M434" t="s">
        <v>334</v>
      </c>
    </row>
    <row r="435" spans="1:13">
      <c r="A435" t="s">
        <v>335</v>
      </c>
      <c r="B435" t="s">
        <v>263</v>
      </c>
      <c r="C435" t="s">
        <v>227</v>
      </c>
      <c r="D435" t="s">
        <v>14</v>
      </c>
      <c r="E435" t="s">
        <v>15</v>
      </c>
      <c r="F435" t="s">
        <v>23</v>
      </c>
      <c r="G435">
        <f>INDEX(Question_Bank!$J$3:$J$14,MATCH(D435,Question_Bank!$A$3:$A$14,0))</f>
        <v>0</v>
      </c>
      <c r="H435">
        <f>IF(F435=G435,1,0)</f>
        <v>0</v>
      </c>
      <c r="I435">
        <f>H435*INDEX(Question_Bank!$M$3:$M$14,MATCH(D435,Question_Bank!$A$3:$A$14,0))</f>
        <v>0</v>
      </c>
      <c r="J435">
        <f>SUMIFS($I$3:$I$518,$A$3:$A$518,A435)</f>
        <v>0</v>
      </c>
      <c r="K435" s="5">
        <f>J435/SUM(Question_Bank!$M$3:$M$14)</f>
        <v>0</v>
      </c>
      <c r="L435" s="5">
        <f>SUMIFS($I$3:$I$518,$A$3:$A$518,A435,$E$3:$E$518,E435)/SUMIFS(Question_Bank!$M$3:$M$14,Question_Bank!$B$3:$B$14,E435)</f>
        <v>0</v>
      </c>
      <c r="M435" t="s">
        <v>336</v>
      </c>
    </row>
    <row r="436" spans="1:13">
      <c r="A436" t="s">
        <v>335</v>
      </c>
      <c r="B436" t="s">
        <v>263</v>
      </c>
      <c r="C436" t="s">
        <v>227</v>
      </c>
      <c r="D436" t="s">
        <v>26</v>
      </c>
      <c r="E436" t="s">
        <v>15</v>
      </c>
      <c r="F436" t="s">
        <v>20</v>
      </c>
      <c r="G436">
        <f>INDEX(Question_Bank!$J$3:$J$14,MATCH(D436,Question_Bank!$A$3:$A$14,0))</f>
        <v>0</v>
      </c>
      <c r="H436">
        <f>IF(F436=G436,1,0)</f>
        <v>0</v>
      </c>
      <c r="I436">
        <f>H436*INDEX(Question_Bank!$M$3:$M$14,MATCH(D436,Question_Bank!$A$3:$A$14,0))</f>
        <v>0</v>
      </c>
      <c r="J436">
        <f>SUMIFS($I$3:$I$518,$A$3:$A$518,A436)</f>
        <v>0</v>
      </c>
      <c r="K436" s="5">
        <f>J436/SUM(Question_Bank!$M$3:$M$14)</f>
        <v>0</v>
      </c>
      <c r="L436" s="5">
        <f>SUMIFS($I$3:$I$518,$A$3:$A$518,A436,$E$3:$E$518,E436)/SUMIFS(Question_Bank!$M$3:$M$14,Question_Bank!$B$3:$B$14,E436)</f>
        <v>0</v>
      </c>
      <c r="M436" t="s">
        <v>336</v>
      </c>
    </row>
    <row r="437" spans="1:13">
      <c r="A437" t="s">
        <v>335</v>
      </c>
      <c r="B437" t="s">
        <v>263</v>
      </c>
      <c r="C437" t="s">
        <v>227</v>
      </c>
      <c r="D437" t="s">
        <v>37</v>
      </c>
      <c r="E437" t="s">
        <v>15</v>
      </c>
      <c r="F437" t="s">
        <v>20</v>
      </c>
      <c r="G437">
        <f>INDEX(Question_Bank!$J$3:$J$14,MATCH(D437,Question_Bank!$A$3:$A$14,0))</f>
        <v>0</v>
      </c>
      <c r="H437">
        <f>IF(F437=G437,1,0)</f>
        <v>0</v>
      </c>
      <c r="I437">
        <f>H437*INDEX(Question_Bank!$M$3:$M$14,MATCH(D437,Question_Bank!$A$3:$A$14,0))</f>
        <v>0</v>
      </c>
      <c r="J437">
        <f>SUMIFS($I$3:$I$518,$A$3:$A$518,A437)</f>
        <v>0</v>
      </c>
      <c r="K437" s="5">
        <f>J437/SUM(Question_Bank!$M$3:$M$14)</f>
        <v>0</v>
      </c>
      <c r="L437" s="5">
        <f>SUMIFS($I$3:$I$518,$A$3:$A$518,A437,$E$3:$E$518,E437)/SUMIFS(Question_Bank!$M$3:$M$14,Question_Bank!$B$3:$B$14,E437)</f>
        <v>0</v>
      </c>
      <c r="M437" t="s">
        <v>336</v>
      </c>
    </row>
    <row r="438" spans="1:13">
      <c r="A438" t="s">
        <v>335</v>
      </c>
      <c r="B438" t="s">
        <v>263</v>
      </c>
      <c r="C438" t="s">
        <v>227</v>
      </c>
      <c r="D438" t="s">
        <v>45</v>
      </c>
      <c r="E438" t="s">
        <v>46</v>
      </c>
      <c r="F438" t="s">
        <v>31</v>
      </c>
      <c r="G438">
        <f>INDEX(Question_Bank!$J$3:$J$14,MATCH(D438,Question_Bank!$A$3:$A$14,0))</f>
        <v>0</v>
      </c>
      <c r="H438">
        <f>IF(F438=G438,1,0)</f>
        <v>0</v>
      </c>
      <c r="I438">
        <f>H438*INDEX(Question_Bank!$M$3:$M$14,MATCH(D438,Question_Bank!$A$3:$A$14,0))</f>
        <v>0</v>
      </c>
      <c r="J438">
        <f>SUMIFS($I$3:$I$518,$A$3:$A$518,A438)</f>
        <v>0</v>
      </c>
      <c r="K438" s="5">
        <f>J438/SUM(Question_Bank!$M$3:$M$14)</f>
        <v>0</v>
      </c>
      <c r="L438" s="5">
        <f>SUMIFS($I$3:$I$518,$A$3:$A$518,A438,$E$3:$E$518,E438)/SUMIFS(Question_Bank!$M$3:$M$14,Question_Bank!$B$3:$B$14,E438)</f>
        <v>0</v>
      </c>
      <c r="M438" t="s">
        <v>336</v>
      </c>
    </row>
    <row r="439" spans="1:13">
      <c r="A439" t="s">
        <v>335</v>
      </c>
      <c r="B439" t="s">
        <v>263</v>
      </c>
      <c r="C439" t="s">
        <v>227</v>
      </c>
      <c r="D439" t="s">
        <v>54</v>
      </c>
      <c r="E439" t="s">
        <v>46</v>
      </c>
      <c r="F439" t="s">
        <v>23</v>
      </c>
      <c r="G439">
        <f>INDEX(Question_Bank!$J$3:$J$14,MATCH(D439,Question_Bank!$A$3:$A$14,0))</f>
        <v>0</v>
      </c>
      <c r="H439">
        <f>IF(F439=G439,1,0)</f>
        <v>0</v>
      </c>
      <c r="I439">
        <f>H439*INDEX(Question_Bank!$M$3:$M$14,MATCH(D439,Question_Bank!$A$3:$A$14,0))</f>
        <v>0</v>
      </c>
      <c r="J439">
        <f>SUMIFS($I$3:$I$518,$A$3:$A$518,A439)</f>
        <v>0</v>
      </c>
      <c r="K439" s="5">
        <f>J439/SUM(Question_Bank!$M$3:$M$14)</f>
        <v>0</v>
      </c>
      <c r="L439" s="5">
        <f>SUMIFS($I$3:$I$518,$A$3:$A$518,A439,$E$3:$E$518,E439)/SUMIFS(Question_Bank!$M$3:$M$14,Question_Bank!$B$3:$B$14,E439)</f>
        <v>0</v>
      </c>
      <c r="M439" t="s">
        <v>336</v>
      </c>
    </row>
    <row r="440" spans="1:13">
      <c r="A440" t="s">
        <v>335</v>
      </c>
      <c r="B440" t="s">
        <v>263</v>
      </c>
      <c r="C440" t="s">
        <v>227</v>
      </c>
      <c r="D440" t="s">
        <v>62</v>
      </c>
      <c r="E440" t="s">
        <v>46</v>
      </c>
      <c r="F440" t="s">
        <v>34</v>
      </c>
      <c r="G440">
        <f>INDEX(Question_Bank!$J$3:$J$14,MATCH(D440,Question_Bank!$A$3:$A$14,0))</f>
        <v>0</v>
      </c>
      <c r="H440">
        <f>IF(F440=G440,1,0)</f>
        <v>0</v>
      </c>
      <c r="I440">
        <f>H440*INDEX(Question_Bank!$M$3:$M$14,MATCH(D440,Question_Bank!$A$3:$A$14,0))</f>
        <v>0</v>
      </c>
      <c r="J440">
        <f>SUMIFS($I$3:$I$518,$A$3:$A$518,A440)</f>
        <v>0</v>
      </c>
      <c r="K440" s="5">
        <f>J440/SUM(Question_Bank!$M$3:$M$14)</f>
        <v>0</v>
      </c>
      <c r="L440" s="5">
        <f>SUMIFS($I$3:$I$518,$A$3:$A$518,A440,$E$3:$E$518,E440)/SUMIFS(Question_Bank!$M$3:$M$14,Question_Bank!$B$3:$B$14,E440)</f>
        <v>0</v>
      </c>
      <c r="M440" t="s">
        <v>336</v>
      </c>
    </row>
    <row r="441" spans="1:13">
      <c r="A441" t="s">
        <v>335</v>
      </c>
      <c r="B441" t="s">
        <v>263</v>
      </c>
      <c r="C441" t="s">
        <v>227</v>
      </c>
      <c r="D441" t="s">
        <v>70</v>
      </c>
      <c r="E441" t="s">
        <v>71</v>
      </c>
      <c r="F441" t="s">
        <v>20</v>
      </c>
      <c r="G441">
        <f>INDEX(Question_Bank!$J$3:$J$14,MATCH(D441,Question_Bank!$A$3:$A$14,0))</f>
        <v>0</v>
      </c>
      <c r="H441">
        <f>IF(F441=G441,1,0)</f>
        <v>0</v>
      </c>
      <c r="I441">
        <f>H441*INDEX(Question_Bank!$M$3:$M$14,MATCH(D441,Question_Bank!$A$3:$A$14,0))</f>
        <v>0</v>
      </c>
      <c r="J441">
        <f>SUMIFS($I$3:$I$518,$A$3:$A$518,A441)</f>
        <v>0</v>
      </c>
      <c r="K441" s="5">
        <f>J441/SUM(Question_Bank!$M$3:$M$14)</f>
        <v>0</v>
      </c>
      <c r="L441" s="5">
        <f>SUMIFS($I$3:$I$518,$A$3:$A$518,A441,$E$3:$E$518,E441)/SUMIFS(Question_Bank!$M$3:$M$14,Question_Bank!$B$3:$B$14,E441)</f>
        <v>0</v>
      </c>
      <c r="M441" t="s">
        <v>336</v>
      </c>
    </row>
    <row r="442" spans="1:13">
      <c r="A442" t="s">
        <v>335</v>
      </c>
      <c r="B442" t="s">
        <v>263</v>
      </c>
      <c r="C442" t="s">
        <v>227</v>
      </c>
      <c r="D442" t="s">
        <v>79</v>
      </c>
      <c r="E442" t="s">
        <v>71</v>
      </c>
      <c r="F442" t="s">
        <v>31</v>
      </c>
      <c r="G442">
        <f>INDEX(Question_Bank!$J$3:$J$14,MATCH(D442,Question_Bank!$A$3:$A$14,0))</f>
        <v>0</v>
      </c>
      <c r="H442">
        <f>IF(F442=G442,1,0)</f>
        <v>0</v>
      </c>
      <c r="I442">
        <f>H442*INDEX(Question_Bank!$M$3:$M$14,MATCH(D442,Question_Bank!$A$3:$A$14,0))</f>
        <v>0</v>
      </c>
      <c r="J442">
        <f>SUMIFS($I$3:$I$518,$A$3:$A$518,A442)</f>
        <v>0</v>
      </c>
      <c r="K442" s="5">
        <f>J442/SUM(Question_Bank!$M$3:$M$14)</f>
        <v>0</v>
      </c>
      <c r="L442" s="5">
        <f>SUMIFS($I$3:$I$518,$A$3:$A$518,A442,$E$3:$E$518,E442)/SUMIFS(Question_Bank!$M$3:$M$14,Question_Bank!$B$3:$B$14,E442)</f>
        <v>0</v>
      </c>
      <c r="M442" t="s">
        <v>336</v>
      </c>
    </row>
    <row r="443" spans="1:13">
      <c r="A443" t="s">
        <v>335</v>
      </c>
      <c r="B443" t="s">
        <v>263</v>
      </c>
      <c r="C443" t="s">
        <v>227</v>
      </c>
      <c r="D443" t="s">
        <v>87</v>
      </c>
      <c r="E443" t="s">
        <v>71</v>
      </c>
      <c r="F443" t="s">
        <v>23</v>
      </c>
      <c r="G443">
        <f>INDEX(Question_Bank!$J$3:$J$14,MATCH(D443,Question_Bank!$A$3:$A$14,0))</f>
        <v>0</v>
      </c>
      <c r="H443">
        <f>IF(F443=G443,1,0)</f>
        <v>0</v>
      </c>
      <c r="I443">
        <f>H443*INDEX(Question_Bank!$M$3:$M$14,MATCH(D443,Question_Bank!$A$3:$A$14,0))</f>
        <v>0</v>
      </c>
      <c r="J443">
        <f>SUMIFS($I$3:$I$518,$A$3:$A$518,A443)</f>
        <v>0</v>
      </c>
      <c r="K443" s="5">
        <f>J443/SUM(Question_Bank!$M$3:$M$14)</f>
        <v>0</v>
      </c>
      <c r="L443" s="5">
        <f>SUMIFS($I$3:$I$518,$A$3:$A$518,A443,$E$3:$E$518,E443)/SUMIFS(Question_Bank!$M$3:$M$14,Question_Bank!$B$3:$B$14,E443)</f>
        <v>0</v>
      </c>
      <c r="M443" t="s">
        <v>336</v>
      </c>
    </row>
    <row r="444" spans="1:13">
      <c r="A444" t="s">
        <v>335</v>
      </c>
      <c r="B444" t="s">
        <v>263</v>
      </c>
      <c r="C444" t="s">
        <v>227</v>
      </c>
      <c r="D444" t="s">
        <v>95</v>
      </c>
      <c r="E444" t="s">
        <v>96</v>
      </c>
      <c r="F444" t="s">
        <v>34</v>
      </c>
      <c r="G444">
        <f>INDEX(Question_Bank!$J$3:$J$14,MATCH(D444,Question_Bank!$A$3:$A$14,0))</f>
        <v>0</v>
      </c>
      <c r="H444">
        <f>IF(F444=G444,1,0)</f>
        <v>0</v>
      </c>
      <c r="I444">
        <f>H444*INDEX(Question_Bank!$M$3:$M$14,MATCH(D444,Question_Bank!$A$3:$A$14,0))</f>
        <v>0</v>
      </c>
      <c r="J444">
        <f>SUMIFS($I$3:$I$518,$A$3:$A$518,A444)</f>
        <v>0</v>
      </c>
      <c r="K444" s="5">
        <f>J444/SUM(Question_Bank!$M$3:$M$14)</f>
        <v>0</v>
      </c>
      <c r="L444" s="5">
        <f>SUMIFS($I$3:$I$518,$A$3:$A$518,A444,$E$3:$E$518,E444)/SUMIFS(Question_Bank!$M$3:$M$14,Question_Bank!$B$3:$B$14,E444)</f>
        <v>0</v>
      </c>
      <c r="M444" t="s">
        <v>336</v>
      </c>
    </row>
    <row r="445" spans="1:13">
      <c r="A445" t="s">
        <v>335</v>
      </c>
      <c r="B445" t="s">
        <v>263</v>
      </c>
      <c r="C445" t="s">
        <v>227</v>
      </c>
      <c r="D445" t="s">
        <v>104</v>
      </c>
      <c r="E445" t="s">
        <v>96</v>
      </c>
      <c r="F445" t="s">
        <v>20</v>
      </c>
      <c r="G445">
        <f>INDEX(Question_Bank!$J$3:$J$14,MATCH(D445,Question_Bank!$A$3:$A$14,0))</f>
        <v>0</v>
      </c>
      <c r="H445">
        <f>IF(F445=G445,1,0)</f>
        <v>0</v>
      </c>
      <c r="I445">
        <f>H445*INDEX(Question_Bank!$M$3:$M$14,MATCH(D445,Question_Bank!$A$3:$A$14,0))</f>
        <v>0</v>
      </c>
      <c r="J445">
        <f>SUMIFS($I$3:$I$518,$A$3:$A$518,A445)</f>
        <v>0</v>
      </c>
      <c r="K445" s="5">
        <f>J445/SUM(Question_Bank!$M$3:$M$14)</f>
        <v>0</v>
      </c>
      <c r="L445" s="5">
        <f>SUMIFS($I$3:$I$518,$A$3:$A$518,A445,$E$3:$E$518,E445)/SUMIFS(Question_Bank!$M$3:$M$14,Question_Bank!$B$3:$B$14,E445)</f>
        <v>0</v>
      </c>
      <c r="M445" t="s">
        <v>336</v>
      </c>
    </row>
    <row r="446" spans="1:13">
      <c r="A446" t="s">
        <v>335</v>
      </c>
      <c r="B446" t="s">
        <v>263</v>
      </c>
      <c r="C446" t="s">
        <v>227</v>
      </c>
      <c r="D446" t="s">
        <v>112</v>
      </c>
      <c r="E446" t="s">
        <v>96</v>
      </c>
      <c r="F446" t="s">
        <v>23</v>
      </c>
      <c r="G446">
        <f>INDEX(Question_Bank!$J$3:$J$14,MATCH(D446,Question_Bank!$A$3:$A$14,0))</f>
        <v>0</v>
      </c>
      <c r="H446">
        <f>IF(F446=G446,1,0)</f>
        <v>0</v>
      </c>
      <c r="I446">
        <f>H446*INDEX(Question_Bank!$M$3:$M$14,MATCH(D446,Question_Bank!$A$3:$A$14,0))</f>
        <v>0</v>
      </c>
      <c r="J446">
        <f>SUMIFS($I$3:$I$518,$A$3:$A$518,A446)</f>
        <v>0</v>
      </c>
      <c r="K446" s="5">
        <f>J446/SUM(Question_Bank!$M$3:$M$14)</f>
        <v>0</v>
      </c>
      <c r="L446" s="5">
        <f>SUMIFS($I$3:$I$518,$A$3:$A$518,A446,$E$3:$E$518,E446)/SUMIFS(Question_Bank!$M$3:$M$14,Question_Bank!$B$3:$B$14,E446)</f>
        <v>0</v>
      </c>
      <c r="M446" t="s">
        <v>336</v>
      </c>
    </row>
    <row r="447" spans="1:13">
      <c r="A447" t="s">
        <v>337</v>
      </c>
      <c r="B447" t="s">
        <v>263</v>
      </c>
      <c r="C447" t="s">
        <v>227</v>
      </c>
      <c r="D447" t="s">
        <v>14</v>
      </c>
      <c r="E447" t="s">
        <v>15</v>
      </c>
      <c r="F447" t="s">
        <v>23</v>
      </c>
      <c r="G447">
        <f>INDEX(Question_Bank!$J$3:$J$14,MATCH(D447,Question_Bank!$A$3:$A$14,0))</f>
        <v>0</v>
      </c>
      <c r="H447">
        <f>IF(F447=G447,1,0)</f>
        <v>0</v>
      </c>
      <c r="I447">
        <f>H447*INDEX(Question_Bank!$M$3:$M$14,MATCH(D447,Question_Bank!$A$3:$A$14,0))</f>
        <v>0</v>
      </c>
      <c r="J447">
        <f>SUMIFS($I$3:$I$518,$A$3:$A$518,A447)</f>
        <v>0</v>
      </c>
      <c r="K447" s="5">
        <f>J447/SUM(Question_Bank!$M$3:$M$14)</f>
        <v>0</v>
      </c>
      <c r="L447" s="5">
        <f>SUMIFS($I$3:$I$518,$A$3:$A$518,A447,$E$3:$E$518,E447)/SUMIFS(Question_Bank!$M$3:$M$14,Question_Bank!$B$3:$B$14,E447)</f>
        <v>0</v>
      </c>
      <c r="M447" t="s">
        <v>338</v>
      </c>
    </row>
    <row r="448" spans="1:13">
      <c r="A448" t="s">
        <v>337</v>
      </c>
      <c r="B448" t="s">
        <v>263</v>
      </c>
      <c r="C448" t="s">
        <v>227</v>
      </c>
      <c r="D448" t="s">
        <v>26</v>
      </c>
      <c r="E448" t="s">
        <v>15</v>
      </c>
      <c r="F448" t="s">
        <v>34</v>
      </c>
      <c r="G448">
        <f>INDEX(Question_Bank!$J$3:$J$14,MATCH(D448,Question_Bank!$A$3:$A$14,0))</f>
        <v>0</v>
      </c>
      <c r="H448">
        <f>IF(F448=G448,1,0)</f>
        <v>0</v>
      </c>
      <c r="I448">
        <f>H448*INDEX(Question_Bank!$M$3:$M$14,MATCH(D448,Question_Bank!$A$3:$A$14,0))</f>
        <v>0</v>
      </c>
      <c r="J448">
        <f>SUMIFS($I$3:$I$518,$A$3:$A$518,A448)</f>
        <v>0</v>
      </c>
      <c r="K448" s="5">
        <f>J448/SUM(Question_Bank!$M$3:$M$14)</f>
        <v>0</v>
      </c>
      <c r="L448" s="5">
        <f>SUMIFS($I$3:$I$518,$A$3:$A$518,A448,$E$3:$E$518,E448)/SUMIFS(Question_Bank!$M$3:$M$14,Question_Bank!$B$3:$B$14,E448)</f>
        <v>0</v>
      </c>
      <c r="M448" t="s">
        <v>338</v>
      </c>
    </row>
    <row r="449" spans="1:13">
      <c r="A449" t="s">
        <v>337</v>
      </c>
      <c r="B449" t="s">
        <v>263</v>
      </c>
      <c r="C449" t="s">
        <v>227</v>
      </c>
      <c r="D449" t="s">
        <v>37</v>
      </c>
      <c r="E449" t="s">
        <v>15</v>
      </c>
      <c r="F449" t="s">
        <v>20</v>
      </c>
      <c r="G449">
        <f>INDEX(Question_Bank!$J$3:$J$14,MATCH(D449,Question_Bank!$A$3:$A$14,0))</f>
        <v>0</v>
      </c>
      <c r="H449">
        <f>IF(F449=G449,1,0)</f>
        <v>0</v>
      </c>
      <c r="I449">
        <f>H449*INDEX(Question_Bank!$M$3:$M$14,MATCH(D449,Question_Bank!$A$3:$A$14,0))</f>
        <v>0</v>
      </c>
      <c r="J449">
        <f>SUMIFS($I$3:$I$518,$A$3:$A$518,A449)</f>
        <v>0</v>
      </c>
      <c r="K449" s="5">
        <f>J449/SUM(Question_Bank!$M$3:$M$14)</f>
        <v>0</v>
      </c>
      <c r="L449" s="5">
        <f>SUMIFS($I$3:$I$518,$A$3:$A$518,A449,$E$3:$E$518,E449)/SUMIFS(Question_Bank!$M$3:$M$14,Question_Bank!$B$3:$B$14,E449)</f>
        <v>0</v>
      </c>
      <c r="M449" t="s">
        <v>338</v>
      </c>
    </row>
    <row r="450" spans="1:13">
      <c r="A450" t="s">
        <v>337</v>
      </c>
      <c r="B450" t="s">
        <v>263</v>
      </c>
      <c r="C450" t="s">
        <v>227</v>
      </c>
      <c r="D450" t="s">
        <v>45</v>
      </c>
      <c r="E450" t="s">
        <v>46</v>
      </c>
      <c r="F450" t="s">
        <v>31</v>
      </c>
      <c r="G450">
        <f>INDEX(Question_Bank!$J$3:$J$14,MATCH(D450,Question_Bank!$A$3:$A$14,0))</f>
        <v>0</v>
      </c>
      <c r="H450">
        <f>IF(F450=G450,1,0)</f>
        <v>0</v>
      </c>
      <c r="I450">
        <f>H450*INDEX(Question_Bank!$M$3:$M$14,MATCH(D450,Question_Bank!$A$3:$A$14,0))</f>
        <v>0</v>
      </c>
      <c r="J450">
        <f>SUMIFS($I$3:$I$518,$A$3:$A$518,A450)</f>
        <v>0</v>
      </c>
      <c r="K450" s="5">
        <f>J450/SUM(Question_Bank!$M$3:$M$14)</f>
        <v>0</v>
      </c>
      <c r="L450" s="5">
        <f>SUMIFS($I$3:$I$518,$A$3:$A$518,A450,$E$3:$E$518,E450)/SUMIFS(Question_Bank!$M$3:$M$14,Question_Bank!$B$3:$B$14,E450)</f>
        <v>0</v>
      </c>
      <c r="M450" t="s">
        <v>338</v>
      </c>
    </row>
    <row r="451" spans="1:13">
      <c r="A451" t="s">
        <v>337</v>
      </c>
      <c r="B451" t="s">
        <v>263</v>
      </c>
      <c r="C451" t="s">
        <v>227</v>
      </c>
      <c r="D451" t="s">
        <v>54</v>
      </c>
      <c r="E451" t="s">
        <v>46</v>
      </c>
      <c r="F451" t="s">
        <v>23</v>
      </c>
      <c r="G451">
        <f>INDEX(Question_Bank!$J$3:$J$14,MATCH(D451,Question_Bank!$A$3:$A$14,0))</f>
        <v>0</v>
      </c>
      <c r="H451">
        <f>IF(F451=G451,1,0)</f>
        <v>0</v>
      </c>
      <c r="I451">
        <f>H451*INDEX(Question_Bank!$M$3:$M$14,MATCH(D451,Question_Bank!$A$3:$A$14,0))</f>
        <v>0</v>
      </c>
      <c r="J451">
        <f>SUMIFS($I$3:$I$518,$A$3:$A$518,A451)</f>
        <v>0</v>
      </c>
      <c r="K451" s="5">
        <f>J451/SUM(Question_Bank!$M$3:$M$14)</f>
        <v>0</v>
      </c>
      <c r="L451" s="5">
        <f>SUMIFS($I$3:$I$518,$A$3:$A$518,A451,$E$3:$E$518,E451)/SUMIFS(Question_Bank!$M$3:$M$14,Question_Bank!$B$3:$B$14,E451)</f>
        <v>0</v>
      </c>
      <c r="M451" t="s">
        <v>338</v>
      </c>
    </row>
    <row r="452" spans="1:13">
      <c r="A452" t="s">
        <v>337</v>
      </c>
      <c r="B452" t="s">
        <v>263</v>
      </c>
      <c r="C452" t="s">
        <v>227</v>
      </c>
      <c r="D452" t="s">
        <v>62</v>
      </c>
      <c r="E452" t="s">
        <v>46</v>
      </c>
      <c r="F452" t="s">
        <v>34</v>
      </c>
      <c r="G452">
        <f>INDEX(Question_Bank!$J$3:$J$14,MATCH(D452,Question_Bank!$A$3:$A$14,0))</f>
        <v>0</v>
      </c>
      <c r="H452">
        <f>IF(F452=G452,1,0)</f>
        <v>0</v>
      </c>
      <c r="I452">
        <f>H452*INDEX(Question_Bank!$M$3:$M$14,MATCH(D452,Question_Bank!$A$3:$A$14,0))</f>
        <v>0</v>
      </c>
      <c r="J452">
        <f>SUMIFS($I$3:$I$518,$A$3:$A$518,A452)</f>
        <v>0</v>
      </c>
      <c r="K452" s="5">
        <f>J452/SUM(Question_Bank!$M$3:$M$14)</f>
        <v>0</v>
      </c>
      <c r="L452" s="5">
        <f>SUMIFS($I$3:$I$518,$A$3:$A$518,A452,$E$3:$E$518,E452)/SUMIFS(Question_Bank!$M$3:$M$14,Question_Bank!$B$3:$B$14,E452)</f>
        <v>0</v>
      </c>
      <c r="M452" t="s">
        <v>338</v>
      </c>
    </row>
    <row r="453" spans="1:13">
      <c r="A453" t="s">
        <v>337</v>
      </c>
      <c r="B453" t="s">
        <v>263</v>
      </c>
      <c r="C453" t="s">
        <v>227</v>
      </c>
      <c r="D453" t="s">
        <v>70</v>
      </c>
      <c r="E453" t="s">
        <v>71</v>
      </c>
      <c r="F453" t="s">
        <v>20</v>
      </c>
      <c r="G453">
        <f>INDEX(Question_Bank!$J$3:$J$14,MATCH(D453,Question_Bank!$A$3:$A$14,0))</f>
        <v>0</v>
      </c>
      <c r="H453">
        <f>IF(F453=G453,1,0)</f>
        <v>0</v>
      </c>
      <c r="I453">
        <f>H453*INDEX(Question_Bank!$M$3:$M$14,MATCH(D453,Question_Bank!$A$3:$A$14,0))</f>
        <v>0</v>
      </c>
      <c r="J453">
        <f>SUMIFS($I$3:$I$518,$A$3:$A$518,A453)</f>
        <v>0</v>
      </c>
      <c r="K453" s="5">
        <f>J453/SUM(Question_Bank!$M$3:$M$14)</f>
        <v>0</v>
      </c>
      <c r="L453" s="5">
        <f>SUMIFS($I$3:$I$518,$A$3:$A$518,A453,$E$3:$E$518,E453)/SUMIFS(Question_Bank!$M$3:$M$14,Question_Bank!$B$3:$B$14,E453)</f>
        <v>0</v>
      </c>
      <c r="M453" t="s">
        <v>338</v>
      </c>
    </row>
    <row r="454" spans="1:13">
      <c r="A454" t="s">
        <v>337</v>
      </c>
      <c r="B454" t="s">
        <v>263</v>
      </c>
      <c r="C454" t="s">
        <v>227</v>
      </c>
      <c r="D454" t="s">
        <v>79</v>
      </c>
      <c r="E454" t="s">
        <v>71</v>
      </c>
      <c r="F454" t="s">
        <v>31</v>
      </c>
      <c r="G454">
        <f>INDEX(Question_Bank!$J$3:$J$14,MATCH(D454,Question_Bank!$A$3:$A$14,0))</f>
        <v>0</v>
      </c>
      <c r="H454">
        <f>IF(F454=G454,1,0)</f>
        <v>0</v>
      </c>
      <c r="I454">
        <f>H454*INDEX(Question_Bank!$M$3:$M$14,MATCH(D454,Question_Bank!$A$3:$A$14,0))</f>
        <v>0</v>
      </c>
      <c r="J454">
        <f>SUMIFS($I$3:$I$518,$A$3:$A$518,A454)</f>
        <v>0</v>
      </c>
      <c r="K454" s="5">
        <f>J454/SUM(Question_Bank!$M$3:$M$14)</f>
        <v>0</v>
      </c>
      <c r="L454" s="5">
        <f>SUMIFS($I$3:$I$518,$A$3:$A$518,A454,$E$3:$E$518,E454)/SUMIFS(Question_Bank!$M$3:$M$14,Question_Bank!$B$3:$B$14,E454)</f>
        <v>0</v>
      </c>
      <c r="M454" t="s">
        <v>338</v>
      </c>
    </row>
    <row r="455" spans="1:13">
      <c r="A455" t="s">
        <v>337</v>
      </c>
      <c r="B455" t="s">
        <v>263</v>
      </c>
      <c r="C455" t="s">
        <v>227</v>
      </c>
      <c r="D455" t="s">
        <v>87</v>
      </c>
      <c r="E455" t="s">
        <v>71</v>
      </c>
      <c r="F455" t="s">
        <v>23</v>
      </c>
      <c r="G455">
        <f>INDEX(Question_Bank!$J$3:$J$14,MATCH(D455,Question_Bank!$A$3:$A$14,0))</f>
        <v>0</v>
      </c>
      <c r="H455">
        <f>IF(F455=G455,1,0)</f>
        <v>0</v>
      </c>
      <c r="I455">
        <f>H455*INDEX(Question_Bank!$M$3:$M$14,MATCH(D455,Question_Bank!$A$3:$A$14,0))</f>
        <v>0</v>
      </c>
      <c r="J455">
        <f>SUMIFS($I$3:$I$518,$A$3:$A$518,A455)</f>
        <v>0</v>
      </c>
      <c r="K455" s="5">
        <f>J455/SUM(Question_Bank!$M$3:$M$14)</f>
        <v>0</v>
      </c>
      <c r="L455" s="5">
        <f>SUMIFS($I$3:$I$518,$A$3:$A$518,A455,$E$3:$E$518,E455)/SUMIFS(Question_Bank!$M$3:$M$14,Question_Bank!$B$3:$B$14,E455)</f>
        <v>0</v>
      </c>
      <c r="M455" t="s">
        <v>338</v>
      </c>
    </row>
    <row r="456" spans="1:13">
      <c r="A456" t="s">
        <v>337</v>
      </c>
      <c r="B456" t="s">
        <v>263</v>
      </c>
      <c r="C456" t="s">
        <v>227</v>
      </c>
      <c r="D456" t="s">
        <v>95</v>
      </c>
      <c r="E456" t="s">
        <v>96</v>
      </c>
      <c r="F456" t="s">
        <v>34</v>
      </c>
      <c r="G456">
        <f>INDEX(Question_Bank!$J$3:$J$14,MATCH(D456,Question_Bank!$A$3:$A$14,0))</f>
        <v>0</v>
      </c>
      <c r="H456">
        <f>IF(F456=G456,1,0)</f>
        <v>0</v>
      </c>
      <c r="I456">
        <f>H456*INDEX(Question_Bank!$M$3:$M$14,MATCH(D456,Question_Bank!$A$3:$A$14,0))</f>
        <v>0</v>
      </c>
      <c r="J456">
        <f>SUMIFS($I$3:$I$518,$A$3:$A$518,A456)</f>
        <v>0</v>
      </c>
      <c r="K456" s="5">
        <f>J456/SUM(Question_Bank!$M$3:$M$14)</f>
        <v>0</v>
      </c>
      <c r="L456" s="5">
        <f>SUMIFS($I$3:$I$518,$A$3:$A$518,A456,$E$3:$E$518,E456)/SUMIFS(Question_Bank!$M$3:$M$14,Question_Bank!$B$3:$B$14,E456)</f>
        <v>0</v>
      </c>
      <c r="M456" t="s">
        <v>338</v>
      </c>
    </row>
    <row r="457" spans="1:13">
      <c r="A457" t="s">
        <v>337</v>
      </c>
      <c r="B457" t="s">
        <v>263</v>
      </c>
      <c r="C457" t="s">
        <v>227</v>
      </c>
      <c r="D457" t="s">
        <v>104</v>
      </c>
      <c r="E457" t="s">
        <v>96</v>
      </c>
      <c r="F457" t="s">
        <v>20</v>
      </c>
      <c r="G457">
        <f>INDEX(Question_Bank!$J$3:$J$14,MATCH(D457,Question_Bank!$A$3:$A$14,0))</f>
        <v>0</v>
      </c>
      <c r="H457">
        <f>IF(F457=G457,1,0)</f>
        <v>0</v>
      </c>
      <c r="I457">
        <f>H457*INDEX(Question_Bank!$M$3:$M$14,MATCH(D457,Question_Bank!$A$3:$A$14,0))</f>
        <v>0</v>
      </c>
      <c r="J457">
        <f>SUMIFS($I$3:$I$518,$A$3:$A$518,A457)</f>
        <v>0</v>
      </c>
      <c r="K457" s="5">
        <f>J457/SUM(Question_Bank!$M$3:$M$14)</f>
        <v>0</v>
      </c>
      <c r="L457" s="5">
        <f>SUMIFS($I$3:$I$518,$A$3:$A$518,A457,$E$3:$E$518,E457)/SUMIFS(Question_Bank!$M$3:$M$14,Question_Bank!$B$3:$B$14,E457)</f>
        <v>0</v>
      </c>
      <c r="M457" t="s">
        <v>338</v>
      </c>
    </row>
    <row r="458" spans="1:13">
      <c r="A458" t="s">
        <v>337</v>
      </c>
      <c r="B458" t="s">
        <v>263</v>
      </c>
      <c r="C458" t="s">
        <v>227</v>
      </c>
      <c r="D458" t="s">
        <v>112</v>
      </c>
      <c r="E458" t="s">
        <v>96</v>
      </c>
      <c r="F458" t="s">
        <v>31</v>
      </c>
      <c r="G458">
        <f>INDEX(Question_Bank!$J$3:$J$14,MATCH(D458,Question_Bank!$A$3:$A$14,0))</f>
        <v>0</v>
      </c>
      <c r="H458">
        <f>IF(F458=G458,1,0)</f>
        <v>0</v>
      </c>
      <c r="I458">
        <f>H458*INDEX(Question_Bank!$M$3:$M$14,MATCH(D458,Question_Bank!$A$3:$A$14,0))</f>
        <v>0</v>
      </c>
      <c r="J458">
        <f>SUMIFS($I$3:$I$518,$A$3:$A$518,A458)</f>
        <v>0</v>
      </c>
      <c r="K458" s="5">
        <f>J458/SUM(Question_Bank!$M$3:$M$14)</f>
        <v>0</v>
      </c>
      <c r="L458" s="5">
        <f>SUMIFS($I$3:$I$518,$A$3:$A$518,A458,$E$3:$E$518,E458)/SUMIFS(Question_Bank!$M$3:$M$14,Question_Bank!$B$3:$B$14,E458)</f>
        <v>0</v>
      </c>
      <c r="M458" t="s">
        <v>338</v>
      </c>
    </row>
    <row r="459" spans="1:13">
      <c r="A459" t="s">
        <v>339</v>
      </c>
      <c r="B459" t="s">
        <v>263</v>
      </c>
      <c r="C459" t="s">
        <v>227</v>
      </c>
      <c r="D459" t="s">
        <v>14</v>
      </c>
      <c r="E459" t="s">
        <v>15</v>
      </c>
      <c r="F459" t="s">
        <v>23</v>
      </c>
      <c r="G459">
        <f>INDEX(Question_Bank!$J$3:$J$14,MATCH(D459,Question_Bank!$A$3:$A$14,0))</f>
        <v>0</v>
      </c>
      <c r="H459">
        <f>IF(F459=G459,1,0)</f>
        <v>0</v>
      </c>
      <c r="I459">
        <f>H459*INDEX(Question_Bank!$M$3:$M$14,MATCH(D459,Question_Bank!$A$3:$A$14,0))</f>
        <v>0</v>
      </c>
      <c r="J459">
        <f>SUMIFS($I$3:$I$518,$A$3:$A$518,A459)</f>
        <v>0</v>
      </c>
      <c r="K459" s="5">
        <f>J459/SUM(Question_Bank!$M$3:$M$14)</f>
        <v>0</v>
      </c>
      <c r="L459" s="5">
        <f>SUMIFS($I$3:$I$518,$A$3:$A$518,A459,$E$3:$E$518,E459)/SUMIFS(Question_Bank!$M$3:$M$14,Question_Bank!$B$3:$B$14,E459)</f>
        <v>0</v>
      </c>
      <c r="M459" t="s">
        <v>340</v>
      </c>
    </row>
    <row r="460" spans="1:13">
      <c r="A460" t="s">
        <v>339</v>
      </c>
      <c r="B460" t="s">
        <v>263</v>
      </c>
      <c r="C460" t="s">
        <v>227</v>
      </c>
      <c r="D460" t="s">
        <v>26</v>
      </c>
      <c r="E460" t="s">
        <v>15</v>
      </c>
      <c r="F460" t="s">
        <v>34</v>
      </c>
      <c r="G460">
        <f>INDEX(Question_Bank!$J$3:$J$14,MATCH(D460,Question_Bank!$A$3:$A$14,0))</f>
        <v>0</v>
      </c>
      <c r="H460">
        <f>IF(F460=G460,1,0)</f>
        <v>0</v>
      </c>
      <c r="I460">
        <f>H460*INDEX(Question_Bank!$M$3:$M$14,MATCH(D460,Question_Bank!$A$3:$A$14,0))</f>
        <v>0</v>
      </c>
      <c r="J460">
        <f>SUMIFS($I$3:$I$518,$A$3:$A$518,A460)</f>
        <v>0</v>
      </c>
      <c r="K460" s="5">
        <f>J460/SUM(Question_Bank!$M$3:$M$14)</f>
        <v>0</v>
      </c>
      <c r="L460" s="5">
        <f>SUMIFS($I$3:$I$518,$A$3:$A$518,A460,$E$3:$E$518,E460)/SUMIFS(Question_Bank!$M$3:$M$14,Question_Bank!$B$3:$B$14,E460)</f>
        <v>0</v>
      </c>
      <c r="M460" t="s">
        <v>340</v>
      </c>
    </row>
    <row r="461" spans="1:13">
      <c r="A461" t="s">
        <v>339</v>
      </c>
      <c r="B461" t="s">
        <v>263</v>
      </c>
      <c r="C461" t="s">
        <v>227</v>
      </c>
      <c r="D461" t="s">
        <v>37</v>
      </c>
      <c r="E461" t="s">
        <v>15</v>
      </c>
      <c r="F461" t="s">
        <v>20</v>
      </c>
      <c r="G461">
        <f>INDEX(Question_Bank!$J$3:$J$14,MATCH(D461,Question_Bank!$A$3:$A$14,0))</f>
        <v>0</v>
      </c>
      <c r="H461">
        <f>IF(F461=G461,1,0)</f>
        <v>0</v>
      </c>
      <c r="I461">
        <f>H461*INDEX(Question_Bank!$M$3:$M$14,MATCH(D461,Question_Bank!$A$3:$A$14,0))</f>
        <v>0</v>
      </c>
      <c r="J461">
        <f>SUMIFS($I$3:$I$518,$A$3:$A$518,A461)</f>
        <v>0</v>
      </c>
      <c r="K461" s="5">
        <f>J461/SUM(Question_Bank!$M$3:$M$14)</f>
        <v>0</v>
      </c>
      <c r="L461" s="5">
        <f>SUMIFS($I$3:$I$518,$A$3:$A$518,A461,$E$3:$E$518,E461)/SUMIFS(Question_Bank!$M$3:$M$14,Question_Bank!$B$3:$B$14,E461)</f>
        <v>0</v>
      </c>
      <c r="M461" t="s">
        <v>340</v>
      </c>
    </row>
    <row r="462" spans="1:13">
      <c r="A462" t="s">
        <v>339</v>
      </c>
      <c r="B462" t="s">
        <v>263</v>
      </c>
      <c r="C462" t="s">
        <v>227</v>
      </c>
      <c r="D462" t="s">
        <v>45</v>
      </c>
      <c r="E462" t="s">
        <v>46</v>
      </c>
      <c r="F462" t="s">
        <v>31</v>
      </c>
      <c r="G462">
        <f>INDEX(Question_Bank!$J$3:$J$14,MATCH(D462,Question_Bank!$A$3:$A$14,0))</f>
        <v>0</v>
      </c>
      <c r="H462">
        <f>IF(F462=G462,1,0)</f>
        <v>0</v>
      </c>
      <c r="I462">
        <f>H462*INDEX(Question_Bank!$M$3:$M$14,MATCH(D462,Question_Bank!$A$3:$A$14,0))</f>
        <v>0</v>
      </c>
      <c r="J462">
        <f>SUMIFS($I$3:$I$518,$A$3:$A$518,A462)</f>
        <v>0</v>
      </c>
      <c r="K462" s="5">
        <f>J462/SUM(Question_Bank!$M$3:$M$14)</f>
        <v>0</v>
      </c>
      <c r="L462" s="5">
        <f>SUMIFS($I$3:$I$518,$A$3:$A$518,A462,$E$3:$E$518,E462)/SUMIFS(Question_Bank!$M$3:$M$14,Question_Bank!$B$3:$B$14,E462)</f>
        <v>0</v>
      </c>
      <c r="M462" t="s">
        <v>340</v>
      </c>
    </row>
    <row r="463" spans="1:13">
      <c r="A463" t="s">
        <v>339</v>
      </c>
      <c r="B463" t="s">
        <v>263</v>
      </c>
      <c r="C463" t="s">
        <v>227</v>
      </c>
      <c r="D463" t="s">
        <v>54</v>
      </c>
      <c r="E463" t="s">
        <v>46</v>
      </c>
      <c r="F463" t="s">
        <v>23</v>
      </c>
      <c r="G463">
        <f>INDEX(Question_Bank!$J$3:$J$14,MATCH(D463,Question_Bank!$A$3:$A$14,0))</f>
        <v>0</v>
      </c>
      <c r="H463">
        <f>IF(F463=G463,1,0)</f>
        <v>0</v>
      </c>
      <c r="I463">
        <f>H463*INDEX(Question_Bank!$M$3:$M$14,MATCH(D463,Question_Bank!$A$3:$A$14,0))</f>
        <v>0</v>
      </c>
      <c r="J463">
        <f>SUMIFS($I$3:$I$518,$A$3:$A$518,A463)</f>
        <v>0</v>
      </c>
      <c r="K463" s="5">
        <f>J463/SUM(Question_Bank!$M$3:$M$14)</f>
        <v>0</v>
      </c>
      <c r="L463" s="5">
        <f>SUMIFS($I$3:$I$518,$A$3:$A$518,A463,$E$3:$E$518,E463)/SUMIFS(Question_Bank!$M$3:$M$14,Question_Bank!$B$3:$B$14,E463)</f>
        <v>0</v>
      </c>
      <c r="M463" t="s">
        <v>340</v>
      </c>
    </row>
    <row r="464" spans="1:13">
      <c r="A464" t="s">
        <v>339</v>
      </c>
      <c r="B464" t="s">
        <v>263</v>
      </c>
      <c r="C464" t="s">
        <v>227</v>
      </c>
      <c r="D464" t="s">
        <v>62</v>
      </c>
      <c r="E464" t="s">
        <v>46</v>
      </c>
      <c r="F464" t="s">
        <v>34</v>
      </c>
      <c r="G464">
        <f>INDEX(Question_Bank!$J$3:$J$14,MATCH(D464,Question_Bank!$A$3:$A$14,0))</f>
        <v>0</v>
      </c>
      <c r="H464">
        <f>IF(F464=G464,1,0)</f>
        <v>0</v>
      </c>
      <c r="I464">
        <f>H464*INDEX(Question_Bank!$M$3:$M$14,MATCH(D464,Question_Bank!$A$3:$A$14,0))</f>
        <v>0</v>
      </c>
      <c r="J464">
        <f>SUMIFS($I$3:$I$518,$A$3:$A$518,A464)</f>
        <v>0</v>
      </c>
      <c r="K464" s="5">
        <f>J464/SUM(Question_Bank!$M$3:$M$14)</f>
        <v>0</v>
      </c>
      <c r="L464" s="5">
        <f>SUMIFS($I$3:$I$518,$A$3:$A$518,A464,$E$3:$E$518,E464)/SUMIFS(Question_Bank!$M$3:$M$14,Question_Bank!$B$3:$B$14,E464)</f>
        <v>0</v>
      </c>
      <c r="M464" t="s">
        <v>340</v>
      </c>
    </row>
    <row r="465" spans="1:13">
      <c r="A465" t="s">
        <v>339</v>
      </c>
      <c r="B465" t="s">
        <v>263</v>
      </c>
      <c r="C465" t="s">
        <v>227</v>
      </c>
      <c r="D465" t="s">
        <v>70</v>
      </c>
      <c r="E465" t="s">
        <v>71</v>
      </c>
      <c r="F465" t="s">
        <v>20</v>
      </c>
      <c r="G465">
        <f>INDEX(Question_Bank!$J$3:$J$14,MATCH(D465,Question_Bank!$A$3:$A$14,0))</f>
        <v>0</v>
      </c>
      <c r="H465">
        <f>IF(F465=G465,1,0)</f>
        <v>0</v>
      </c>
      <c r="I465">
        <f>H465*INDEX(Question_Bank!$M$3:$M$14,MATCH(D465,Question_Bank!$A$3:$A$14,0))</f>
        <v>0</v>
      </c>
      <c r="J465">
        <f>SUMIFS($I$3:$I$518,$A$3:$A$518,A465)</f>
        <v>0</v>
      </c>
      <c r="K465" s="5">
        <f>J465/SUM(Question_Bank!$M$3:$M$14)</f>
        <v>0</v>
      </c>
      <c r="L465" s="5">
        <f>SUMIFS($I$3:$I$518,$A$3:$A$518,A465,$E$3:$E$518,E465)/SUMIFS(Question_Bank!$M$3:$M$14,Question_Bank!$B$3:$B$14,E465)</f>
        <v>0</v>
      </c>
      <c r="M465" t="s">
        <v>340</v>
      </c>
    </row>
    <row r="466" spans="1:13">
      <c r="A466" t="s">
        <v>339</v>
      </c>
      <c r="B466" t="s">
        <v>263</v>
      </c>
      <c r="C466" t="s">
        <v>227</v>
      </c>
      <c r="D466" t="s">
        <v>79</v>
      </c>
      <c r="E466" t="s">
        <v>71</v>
      </c>
      <c r="F466" t="s">
        <v>31</v>
      </c>
      <c r="G466">
        <f>INDEX(Question_Bank!$J$3:$J$14,MATCH(D466,Question_Bank!$A$3:$A$14,0))</f>
        <v>0</v>
      </c>
      <c r="H466">
        <f>IF(F466=G466,1,0)</f>
        <v>0</v>
      </c>
      <c r="I466">
        <f>H466*INDEX(Question_Bank!$M$3:$M$14,MATCH(D466,Question_Bank!$A$3:$A$14,0))</f>
        <v>0</v>
      </c>
      <c r="J466">
        <f>SUMIFS($I$3:$I$518,$A$3:$A$518,A466)</f>
        <v>0</v>
      </c>
      <c r="K466" s="5">
        <f>J466/SUM(Question_Bank!$M$3:$M$14)</f>
        <v>0</v>
      </c>
      <c r="L466" s="5">
        <f>SUMIFS($I$3:$I$518,$A$3:$A$518,A466,$E$3:$E$518,E466)/SUMIFS(Question_Bank!$M$3:$M$14,Question_Bank!$B$3:$B$14,E466)</f>
        <v>0</v>
      </c>
      <c r="M466" t="s">
        <v>340</v>
      </c>
    </row>
    <row r="467" spans="1:13">
      <c r="A467" t="s">
        <v>339</v>
      </c>
      <c r="B467" t="s">
        <v>263</v>
      </c>
      <c r="C467" t="s">
        <v>227</v>
      </c>
      <c r="D467" t="s">
        <v>87</v>
      </c>
      <c r="E467" t="s">
        <v>71</v>
      </c>
      <c r="F467" t="s">
        <v>23</v>
      </c>
      <c r="G467">
        <f>INDEX(Question_Bank!$J$3:$J$14,MATCH(D467,Question_Bank!$A$3:$A$14,0))</f>
        <v>0</v>
      </c>
      <c r="H467">
        <f>IF(F467=G467,1,0)</f>
        <v>0</v>
      </c>
      <c r="I467">
        <f>H467*INDEX(Question_Bank!$M$3:$M$14,MATCH(D467,Question_Bank!$A$3:$A$14,0))</f>
        <v>0</v>
      </c>
      <c r="J467">
        <f>SUMIFS($I$3:$I$518,$A$3:$A$518,A467)</f>
        <v>0</v>
      </c>
      <c r="K467" s="5">
        <f>J467/SUM(Question_Bank!$M$3:$M$14)</f>
        <v>0</v>
      </c>
      <c r="L467" s="5">
        <f>SUMIFS($I$3:$I$518,$A$3:$A$518,A467,$E$3:$E$518,E467)/SUMIFS(Question_Bank!$M$3:$M$14,Question_Bank!$B$3:$B$14,E467)</f>
        <v>0</v>
      </c>
      <c r="M467" t="s">
        <v>340</v>
      </c>
    </row>
    <row r="468" spans="1:13">
      <c r="A468" t="s">
        <v>339</v>
      </c>
      <c r="B468" t="s">
        <v>263</v>
      </c>
      <c r="C468" t="s">
        <v>227</v>
      </c>
      <c r="D468" t="s">
        <v>95</v>
      </c>
      <c r="E468" t="s">
        <v>96</v>
      </c>
      <c r="F468" t="s">
        <v>34</v>
      </c>
      <c r="G468">
        <f>INDEX(Question_Bank!$J$3:$J$14,MATCH(D468,Question_Bank!$A$3:$A$14,0))</f>
        <v>0</v>
      </c>
      <c r="H468">
        <f>IF(F468=G468,1,0)</f>
        <v>0</v>
      </c>
      <c r="I468">
        <f>H468*INDEX(Question_Bank!$M$3:$M$14,MATCH(D468,Question_Bank!$A$3:$A$14,0))</f>
        <v>0</v>
      </c>
      <c r="J468">
        <f>SUMIFS($I$3:$I$518,$A$3:$A$518,A468)</f>
        <v>0</v>
      </c>
      <c r="K468" s="5">
        <f>J468/SUM(Question_Bank!$M$3:$M$14)</f>
        <v>0</v>
      </c>
      <c r="L468" s="5">
        <f>SUMIFS($I$3:$I$518,$A$3:$A$518,A468,$E$3:$E$518,E468)/SUMIFS(Question_Bank!$M$3:$M$14,Question_Bank!$B$3:$B$14,E468)</f>
        <v>0</v>
      </c>
      <c r="M468" t="s">
        <v>340</v>
      </c>
    </row>
    <row r="469" spans="1:13">
      <c r="A469" t="s">
        <v>339</v>
      </c>
      <c r="B469" t="s">
        <v>263</v>
      </c>
      <c r="C469" t="s">
        <v>227</v>
      </c>
      <c r="D469" t="s">
        <v>104</v>
      </c>
      <c r="E469" t="s">
        <v>96</v>
      </c>
      <c r="F469" t="s">
        <v>20</v>
      </c>
      <c r="G469">
        <f>INDEX(Question_Bank!$J$3:$J$14,MATCH(D469,Question_Bank!$A$3:$A$14,0))</f>
        <v>0</v>
      </c>
      <c r="H469">
        <f>IF(F469=G469,1,0)</f>
        <v>0</v>
      </c>
      <c r="I469">
        <f>H469*INDEX(Question_Bank!$M$3:$M$14,MATCH(D469,Question_Bank!$A$3:$A$14,0))</f>
        <v>0</v>
      </c>
      <c r="J469">
        <f>SUMIFS($I$3:$I$518,$A$3:$A$518,A469)</f>
        <v>0</v>
      </c>
      <c r="K469" s="5">
        <f>J469/SUM(Question_Bank!$M$3:$M$14)</f>
        <v>0</v>
      </c>
      <c r="L469" s="5">
        <f>SUMIFS($I$3:$I$518,$A$3:$A$518,A469,$E$3:$E$518,E469)/SUMIFS(Question_Bank!$M$3:$M$14,Question_Bank!$B$3:$B$14,E469)</f>
        <v>0</v>
      </c>
      <c r="M469" t="s">
        <v>340</v>
      </c>
    </row>
    <row r="470" spans="1:13">
      <c r="A470" t="s">
        <v>339</v>
      </c>
      <c r="B470" t="s">
        <v>263</v>
      </c>
      <c r="C470" t="s">
        <v>227</v>
      </c>
      <c r="D470" t="s">
        <v>112</v>
      </c>
      <c r="E470" t="s">
        <v>96</v>
      </c>
      <c r="F470" t="s">
        <v>31</v>
      </c>
      <c r="G470">
        <f>INDEX(Question_Bank!$J$3:$J$14,MATCH(D470,Question_Bank!$A$3:$A$14,0))</f>
        <v>0</v>
      </c>
      <c r="H470">
        <f>IF(F470=G470,1,0)</f>
        <v>0</v>
      </c>
      <c r="I470">
        <f>H470*INDEX(Question_Bank!$M$3:$M$14,MATCH(D470,Question_Bank!$A$3:$A$14,0))</f>
        <v>0</v>
      </c>
      <c r="J470">
        <f>SUMIFS($I$3:$I$518,$A$3:$A$518,A470)</f>
        <v>0</v>
      </c>
      <c r="K470" s="5">
        <f>J470/SUM(Question_Bank!$M$3:$M$14)</f>
        <v>0</v>
      </c>
      <c r="L470" s="5">
        <f>SUMIFS($I$3:$I$518,$A$3:$A$518,A470,$E$3:$E$518,E470)/SUMIFS(Question_Bank!$M$3:$M$14,Question_Bank!$B$3:$B$14,E470)</f>
        <v>0</v>
      </c>
      <c r="M470" t="s">
        <v>340</v>
      </c>
    </row>
    <row r="471" spans="1:13">
      <c r="A471" t="s">
        <v>341</v>
      </c>
      <c r="B471" t="s">
        <v>263</v>
      </c>
      <c r="C471" t="s">
        <v>227</v>
      </c>
      <c r="D471" t="s">
        <v>14</v>
      </c>
      <c r="E471" t="s">
        <v>15</v>
      </c>
      <c r="F471" t="s">
        <v>23</v>
      </c>
      <c r="G471">
        <f>INDEX(Question_Bank!$J$3:$J$14,MATCH(D471,Question_Bank!$A$3:$A$14,0))</f>
        <v>0</v>
      </c>
      <c r="H471">
        <f>IF(F471=G471,1,0)</f>
        <v>0</v>
      </c>
      <c r="I471">
        <f>H471*INDEX(Question_Bank!$M$3:$M$14,MATCH(D471,Question_Bank!$A$3:$A$14,0))</f>
        <v>0</v>
      </c>
      <c r="J471">
        <f>SUMIFS($I$3:$I$518,$A$3:$A$518,A471)</f>
        <v>0</v>
      </c>
      <c r="K471" s="5">
        <f>J471/SUM(Question_Bank!$M$3:$M$14)</f>
        <v>0</v>
      </c>
      <c r="L471" s="5">
        <f>SUMIFS($I$3:$I$518,$A$3:$A$518,A471,$E$3:$E$518,E471)/SUMIFS(Question_Bank!$M$3:$M$14,Question_Bank!$B$3:$B$14,E471)</f>
        <v>0</v>
      </c>
      <c r="M471" t="s">
        <v>342</v>
      </c>
    </row>
    <row r="472" spans="1:13">
      <c r="A472" t="s">
        <v>341</v>
      </c>
      <c r="B472" t="s">
        <v>263</v>
      </c>
      <c r="C472" t="s">
        <v>227</v>
      </c>
      <c r="D472" t="s">
        <v>26</v>
      </c>
      <c r="E472" t="s">
        <v>15</v>
      </c>
      <c r="F472" t="s">
        <v>34</v>
      </c>
      <c r="G472">
        <f>INDEX(Question_Bank!$J$3:$J$14,MATCH(D472,Question_Bank!$A$3:$A$14,0))</f>
        <v>0</v>
      </c>
      <c r="H472">
        <f>IF(F472=G472,1,0)</f>
        <v>0</v>
      </c>
      <c r="I472">
        <f>H472*INDEX(Question_Bank!$M$3:$M$14,MATCH(D472,Question_Bank!$A$3:$A$14,0))</f>
        <v>0</v>
      </c>
      <c r="J472">
        <f>SUMIFS($I$3:$I$518,$A$3:$A$518,A472)</f>
        <v>0</v>
      </c>
      <c r="K472" s="5">
        <f>J472/SUM(Question_Bank!$M$3:$M$14)</f>
        <v>0</v>
      </c>
      <c r="L472" s="5">
        <f>SUMIFS($I$3:$I$518,$A$3:$A$518,A472,$E$3:$E$518,E472)/SUMIFS(Question_Bank!$M$3:$M$14,Question_Bank!$B$3:$B$14,E472)</f>
        <v>0</v>
      </c>
      <c r="M472" t="s">
        <v>342</v>
      </c>
    </row>
    <row r="473" spans="1:13">
      <c r="A473" t="s">
        <v>341</v>
      </c>
      <c r="B473" t="s">
        <v>263</v>
      </c>
      <c r="C473" t="s">
        <v>227</v>
      </c>
      <c r="D473" t="s">
        <v>37</v>
      </c>
      <c r="E473" t="s">
        <v>15</v>
      </c>
      <c r="F473" t="s">
        <v>20</v>
      </c>
      <c r="G473">
        <f>INDEX(Question_Bank!$J$3:$J$14,MATCH(D473,Question_Bank!$A$3:$A$14,0))</f>
        <v>0</v>
      </c>
      <c r="H473">
        <f>IF(F473=G473,1,0)</f>
        <v>0</v>
      </c>
      <c r="I473">
        <f>H473*INDEX(Question_Bank!$M$3:$M$14,MATCH(D473,Question_Bank!$A$3:$A$14,0))</f>
        <v>0</v>
      </c>
      <c r="J473">
        <f>SUMIFS($I$3:$I$518,$A$3:$A$518,A473)</f>
        <v>0</v>
      </c>
      <c r="K473" s="5">
        <f>J473/SUM(Question_Bank!$M$3:$M$14)</f>
        <v>0</v>
      </c>
      <c r="L473" s="5">
        <f>SUMIFS($I$3:$I$518,$A$3:$A$518,A473,$E$3:$E$518,E473)/SUMIFS(Question_Bank!$M$3:$M$14,Question_Bank!$B$3:$B$14,E473)</f>
        <v>0</v>
      </c>
      <c r="M473" t="s">
        <v>342</v>
      </c>
    </row>
    <row r="474" spans="1:13">
      <c r="A474" t="s">
        <v>341</v>
      </c>
      <c r="B474" t="s">
        <v>263</v>
      </c>
      <c r="C474" t="s">
        <v>227</v>
      </c>
      <c r="D474" t="s">
        <v>45</v>
      </c>
      <c r="E474" t="s">
        <v>46</v>
      </c>
      <c r="F474" t="s">
        <v>31</v>
      </c>
      <c r="G474">
        <f>INDEX(Question_Bank!$J$3:$J$14,MATCH(D474,Question_Bank!$A$3:$A$14,0))</f>
        <v>0</v>
      </c>
      <c r="H474">
        <f>IF(F474=G474,1,0)</f>
        <v>0</v>
      </c>
      <c r="I474">
        <f>H474*INDEX(Question_Bank!$M$3:$M$14,MATCH(D474,Question_Bank!$A$3:$A$14,0))</f>
        <v>0</v>
      </c>
      <c r="J474">
        <f>SUMIFS($I$3:$I$518,$A$3:$A$518,A474)</f>
        <v>0</v>
      </c>
      <c r="K474" s="5">
        <f>J474/SUM(Question_Bank!$M$3:$M$14)</f>
        <v>0</v>
      </c>
      <c r="L474" s="5">
        <f>SUMIFS($I$3:$I$518,$A$3:$A$518,A474,$E$3:$E$518,E474)/SUMIFS(Question_Bank!$M$3:$M$14,Question_Bank!$B$3:$B$14,E474)</f>
        <v>0</v>
      </c>
      <c r="M474" t="s">
        <v>342</v>
      </c>
    </row>
    <row r="475" spans="1:13">
      <c r="A475" t="s">
        <v>341</v>
      </c>
      <c r="B475" t="s">
        <v>263</v>
      </c>
      <c r="C475" t="s">
        <v>227</v>
      </c>
      <c r="D475" t="s">
        <v>54</v>
      </c>
      <c r="E475" t="s">
        <v>46</v>
      </c>
      <c r="F475" t="s">
        <v>23</v>
      </c>
      <c r="G475">
        <f>INDEX(Question_Bank!$J$3:$J$14,MATCH(D475,Question_Bank!$A$3:$A$14,0))</f>
        <v>0</v>
      </c>
      <c r="H475">
        <f>IF(F475=G475,1,0)</f>
        <v>0</v>
      </c>
      <c r="I475">
        <f>H475*INDEX(Question_Bank!$M$3:$M$14,MATCH(D475,Question_Bank!$A$3:$A$14,0))</f>
        <v>0</v>
      </c>
      <c r="J475">
        <f>SUMIFS($I$3:$I$518,$A$3:$A$518,A475)</f>
        <v>0</v>
      </c>
      <c r="K475" s="5">
        <f>J475/SUM(Question_Bank!$M$3:$M$14)</f>
        <v>0</v>
      </c>
      <c r="L475" s="5">
        <f>SUMIFS($I$3:$I$518,$A$3:$A$518,A475,$E$3:$E$518,E475)/SUMIFS(Question_Bank!$M$3:$M$14,Question_Bank!$B$3:$B$14,E475)</f>
        <v>0</v>
      </c>
      <c r="M475" t="s">
        <v>342</v>
      </c>
    </row>
    <row r="476" spans="1:13">
      <c r="A476" t="s">
        <v>341</v>
      </c>
      <c r="B476" t="s">
        <v>263</v>
      </c>
      <c r="C476" t="s">
        <v>227</v>
      </c>
      <c r="D476" t="s">
        <v>62</v>
      </c>
      <c r="E476" t="s">
        <v>46</v>
      </c>
      <c r="F476" t="s">
        <v>34</v>
      </c>
      <c r="G476">
        <f>INDEX(Question_Bank!$J$3:$J$14,MATCH(D476,Question_Bank!$A$3:$A$14,0))</f>
        <v>0</v>
      </c>
      <c r="H476">
        <f>IF(F476=G476,1,0)</f>
        <v>0</v>
      </c>
      <c r="I476">
        <f>H476*INDEX(Question_Bank!$M$3:$M$14,MATCH(D476,Question_Bank!$A$3:$A$14,0))</f>
        <v>0</v>
      </c>
      <c r="J476">
        <f>SUMIFS($I$3:$I$518,$A$3:$A$518,A476)</f>
        <v>0</v>
      </c>
      <c r="K476" s="5">
        <f>J476/SUM(Question_Bank!$M$3:$M$14)</f>
        <v>0</v>
      </c>
      <c r="L476" s="5">
        <f>SUMIFS($I$3:$I$518,$A$3:$A$518,A476,$E$3:$E$518,E476)/SUMIFS(Question_Bank!$M$3:$M$14,Question_Bank!$B$3:$B$14,E476)</f>
        <v>0</v>
      </c>
      <c r="M476" t="s">
        <v>342</v>
      </c>
    </row>
    <row r="477" spans="1:13">
      <c r="A477" t="s">
        <v>341</v>
      </c>
      <c r="B477" t="s">
        <v>263</v>
      </c>
      <c r="C477" t="s">
        <v>227</v>
      </c>
      <c r="D477" t="s">
        <v>70</v>
      </c>
      <c r="E477" t="s">
        <v>71</v>
      </c>
      <c r="F477" t="s">
        <v>20</v>
      </c>
      <c r="G477">
        <f>INDEX(Question_Bank!$J$3:$J$14,MATCH(D477,Question_Bank!$A$3:$A$14,0))</f>
        <v>0</v>
      </c>
      <c r="H477">
        <f>IF(F477=G477,1,0)</f>
        <v>0</v>
      </c>
      <c r="I477">
        <f>H477*INDEX(Question_Bank!$M$3:$M$14,MATCH(D477,Question_Bank!$A$3:$A$14,0))</f>
        <v>0</v>
      </c>
      <c r="J477">
        <f>SUMIFS($I$3:$I$518,$A$3:$A$518,A477)</f>
        <v>0</v>
      </c>
      <c r="K477" s="5">
        <f>J477/SUM(Question_Bank!$M$3:$M$14)</f>
        <v>0</v>
      </c>
      <c r="L477" s="5">
        <f>SUMIFS($I$3:$I$518,$A$3:$A$518,A477,$E$3:$E$518,E477)/SUMIFS(Question_Bank!$M$3:$M$14,Question_Bank!$B$3:$B$14,E477)</f>
        <v>0</v>
      </c>
      <c r="M477" t="s">
        <v>342</v>
      </c>
    </row>
    <row r="478" spans="1:13">
      <c r="A478" t="s">
        <v>341</v>
      </c>
      <c r="B478" t="s">
        <v>263</v>
      </c>
      <c r="C478" t="s">
        <v>227</v>
      </c>
      <c r="D478" t="s">
        <v>79</v>
      </c>
      <c r="E478" t="s">
        <v>71</v>
      </c>
      <c r="F478" t="s">
        <v>31</v>
      </c>
      <c r="G478">
        <f>INDEX(Question_Bank!$J$3:$J$14,MATCH(D478,Question_Bank!$A$3:$A$14,0))</f>
        <v>0</v>
      </c>
      <c r="H478">
        <f>IF(F478=G478,1,0)</f>
        <v>0</v>
      </c>
      <c r="I478">
        <f>H478*INDEX(Question_Bank!$M$3:$M$14,MATCH(D478,Question_Bank!$A$3:$A$14,0))</f>
        <v>0</v>
      </c>
      <c r="J478">
        <f>SUMIFS($I$3:$I$518,$A$3:$A$518,A478)</f>
        <v>0</v>
      </c>
      <c r="K478" s="5">
        <f>J478/SUM(Question_Bank!$M$3:$M$14)</f>
        <v>0</v>
      </c>
      <c r="L478" s="5">
        <f>SUMIFS($I$3:$I$518,$A$3:$A$518,A478,$E$3:$E$518,E478)/SUMIFS(Question_Bank!$M$3:$M$14,Question_Bank!$B$3:$B$14,E478)</f>
        <v>0</v>
      </c>
      <c r="M478" t="s">
        <v>342</v>
      </c>
    </row>
    <row r="479" spans="1:13">
      <c r="A479" t="s">
        <v>341</v>
      </c>
      <c r="B479" t="s">
        <v>263</v>
      </c>
      <c r="C479" t="s">
        <v>227</v>
      </c>
      <c r="D479" t="s">
        <v>87</v>
      </c>
      <c r="E479" t="s">
        <v>71</v>
      </c>
      <c r="F479" t="s">
        <v>23</v>
      </c>
      <c r="G479">
        <f>INDEX(Question_Bank!$J$3:$J$14,MATCH(D479,Question_Bank!$A$3:$A$14,0))</f>
        <v>0</v>
      </c>
      <c r="H479">
        <f>IF(F479=G479,1,0)</f>
        <v>0</v>
      </c>
      <c r="I479">
        <f>H479*INDEX(Question_Bank!$M$3:$M$14,MATCH(D479,Question_Bank!$A$3:$A$14,0))</f>
        <v>0</v>
      </c>
      <c r="J479">
        <f>SUMIFS($I$3:$I$518,$A$3:$A$518,A479)</f>
        <v>0</v>
      </c>
      <c r="K479" s="5">
        <f>J479/SUM(Question_Bank!$M$3:$M$14)</f>
        <v>0</v>
      </c>
      <c r="L479" s="5">
        <f>SUMIFS($I$3:$I$518,$A$3:$A$518,A479,$E$3:$E$518,E479)/SUMIFS(Question_Bank!$M$3:$M$14,Question_Bank!$B$3:$B$14,E479)</f>
        <v>0</v>
      </c>
      <c r="M479" t="s">
        <v>342</v>
      </c>
    </row>
    <row r="480" spans="1:13">
      <c r="A480" t="s">
        <v>341</v>
      </c>
      <c r="B480" t="s">
        <v>263</v>
      </c>
      <c r="C480" t="s">
        <v>227</v>
      </c>
      <c r="D480" t="s">
        <v>95</v>
      </c>
      <c r="E480" t="s">
        <v>96</v>
      </c>
      <c r="F480" t="s">
        <v>34</v>
      </c>
      <c r="G480">
        <f>INDEX(Question_Bank!$J$3:$J$14,MATCH(D480,Question_Bank!$A$3:$A$14,0))</f>
        <v>0</v>
      </c>
      <c r="H480">
        <f>IF(F480=G480,1,0)</f>
        <v>0</v>
      </c>
      <c r="I480">
        <f>H480*INDEX(Question_Bank!$M$3:$M$14,MATCH(D480,Question_Bank!$A$3:$A$14,0))</f>
        <v>0</v>
      </c>
      <c r="J480">
        <f>SUMIFS($I$3:$I$518,$A$3:$A$518,A480)</f>
        <v>0</v>
      </c>
      <c r="K480" s="5">
        <f>J480/SUM(Question_Bank!$M$3:$M$14)</f>
        <v>0</v>
      </c>
      <c r="L480" s="5">
        <f>SUMIFS($I$3:$I$518,$A$3:$A$518,A480,$E$3:$E$518,E480)/SUMIFS(Question_Bank!$M$3:$M$14,Question_Bank!$B$3:$B$14,E480)</f>
        <v>0</v>
      </c>
      <c r="M480" t="s">
        <v>342</v>
      </c>
    </row>
    <row r="481" spans="1:13">
      <c r="A481" t="s">
        <v>341</v>
      </c>
      <c r="B481" t="s">
        <v>263</v>
      </c>
      <c r="C481" t="s">
        <v>227</v>
      </c>
      <c r="D481" t="s">
        <v>104</v>
      </c>
      <c r="E481" t="s">
        <v>96</v>
      </c>
      <c r="F481" t="s">
        <v>20</v>
      </c>
      <c r="G481">
        <f>INDEX(Question_Bank!$J$3:$J$14,MATCH(D481,Question_Bank!$A$3:$A$14,0))</f>
        <v>0</v>
      </c>
      <c r="H481">
        <f>IF(F481=G481,1,0)</f>
        <v>0</v>
      </c>
      <c r="I481">
        <f>H481*INDEX(Question_Bank!$M$3:$M$14,MATCH(D481,Question_Bank!$A$3:$A$14,0))</f>
        <v>0</v>
      </c>
      <c r="J481">
        <f>SUMIFS($I$3:$I$518,$A$3:$A$518,A481)</f>
        <v>0</v>
      </c>
      <c r="K481" s="5">
        <f>J481/SUM(Question_Bank!$M$3:$M$14)</f>
        <v>0</v>
      </c>
      <c r="L481" s="5">
        <f>SUMIFS($I$3:$I$518,$A$3:$A$518,A481,$E$3:$E$518,E481)/SUMIFS(Question_Bank!$M$3:$M$14,Question_Bank!$B$3:$B$14,E481)</f>
        <v>0</v>
      </c>
      <c r="M481" t="s">
        <v>342</v>
      </c>
    </row>
    <row r="482" spans="1:13">
      <c r="A482" t="s">
        <v>341</v>
      </c>
      <c r="B482" t="s">
        <v>263</v>
      </c>
      <c r="C482" t="s">
        <v>227</v>
      </c>
      <c r="D482" t="s">
        <v>112</v>
      </c>
      <c r="E482" t="s">
        <v>96</v>
      </c>
      <c r="F482" t="s">
        <v>31</v>
      </c>
      <c r="G482">
        <f>INDEX(Question_Bank!$J$3:$J$14,MATCH(D482,Question_Bank!$A$3:$A$14,0))</f>
        <v>0</v>
      </c>
      <c r="H482">
        <f>IF(F482=G482,1,0)</f>
        <v>0</v>
      </c>
      <c r="I482">
        <f>H482*INDEX(Question_Bank!$M$3:$M$14,MATCH(D482,Question_Bank!$A$3:$A$14,0))</f>
        <v>0</v>
      </c>
      <c r="J482">
        <f>SUMIFS($I$3:$I$518,$A$3:$A$518,A482)</f>
        <v>0</v>
      </c>
      <c r="K482" s="5">
        <f>J482/SUM(Question_Bank!$M$3:$M$14)</f>
        <v>0</v>
      </c>
      <c r="L482" s="5">
        <f>SUMIFS($I$3:$I$518,$A$3:$A$518,A482,$E$3:$E$518,E482)/SUMIFS(Question_Bank!$M$3:$M$14,Question_Bank!$B$3:$B$14,E482)</f>
        <v>0</v>
      </c>
      <c r="M482" t="s">
        <v>342</v>
      </c>
    </row>
    <row r="483" spans="1:13">
      <c r="A483" t="s">
        <v>343</v>
      </c>
      <c r="B483" t="s">
        <v>263</v>
      </c>
      <c r="C483" t="s">
        <v>227</v>
      </c>
      <c r="D483" t="s">
        <v>14</v>
      </c>
      <c r="E483" t="s">
        <v>15</v>
      </c>
      <c r="F483" t="s">
        <v>23</v>
      </c>
      <c r="G483">
        <f>INDEX(Question_Bank!$J$3:$J$14,MATCH(D483,Question_Bank!$A$3:$A$14,0))</f>
        <v>0</v>
      </c>
      <c r="H483">
        <f>IF(F483=G483,1,0)</f>
        <v>0</v>
      </c>
      <c r="I483">
        <f>H483*INDEX(Question_Bank!$M$3:$M$14,MATCH(D483,Question_Bank!$A$3:$A$14,0))</f>
        <v>0</v>
      </c>
      <c r="J483">
        <f>SUMIFS($I$3:$I$518,$A$3:$A$518,A483)</f>
        <v>0</v>
      </c>
      <c r="K483" s="5">
        <f>J483/SUM(Question_Bank!$M$3:$M$14)</f>
        <v>0</v>
      </c>
      <c r="L483" s="5">
        <f>SUMIFS($I$3:$I$518,$A$3:$A$518,A483,$E$3:$E$518,E483)/SUMIFS(Question_Bank!$M$3:$M$14,Question_Bank!$B$3:$B$14,E483)</f>
        <v>0</v>
      </c>
      <c r="M483" t="s">
        <v>344</v>
      </c>
    </row>
    <row r="484" spans="1:13">
      <c r="A484" t="s">
        <v>343</v>
      </c>
      <c r="B484" t="s">
        <v>263</v>
      </c>
      <c r="C484" t="s">
        <v>227</v>
      </c>
      <c r="D484" t="s">
        <v>26</v>
      </c>
      <c r="E484" t="s">
        <v>15</v>
      </c>
      <c r="F484" t="s">
        <v>34</v>
      </c>
      <c r="G484">
        <f>INDEX(Question_Bank!$J$3:$J$14,MATCH(D484,Question_Bank!$A$3:$A$14,0))</f>
        <v>0</v>
      </c>
      <c r="H484">
        <f>IF(F484=G484,1,0)</f>
        <v>0</v>
      </c>
      <c r="I484">
        <f>H484*INDEX(Question_Bank!$M$3:$M$14,MATCH(D484,Question_Bank!$A$3:$A$14,0))</f>
        <v>0</v>
      </c>
      <c r="J484">
        <f>SUMIFS($I$3:$I$518,$A$3:$A$518,A484)</f>
        <v>0</v>
      </c>
      <c r="K484" s="5">
        <f>J484/SUM(Question_Bank!$M$3:$M$14)</f>
        <v>0</v>
      </c>
      <c r="L484" s="5">
        <f>SUMIFS($I$3:$I$518,$A$3:$A$518,A484,$E$3:$E$518,E484)/SUMIFS(Question_Bank!$M$3:$M$14,Question_Bank!$B$3:$B$14,E484)</f>
        <v>0</v>
      </c>
      <c r="M484" t="s">
        <v>344</v>
      </c>
    </row>
    <row r="485" spans="1:13">
      <c r="A485" t="s">
        <v>343</v>
      </c>
      <c r="B485" t="s">
        <v>263</v>
      </c>
      <c r="C485" t="s">
        <v>227</v>
      </c>
      <c r="D485" t="s">
        <v>37</v>
      </c>
      <c r="E485" t="s">
        <v>15</v>
      </c>
      <c r="F485" t="s">
        <v>20</v>
      </c>
      <c r="G485">
        <f>INDEX(Question_Bank!$J$3:$J$14,MATCH(D485,Question_Bank!$A$3:$A$14,0))</f>
        <v>0</v>
      </c>
      <c r="H485">
        <f>IF(F485=G485,1,0)</f>
        <v>0</v>
      </c>
      <c r="I485">
        <f>H485*INDEX(Question_Bank!$M$3:$M$14,MATCH(D485,Question_Bank!$A$3:$A$14,0))</f>
        <v>0</v>
      </c>
      <c r="J485">
        <f>SUMIFS($I$3:$I$518,$A$3:$A$518,A485)</f>
        <v>0</v>
      </c>
      <c r="K485" s="5">
        <f>J485/SUM(Question_Bank!$M$3:$M$14)</f>
        <v>0</v>
      </c>
      <c r="L485" s="5">
        <f>SUMIFS($I$3:$I$518,$A$3:$A$518,A485,$E$3:$E$518,E485)/SUMIFS(Question_Bank!$M$3:$M$14,Question_Bank!$B$3:$B$14,E485)</f>
        <v>0</v>
      </c>
      <c r="M485" t="s">
        <v>344</v>
      </c>
    </row>
    <row r="486" spans="1:13">
      <c r="A486" t="s">
        <v>343</v>
      </c>
      <c r="B486" t="s">
        <v>263</v>
      </c>
      <c r="C486" t="s">
        <v>227</v>
      </c>
      <c r="D486" t="s">
        <v>45</v>
      </c>
      <c r="E486" t="s">
        <v>46</v>
      </c>
      <c r="F486" t="s">
        <v>31</v>
      </c>
      <c r="G486">
        <f>INDEX(Question_Bank!$J$3:$J$14,MATCH(D486,Question_Bank!$A$3:$A$14,0))</f>
        <v>0</v>
      </c>
      <c r="H486">
        <f>IF(F486=G486,1,0)</f>
        <v>0</v>
      </c>
      <c r="I486">
        <f>H486*INDEX(Question_Bank!$M$3:$M$14,MATCH(D486,Question_Bank!$A$3:$A$14,0))</f>
        <v>0</v>
      </c>
      <c r="J486">
        <f>SUMIFS($I$3:$I$518,$A$3:$A$518,A486)</f>
        <v>0</v>
      </c>
      <c r="K486" s="5">
        <f>J486/SUM(Question_Bank!$M$3:$M$14)</f>
        <v>0</v>
      </c>
      <c r="L486" s="5">
        <f>SUMIFS($I$3:$I$518,$A$3:$A$518,A486,$E$3:$E$518,E486)/SUMIFS(Question_Bank!$M$3:$M$14,Question_Bank!$B$3:$B$14,E486)</f>
        <v>0</v>
      </c>
      <c r="M486" t="s">
        <v>344</v>
      </c>
    </row>
    <row r="487" spans="1:13">
      <c r="A487" t="s">
        <v>343</v>
      </c>
      <c r="B487" t="s">
        <v>263</v>
      </c>
      <c r="C487" t="s">
        <v>227</v>
      </c>
      <c r="D487" t="s">
        <v>54</v>
      </c>
      <c r="E487" t="s">
        <v>46</v>
      </c>
      <c r="F487" t="s">
        <v>31</v>
      </c>
      <c r="G487">
        <f>INDEX(Question_Bank!$J$3:$J$14,MATCH(D487,Question_Bank!$A$3:$A$14,0))</f>
        <v>0</v>
      </c>
      <c r="H487">
        <f>IF(F487=G487,1,0)</f>
        <v>0</v>
      </c>
      <c r="I487">
        <f>H487*INDEX(Question_Bank!$M$3:$M$14,MATCH(D487,Question_Bank!$A$3:$A$14,0))</f>
        <v>0</v>
      </c>
      <c r="J487">
        <f>SUMIFS($I$3:$I$518,$A$3:$A$518,A487)</f>
        <v>0</v>
      </c>
      <c r="K487" s="5">
        <f>J487/SUM(Question_Bank!$M$3:$M$14)</f>
        <v>0</v>
      </c>
      <c r="L487" s="5">
        <f>SUMIFS($I$3:$I$518,$A$3:$A$518,A487,$E$3:$E$518,E487)/SUMIFS(Question_Bank!$M$3:$M$14,Question_Bank!$B$3:$B$14,E487)</f>
        <v>0</v>
      </c>
      <c r="M487" t="s">
        <v>344</v>
      </c>
    </row>
    <row r="488" spans="1:13">
      <c r="A488" t="s">
        <v>343</v>
      </c>
      <c r="B488" t="s">
        <v>263</v>
      </c>
      <c r="C488" t="s">
        <v>227</v>
      </c>
      <c r="D488" t="s">
        <v>62</v>
      </c>
      <c r="E488" t="s">
        <v>46</v>
      </c>
      <c r="F488" t="s">
        <v>34</v>
      </c>
      <c r="G488">
        <f>INDEX(Question_Bank!$J$3:$J$14,MATCH(D488,Question_Bank!$A$3:$A$14,0))</f>
        <v>0</v>
      </c>
      <c r="H488">
        <f>IF(F488=G488,1,0)</f>
        <v>0</v>
      </c>
      <c r="I488">
        <f>H488*INDEX(Question_Bank!$M$3:$M$14,MATCH(D488,Question_Bank!$A$3:$A$14,0))</f>
        <v>0</v>
      </c>
      <c r="J488">
        <f>SUMIFS($I$3:$I$518,$A$3:$A$518,A488)</f>
        <v>0</v>
      </c>
      <c r="K488" s="5">
        <f>J488/SUM(Question_Bank!$M$3:$M$14)</f>
        <v>0</v>
      </c>
      <c r="L488" s="5">
        <f>SUMIFS($I$3:$I$518,$A$3:$A$518,A488,$E$3:$E$518,E488)/SUMIFS(Question_Bank!$M$3:$M$14,Question_Bank!$B$3:$B$14,E488)</f>
        <v>0</v>
      </c>
      <c r="M488" t="s">
        <v>344</v>
      </c>
    </row>
    <row r="489" spans="1:13">
      <c r="A489" t="s">
        <v>343</v>
      </c>
      <c r="B489" t="s">
        <v>263</v>
      </c>
      <c r="C489" t="s">
        <v>227</v>
      </c>
      <c r="D489" t="s">
        <v>70</v>
      </c>
      <c r="E489" t="s">
        <v>71</v>
      </c>
      <c r="F489" t="s">
        <v>20</v>
      </c>
      <c r="G489">
        <f>INDEX(Question_Bank!$J$3:$J$14,MATCH(D489,Question_Bank!$A$3:$A$14,0))</f>
        <v>0</v>
      </c>
      <c r="H489">
        <f>IF(F489=G489,1,0)</f>
        <v>0</v>
      </c>
      <c r="I489">
        <f>H489*INDEX(Question_Bank!$M$3:$M$14,MATCH(D489,Question_Bank!$A$3:$A$14,0))</f>
        <v>0</v>
      </c>
      <c r="J489">
        <f>SUMIFS($I$3:$I$518,$A$3:$A$518,A489)</f>
        <v>0</v>
      </c>
      <c r="K489" s="5">
        <f>J489/SUM(Question_Bank!$M$3:$M$14)</f>
        <v>0</v>
      </c>
      <c r="L489" s="5">
        <f>SUMIFS($I$3:$I$518,$A$3:$A$518,A489,$E$3:$E$518,E489)/SUMIFS(Question_Bank!$M$3:$M$14,Question_Bank!$B$3:$B$14,E489)</f>
        <v>0</v>
      </c>
      <c r="M489" t="s">
        <v>344</v>
      </c>
    </row>
    <row r="490" spans="1:13">
      <c r="A490" t="s">
        <v>343</v>
      </c>
      <c r="B490" t="s">
        <v>263</v>
      </c>
      <c r="C490" t="s">
        <v>227</v>
      </c>
      <c r="D490" t="s">
        <v>79</v>
      </c>
      <c r="E490" t="s">
        <v>71</v>
      </c>
      <c r="F490" t="s">
        <v>31</v>
      </c>
      <c r="G490">
        <f>INDEX(Question_Bank!$J$3:$J$14,MATCH(D490,Question_Bank!$A$3:$A$14,0))</f>
        <v>0</v>
      </c>
      <c r="H490">
        <f>IF(F490=G490,1,0)</f>
        <v>0</v>
      </c>
      <c r="I490">
        <f>H490*INDEX(Question_Bank!$M$3:$M$14,MATCH(D490,Question_Bank!$A$3:$A$14,0))</f>
        <v>0</v>
      </c>
      <c r="J490">
        <f>SUMIFS($I$3:$I$518,$A$3:$A$518,A490)</f>
        <v>0</v>
      </c>
      <c r="K490" s="5">
        <f>J490/SUM(Question_Bank!$M$3:$M$14)</f>
        <v>0</v>
      </c>
      <c r="L490" s="5">
        <f>SUMIFS($I$3:$I$518,$A$3:$A$518,A490,$E$3:$E$518,E490)/SUMIFS(Question_Bank!$M$3:$M$14,Question_Bank!$B$3:$B$14,E490)</f>
        <v>0</v>
      </c>
      <c r="M490" t="s">
        <v>344</v>
      </c>
    </row>
    <row r="491" spans="1:13">
      <c r="A491" t="s">
        <v>343</v>
      </c>
      <c r="B491" t="s">
        <v>263</v>
      </c>
      <c r="C491" t="s">
        <v>227</v>
      </c>
      <c r="D491" t="s">
        <v>87</v>
      </c>
      <c r="E491" t="s">
        <v>71</v>
      </c>
      <c r="F491" t="s">
        <v>23</v>
      </c>
      <c r="G491">
        <f>INDEX(Question_Bank!$J$3:$J$14,MATCH(D491,Question_Bank!$A$3:$A$14,0))</f>
        <v>0</v>
      </c>
      <c r="H491">
        <f>IF(F491=G491,1,0)</f>
        <v>0</v>
      </c>
      <c r="I491">
        <f>H491*INDEX(Question_Bank!$M$3:$M$14,MATCH(D491,Question_Bank!$A$3:$A$14,0))</f>
        <v>0</v>
      </c>
      <c r="J491">
        <f>SUMIFS($I$3:$I$518,$A$3:$A$518,A491)</f>
        <v>0</v>
      </c>
      <c r="K491" s="5">
        <f>J491/SUM(Question_Bank!$M$3:$M$14)</f>
        <v>0</v>
      </c>
      <c r="L491" s="5">
        <f>SUMIFS($I$3:$I$518,$A$3:$A$518,A491,$E$3:$E$518,E491)/SUMIFS(Question_Bank!$M$3:$M$14,Question_Bank!$B$3:$B$14,E491)</f>
        <v>0</v>
      </c>
      <c r="M491" t="s">
        <v>344</v>
      </c>
    </row>
    <row r="492" spans="1:13">
      <c r="A492" t="s">
        <v>343</v>
      </c>
      <c r="B492" t="s">
        <v>263</v>
      </c>
      <c r="C492" t="s">
        <v>227</v>
      </c>
      <c r="D492" t="s">
        <v>95</v>
      </c>
      <c r="E492" t="s">
        <v>96</v>
      </c>
      <c r="F492" t="s">
        <v>34</v>
      </c>
      <c r="G492">
        <f>INDEX(Question_Bank!$J$3:$J$14,MATCH(D492,Question_Bank!$A$3:$A$14,0))</f>
        <v>0</v>
      </c>
      <c r="H492">
        <f>IF(F492=G492,1,0)</f>
        <v>0</v>
      </c>
      <c r="I492">
        <f>H492*INDEX(Question_Bank!$M$3:$M$14,MATCH(D492,Question_Bank!$A$3:$A$14,0))</f>
        <v>0</v>
      </c>
      <c r="J492">
        <f>SUMIFS($I$3:$I$518,$A$3:$A$518,A492)</f>
        <v>0</v>
      </c>
      <c r="K492" s="5">
        <f>J492/SUM(Question_Bank!$M$3:$M$14)</f>
        <v>0</v>
      </c>
      <c r="L492" s="5">
        <f>SUMIFS($I$3:$I$518,$A$3:$A$518,A492,$E$3:$E$518,E492)/SUMIFS(Question_Bank!$M$3:$M$14,Question_Bank!$B$3:$B$14,E492)</f>
        <v>0</v>
      </c>
      <c r="M492" t="s">
        <v>344</v>
      </c>
    </row>
    <row r="493" spans="1:13">
      <c r="A493" t="s">
        <v>343</v>
      </c>
      <c r="B493" t="s">
        <v>263</v>
      </c>
      <c r="C493" t="s">
        <v>227</v>
      </c>
      <c r="D493" t="s">
        <v>104</v>
      </c>
      <c r="E493" t="s">
        <v>96</v>
      </c>
      <c r="F493" t="s">
        <v>20</v>
      </c>
      <c r="G493">
        <f>INDEX(Question_Bank!$J$3:$J$14,MATCH(D493,Question_Bank!$A$3:$A$14,0))</f>
        <v>0</v>
      </c>
      <c r="H493">
        <f>IF(F493=G493,1,0)</f>
        <v>0</v>
      </c>
      <c r="I493">
        <f>H493*INDEX(Question_Bank!$M$3:$M$14,MATCH(D493,Question_Bank!$A$3:$A$14,0))</f>
        <v>0</v>
      </c>
      <c r="J493">
        <f>SUMIFS($I$3:$I$518,$A$3:$A$518,A493)</f>
        <v>0</v>
      </c>
      <c r="K493" s="5">
        <f>J493/SUM(Question_Bank!$M$3:$M$14)</f>
        <v>0</v>
      </c>
      <c r="L493" s="5">
        <f>SUMIFS($I$3:$I$518,$A$3:$A$518,A493,$E$3:$E$518,E493)/SUMIFS(Question_Bank!$M$3:$M$14,Question_Bank!$B$3:$B$14,E493)</f>
        <v>0</v>
      </c>
      <c r="M493" t="s">
        <v>344</v>
      </c>
    </row>
    <row r="494" spans="1:13">
      <c r="A494" t="s">
        <v>343</v>
      </c>
      <c r="B494" t="s">
        <v>263</v>
      </c>
      <c r="C494" t="s">
        <v>227</v>
      </c>
      <c r="D494" t="s">
        <v>112</v>
      </c>
      <c r="E494" t="s">
        <v>96</v>
      </c>
      <c r="F494" t="s">
        <v>31</v>
      </c>
      <c r="G494">
        <f>INDEX(Question_Bank!$J$3:$J$14,MATCH(D494,Question_Bank!$A$3:$A$14,0))</f>
        <v>0</v>
      </c>
      <c r="H494">
        <f>IF(F494=G494,1,0)</f>
        <v>0</v>
      </c>
      <c r="I494">
        <f>H494*INDEX(Question_Bank!$M$3:$M$14,MATCH(D494,Question_Bank!$A$3:$A$14,0))</f>
        <v>0</v>
      </c>
      <c r="J494">
        <f>SUMIFS($I$3:$I$518,$A$3:$A$518,A494)</f>
        <v>0</v>
      </c>
      <c r="K494" s="5">
        <f>J494/SUM(Question_Bank!$M$3:$M$14)</f>
        <v>0</v>
      </c>
      <c r="L494" s="5">
        <f>SUMIFS($I$3:$I$518,$A$3:$A$518,A494,$E$3:$E$518,E494)/SUMIFS(Question_Bank!$M$3:$M$14,Question_Bank!$B$3:$B$14,E494)</f>
        <v>0</v>
      </c>
      <c r="M494" t="s">
        <v>344</v>
      </c>
    </row>
    <row r="495" spans="1:13">
      <c r="A495" t="s">
        <v>345</v>
      </c>
      <c r="B495" t="s">
        <v>263</v>
      </c>
      <c r="C495" t="s">
        <v>227</v>
      </c>
      <c r="D495" t="s">
        <v>14</v>
      </c>
      <c r="E495" t="s">
        <v>15</v>
      </c>
      <c r="F495" t="s">
        <v>23</v>
      </c>
      <c r="G495">
        <f>INDEX(Question_Bank!$J$3:$J$14,MATCH(D495,Question_Bank!$A$3:$A$14,0))</f>
        <v>0</v>
      </c>
      <c r="H495">
        <f>IF(F495=G495,1,0)</f>
        <v>0</v>
      </c>
      <c r="I495">
        <f>H495*INDEX(Question_Bank!$M$3:$M$14,MATCH(D495,Question_Bank!$A$3:$A$14,0))</f>
        <v>0</v>
      </c>
      <c r="J495">
        <f>SUMIFS($I$3:$I$518,$A$3:$A$518,A495)</f>
        <v>0</v>
      </c>
      <c r="K495" s="5">
        <f>J495/SUM(Question_Bank!$M$3:$M$14)</f>
        <v>0</v>
      </c>
      <c r="L495" s="5">
        <f>SUMIFS($I$3:$I$518,$A$3:$A$518,A495,$E$3:$E$518,E495)/SUMIFS(Question_Bank!$M$3:$M$14,Question_Bank!$B$3:$B$14,E495)</f>
        <v>0</v>
      </c>
      <c r="M495" t="s">
        <v>346</v>
      </c>
    </row>
    <row r="496" spans="1:13">
      <c r="A496" t="s">
        <v>345</v>
      </c>
      <c r="B496" t="s">
        <v>263</v>
      </c>
      <c r="C496" t="s">
        <v>227</v>
      </c>
      <c r="D496" t="s">
        <v>26</v>
      </c>
      <c r="E496" t="s">
        <v>15</v>
      </c>
      <c r="F496" t="s">
        <v>34</v>
      </c>
      <c r="G496">
        <f>INDEX(Question_Bank!$J$3:$J$14,MATCH(D496,Question_Bank!$A$3:$A$14,0))</f>
        <v>0</v>
      </c>
      <c r="H496">
        <f>IF(F496=G496,1,0)</f>
        <v>0</v>
      </c>
      <c r="I496">
        <f>H496*INDEX(Question_Bank!$M$3:$M$14,MATCH(D496,Question_Bank!$A$3:$A$14,0))</f>
        <v>0</v>
      </c>
      <c r="J496">
        <f>SUMIFS($I$3:$I$518,$A$3:$A$518,A496)</f>
        <v>0</v>
      </c>
      <c r="K496" s="5">
        <f>J496/SUM(Question_Bank!$M$3:$M$14)</f>
        <v>0</v>
      </c>
      <c r="L496" s="5">
        <f>SUMIFS($I$3:$I$518,$A$3:$A$518,A496,$E$3:$E$518,E496)/SUMIFS(Question_Bank!$M$3:$M$14,Question_Bank!$B$3:$B$14,E496)</f>
        <v>0</v>
      </c>
      <c r="M496" t="s">
        <v>346</v>
      </c>
    </row>
    <row r="497" spans="1:13">
      <c r="A497" t="s">
        <v>345</v>
      </c>
      <c r="B497" t="s">
        <v>263</v>
      </c>
      <c r="C497" t="s">
        <v>227</v>
      </c>
      <c r="D497" t="s">
        <v>37</v>
      </c>
      <c r="E497" t="s">
        <v>15</v>
      </c>
      <c r="F497" t="s">
        <v>20</v>
      </c>
      <c r="G497">
        <f>INDEX(Question_Bank!$J$3:$J$14,MATCH(D497,Question_Bank!$A$3:$A$14,0))</f>
        <v>0</v>
      </c>
      <c r="H497">
        <f>IF(F497=G497,1,0)</f>
        <v>0</v>
      </c>
      <c r="I497">
        <f>H497*INDEX(Question_Bank!$M$3:$M$14,MATCH(D497,Question_Bank!$A$3:$A$14,0))</f>
        <v>0</v>
      </c>
      <c r="J497">
        <f>SUMIFS($I$3:$I$518,$A$3:$A$518,A497)</f>
        <v>0</v>
      </c>
      <c r="K497" s="5">
        <f>J497/SUM(Question_Bank!$M$3:$M$14)</f>
        <v>0</v>
      </c>
      <c r="L497" s="5">
        <f>SUMIFS($I$3:$I$518,$A$3:$A$518,A497,$E$3:$E$518,E497)/SUMIFS(Question_Bank!$M$3:$M$14,Question_Bank!$B$3:$B$14,E497)</f>
        <v>0</v>
      </c>
      <c r="M497" t="s">
        <v>346</v>
      </c>
    </row>
    <row r="498" spans="1:13">
      <c r="A498" t="s">
        <v>345</v>
      </c>
      <c r="B498" t="s">
        <v>263</v>
      </c>
      <c r="C498" t="s">
        <v>227</v>
      </c>
      <c r="D498" t="s">
        <v>45</v>
      </c>
      <c r="E498" t="s">
        <v>46</v>
      </c>
      <c r="F498" t="s">
        <v>31</v>
      </c>
      <c r="G498">
        <f>INDEX(Question_Bank!$J$3:$J$14,MATCH(D498,Question_Bank!$A$3:$A$14,0))</f>
        <v>0</v>
      </c>
      <c r="H498">
        <f>IF(F498=G498,1,0)</f>
        <v>0</v>
      </c>
      <c r="I498">
        <f>H498*INDEX(Question_Bank!$M$3:$M$14,MATCH(D498,Question_Bank!$A$3:$A$14,0))</f>
        <v>0</v>
      </c>
      <c r="J498">
        <f>SUMIFS($I$3:$I$518,$A$3:$A$518,A498)</f>
        <v>0</v>
      </c>
      <c r="K498" s="5">
        <f>J498/SUM(Question_Bank!$M$3:$M$14)</f>
        <v>0</v>
      </c>
      <c r="L498" s="5">
        <f>SUMIFS($I$3:$I$518,$A$3:$A$518,A498,$E$3:$E$518,E498)/SUMIFS(Question_Bank!$M$3:$M$14,Question_Bank!$B$3:$B$14,E498)</f>
        <v>0</v>
      </c>
      <c r="M498" t="s">
        <v>346</v>
      </c>
    </row>
    <row r="499" spans="1:13">
      <c r="A499" t="s">
        <v>345</v>
      </c>
      <c r="B499" t="s">
        <v>263</v>
      </c>
      <c r="C499" t="s">
        <v>227</v>
      </c>
      <c r="D499" t="s">
        <v>54</v>
      </c>
      <c r="E499" t="s">
        <v>46</v>
      </c>
      <c r="F499" t="s">
        <v>23</v>
      </c>
      <c r="G499">
        <f>INDEX(Question_Bank!$J$3:$J$14,MATCH(D499,Question_Bank!$A$3:$A$14,0))</f>
        <v>0</v>
      </c>
      <c r="H499">
        <f>IF(F499=G499,1,0)</f>
        <v>0</v>
      </c>
      <c r="I499">
        <f>H499*INDEX(Question_Bank!$M$3:$M$14,MATCH(D499,Question_Bank!$A$3:$A$14,0))</f>
        <v>0</v>
      </c>
      <c r="J499">
        <f>SUMIFS($I$3:$I$518,$A$3:$A$518,A499)</f>
        <v>0</v>
      </c>
      <c r="K499" s="5">
        <f>J499/SUM(Question_Bank!$M$3:$M$14)</f>
        <v>0</v>
      </c>
      <c r="L499" s="5">
        <f>SUMIFS($I$3:$I$518,$A$3:$A$518,A499,$E$3:$E$518,E499)/SUMIFS(Question_Bank!$M$3:$M$14,Question_Bank!$B$3:$B$14,E499)</f>
        <v>0</v>
      </c>
      <c r="M499" t="s">
        <v>346</v>
      </c>
    </row>
    <row r="500" spans="1:13">
      <c r="A500" t="s">
        <v>345</v>
      </c>
      <c r="B500" t="s">
        <v>263</v>
      </c>
      <c r="C500" t="s">
        <v>227</v>
      </c>
      <c r="D500" t="s">
        <v>62</v>
      </c>
      <c r="E500" t="s">
        <v>46</v>
      </c>
      <c r="F500" t="s">
        <v>34</v>
      </c>
      <c r="G500">
        <f>INDEX(Question_Bank!$J$3:$J$14,MATCH(D500,Question_Bank!$A$3:$A$14,0))</f>
        <v>0</v>
      </c>
      <c r="H500">
        <f>IF(F500=G500,1,0)</f>
        <v>0</v>
      </c>
      <c r="I500">
        <f>H500*INDEX(Question_Bank!$M$3:$M$14,MATCH(D500,Question_Bank!$A$3:$A$14,0))</f>
        <v>0</v>
      </c>
      <c r="J500">
        <f>SUMIFS($I$3:$I$518,$A$3:$A$518,A500)</f>
        <v>0</v>
      </c>
      <c r="K500" s="5">
        <f>J500/SUM(Question_Bank!$M$3:$M$14)</f>
        <v>0</v>
      </c>
      <c r="L500" s="5">
        <f>SUMIFS($I$3:$I$518,$A$3:$A$518,A500,$E$3:$E$518,E500)/SUMIFS(Question_Bank!$M$3:$M$14,Question_Bank!$B$3:$B$14,E500)</f>
        <v>0</v>
      </c>
      <c r="M500" t="s">
        <v>346</v>
      </c>
    </row>
    <row r="501" spans="1:13">
      <c r="A501" t="s">
        <v>345</v>
      </c>
      <c r="B501" t="s">
        <v>263</v>
      </c>
      <c r="C501" t="s">
        <v>227</v>
      </c>
      <c r="D501" t="s">
        <v>70</v>
      </c>
      <c r="E501" t="s">
        <v>71</v>
      </c>
      <c r="F501" t="s">
        <v>20</v>
      </c>
      <c r="G501">
        <f>INDEX(Question_Bank!$J$3:$J$14,MATCH(D501,Question_Bank!$A$3:$A$14,0))</f>
        <v>0</v>
      </c>
      <c r="H501">
        <f>IF(F501=G501,1,0)</f>
        <v>0</v>
      </c>
      <c r="I501">
        <f>H501*INDEX(Question_Bank!$M$3:$M$14,MATCH(D501,Question_Bank!$A$3:$A$14,0))</f>
        <v>0</v>
      </c>
      <c r="J501">
        <f>SUMIFS($I$3:$I$518,$A$3:$A$518,A501)</f>
        <v>0</v>
      </c>
      <c r="K501" s="5">
        <f>J501/SUM(Question_Bank!$M$3:$M$14)</f>
        <v>0</v>
      </c>
      <c r="L501" s="5">
        <f>SUMIFS($I$3:$I$518,$A$3:$A$518,A501,$E$3:$E$518,E501)/SUMIFS(Question_Bank!$M$3:$M$14,Question_Bank!$B$3:$B$14,E501)</f>
        <v>0</v>
      </c>
      <c r="M501" t="s">
        <v>346</v>
      </c>
    </row>
    <row r="502" spans="1:13">
      <c r="A502" t="s">
        <v>345</v>
      </c>
      <c r="B502" t="s">
        <v>263</v>
      </c>
      <c r="C502" t="s">
        <v>227</v>
      </c>
      <c r="D502" t="s">
        <v>79</v>
      </c>
      <c r="E502" t="s">
        <v>71</v>
      </c>
      <c r="F502" t="s">
        <v>31</v>
      </c>
      <c r="G502">
        <f>INDEX(Question_Bank!$J$3:$J$14,MATCH(D502,Question_Bank!$A$3:$A$14,0))</f>
        <v>0</v>
      </c>
      <c r="H502">
        <f>IF(F502=G502,1,0)</f>
        <v>0</v>
      </c>
      <c r="I502">
        <f>H502*INDEX(Question_Bank!$M$3:$M$14,MATCH(D502,Question_Bank!$A$3:$A$14,0))</f>
        <v>0</v>
      </c>
      <c r="J502">
        <f>SUMIFS($I$3:$I$518,$A$3:$A$518,A502)</f>
        <v>0</v>
      </c>
      <c r="K502" s="5">
        <f>J502/SUM(Question_Bank!$M$3:$M$14)</f>
        <v>0</v>
      </c>
      <c r="L502" s="5">
        <f>SUMIFS($I$3:$I$518,$A$3:$A$518,A502,$E$3:$E$518,E502)/SUMIFS(Question_Bank!$M$3:$M$14,Question_Bank!$B$3:$B$14,E502)</f>
        <v>0</v>
      </c>
      <c r="M502" t="s">
        <v>346</v>
      </c>
    </row>
    <row r="503" spans="1:13">
      <c r="A503" t="s">
        <v>345</v>
      </c>
      <c r="B503" t="s">
        <v>263</v>
      </c>
      <c r="C503" t="s">
        <v>227</v>
      </c>
      <c r="D503" t="s">
        <v>87</v>
      </c>
      <c r="E503" t="s">
        <v>71</v>
      </c>
      <c r="F503" t="s">
        <v>23</v>
      </c>
      <c r="G503">
        <f>INDEX(Question_Bank!$J$3:$J$14,MATCH(D503,Question_Bank!$A$3:$A$14,0))</f>
        <v>0</v>
      </c>
      <c r="H503">
        <f>IF(F503=G503,1,0)</f>
        <v>0</v>
      </c>
      <c r="I503">
        <f>H503*INDEX(Question_Bank!$M$3:$M$14,MATCH(D503,Question_Bank!$A$3:$A$14,0))</f>
        <v>0</v>
      </c>
      <c r="J503">
        <f>SUMIFS($I$3:$I$518,$A$3:$A$518,A503)</f>
        <v>0</v>
      </c>
      <c r="K503" s="5">
        <f>J503/SUM(Question_Bank!$M$3:$M$14)</f>
        <v>0</v>
      </c>
      <c r="L503" s="5">
        <f>SUMIFS($I$3:$I$518,$A$3:$A$518,A503,$E$3:$E$518,E503)/SUMIFS(Question_Bank!$M$3:$M$14,Question_Bank!$B$3:$B$14,E503)</f>
        <v>0</v>
      </c>
      <c r="M503" t="s">
        <v>346</v>
      </c>
    </row>
    <row r="504" spans="1:13">
      <c r="A504" t="s">
        <v>345</v>
      </c>
      <c r="B504" t="s">
        <v>263</v>
      </c>
      <c r="C504" t="s">
        <v>227</v>
      </c>
      <c r="D504" t="s">
        <v>95</v>
      </c>
      <c r="E504" t="s">
        <v>96</v>
      </c>
      <c r="F504" t="s">
        <v>34</v>
      </c>
      <c r="G504">
        <f>INDEX(Question_Bank!$J$3:$J$14,MATCH(D504,Question_Bank!$A$3:$A$14,0))</f>
        <v>0</v>
      </c>
      <c r="H504">
        <f>IF(F504=G504,1,0)</f>
        <v>0</v>
      </c>
      <c r="I504">
        <f>H504*INDEX(Question_Bank!$M$3:$M$14,MATCH(D504,Question_Bank!$A$3:$A$14,0))</f>
        <v>0</v>
      </c>
      <c r="J504">
        <f>SUMIFS($I$3:$I$518,$A$3:$A$518,A504)</f>
        <v>0</v>
      </c>
      <c r="K504" s="5">
        <f>J504/SUM(Question_Bank!$M$3:$M$14)</f>
        <v>0</v>
      </c>
      <c r="L504" s="5">
        <f>SUMIFS($I$3:$I$518,$A$3:$A$518,A504,$E$3:$E$518,E504)/SUMIFS(Question_Bank!$M$3:$M$14,Question_Bank!$B$3:$B$14,E504)</f>
        <v>0</v>
      </c>
      <c r="M504" t="s">
        <v>346</v>
      </c>
    </row>
    <row r="505" spans="1:13">
      <c r="A505" t="s">
        <v>345</v>
      </c>
      <c r="B505" t="s">
        <v>263</v>
      </c>
      <c r="C505" t="s">
        <v>227</v>
      </c>
      <c r="D505" t="s">
        <v>104</v>
      </c>
      <c r="E505" t="s">
        <v>96</v>
      </c>
      <c r="F505" t="s">
        <v>20</v>
      </c>
      <c r="G505">
        <f>INDEX(Question_Bank!$J$3:$J$14,MATCH(D505,Question_Bank!$A$3:$A$14,0))</f>
        <v>0</v>
      </c>
      <c r="H505">
        <f>IF(F505=G505,1,0)</f>
        <v>0</v>
      </c>
      <c r="I505">
        <f>H505*INDEX(Question_Bank!$M$3:$M$14,MATCH(D505,Question_Bank!$A$3:$A$14,0))</f>
        <v>0</v>
      </c>
      <c r="J505">
        <f>SUMIFS($I$3:$I$518,$A$3:$A$518,A505)</f>
        <v>0</v>
      </c>
      <c r="K505" s="5">
        <f>J505/SUM(Question_Bank!$M$3:$M$14)</f>
        <v>0</v>
      </c>
      <c r="L505" s="5">
        <f>SUMIFS($I$3:$I$518,$A$3:$A$518,A505,$E$3:$E$518,E505)/SUMIFS(Question_Bank!$M$3:$M$14,Question_Bank!$B$3:$B$14,E505)</f>
        <v>0</v>
      </c>
      <c r="M505" t="s">
        <v>346</v>
      </c>
    </row>
    <row r="506" spans="1:13">
      <c r="A506" t="s">
        <v>345</v>
      </c>
      <c r="B506" t="s">
        <v>263</v>
      </c>
      <c r="C506" t="s">
        <v>227</v>
      </c>
      <c r="D506" t="s">
        <v>112</v>
      </c>
      <c r="E506" t="s">
        <v>96</v>
      </c>
      <c r="F506" t="s">
        <v>31</v>
      </c>
      <c r="G506">
        <f>INDEX(Question_Bank!$J$3:$J$14,MATCH(D506,Question_Bank!$A$3:$A$14,0))</f>
        <v>0</v>
      </c>
      <c r="H506">
        <f>IF(F506=G506,1,0)</f>
        <v>0</v>
      </c>
      <c r="I506">
        <f>H506*INDEX(Question_Bank!$M$3:$M$14,MATCH(D506,Question_Bank!$A$3:$A$14,0))</f>
        <v>0</v>
      </c>
      <c r="J506">
        <f>SUMIFS($I$3:$I$518,$A$3:$A$518,A506)</f>
        <v>0</v>
      </c>
      <c r="K506" s="5">
        <f>J506/SUM(Question_Bank!$M$3:$M$14)</f>
        <v>0</v>
      </c>
      <c r="L506" s="5">
        <f>SUMIFS($I$3:$I$518,$A$3:$A$518,A506,$E$3:$E$518,E506)/SUMIFS(Question_Bank!$M$3:$M$14,Question_Bank!$B$3:$B$14,E506)</f>
        <v>0</v>
      </c>
      <c r="M506" t="s">
        <v>346</v>
      </c>
    </row>
    <row r="507" spans="1:13">
      <c r="A507" t="s">
        <v>347</v>
      </c>
      <c r="B507" t="s">
        <v>263</v>
      </c>
      <c r="C507" t="s">
        <v>227</v>
      </c>
      <c r="D507" t="s">
        <v>14</v>
      </c>
      <c r="E507" t="s">
        <v>15</v>
      </c>
      <c r="F507" t="s">
        <v>23</v>
      </c>
      <c r="G507">
        <f>INDEX(Question_Bank!$J$3:$J$14,MATCH(D507,Question_Bank!$A$3:$A$14,0))</f>
        <v>0</v>
      </c>
      <c r="H507">
        <f>IF(F507=G507,1,0)</f>
        <v>0</v>
      </c>
      <c r="I507">
        <f>H507*INDEX(Question_Bank!$M$3:$M$14,MATCH(D507,Question_Bank!$A$3:$A$14,0))</f>
        <v>0</v>
      </c>
      <c r="J507">
        <f>SUMIFS($I$3:$I$518,$A$3:$A$518,A507)</f>
        <v>0</v>
      </c>
      <c r="K507" s="5">
        <f>J507/SUM(Question_Bank!$M$3:$M$14)</f>
        <v>0</v>
      </c>
      <c r="L507" s="5">
        <f>SUMIFS($I$3:$I$518,$A$3:$A$518,A507,$E$3:$E$518,E507)/SUMIFS(Question_Bank!$M$3:$M$14,Question_Bank!$B$3:$B$14,E507)</f>
        <v>0</v>
      </c>
      <c r="M507" t="s">
        <v>156</v>
      </c>
    </row>
    <row r="508" spans="1:13">
      <c r="A508" t="s">
        <v>347</v>
      </c>
      <c r="B508" t="s">
        <v>263</v>
      </c>
      <c r="C508" t="s">
        <v>227</v>
      </c>
      <c r="D508" t="s">
        <v>26</v>
      </c>
      <c r="E508" t="s">
        <v>15</v>
      </c>
      <c r="F508" t="s">
        <v>34</v>
      </c>
      <c r="G508">
        <f>INDEX(Question_Bank!$J$3:$J$14,MATCH(D508,Question_Bank!$A$3:$A$14,0))</f>
        <v>0</v>
      </c>
      <c r="H508">
        <f>IF(F508=G508,1,0)</f>
        <v>0</v>
      </c>
      <c r="I508">
        <f>H508*INDEX(Question_Bank!$M$3:$M$14,MATCH(D508,Question_Bank!$A$3:$A$14,0))</f>
        <v>0</v>
      </c>
      <c r="J508">
        <f>SUMIFS($I$3:$I$518,$A$3:$A$518,A508)</f>
        <v>0</v>
      </c>
      <c r="K508" s="5">
        <f>J508/SUM(Question_Bank!$M$3:$M$14)</f>
        <v>0</v>
      </c>
      <c r="L508" s="5">
        <f>SUMIFS($I$3:$I$518,$A$3:$A$518,A508,$E$3:$E$518,E508)/SUMIFS(Question_Bank!$M$3:$M$14,Question_Bank!$B$3:$B$14,E508)</f>
        <v>0</v>
      </c>
      <c r="M508" t="s">
        <v>156</v>
      </c>
    </row>
    <row r="509" spans="1:13">
      <c r="A509" t="s">
        <v>347</v>
      </c>
      <c r="B509" t="s">
        <v>263</v>
      </c>
      <c r="C509" t="s">
        <v>227</v>
      </c>
      <c r="D509" t="s">
        <v>37</v>
      </c>
      <c r="E509" t="s">
        <v>15</v>
      </c>
      <c r="F509" t="s">
        <v>20</v>
      </c>
      <c r="G509">
        <f>INDEX(Question_Bank!$J$3:$J$14,MATCH(D509,Question_Bank!$A$3:$A$14,0))</f>
        <v>0</v>
      </c>
      <c r="H509">
        <f>IF(F509=G509,1,0)</f>
        <v>0</v>
      </c>
      <c r="I509">
        <f>H509*INDEX(Question_Bank!$M$3:$M$14,MATCH(D509,Question_Bank!$A$3:$A$14,0))</f>
        <v>0</v>
      </c>
      <c r="J509">
        <f>SUMIFS($I$3:$I$518,$A$3:$A$518,A509)</f>
        <v>0</v>
      </c>
      <c r="K509" s="5">
        <f>J509/SUM(Question_Bank!$M$3:$M$14)</f>
        <v>0</v>
      </c>
      <c r="L509" s="5">
        <f>SUMIFS($I$3:$I$518,$A$3:$A$518,A509,$E$3:$E$518,E509)/SUMIFS(Question_Bank!$M$3:$M$14,Question_Bank!$B$3:$B$14,E509)</f>
        <v>0</v>
      </c>
      <c r="M509" t="s">
        <v>156</v>
      </c>
    </row>
    <row r="510" spans="1:13">
      <c r="A510" t="s">
        <v>347</v>
      </c>
      <c r="B510" t="s">
        <v>263</v>
      </c>
      <c r="C510" t="s">
        <v>227</v>
      </c>
      <c r="D510" t="s">
        <v>45</v>
      </c>
      <c r="E510" t="s">
        <v>46</v>
      </c>
      <c r="F510" t="s">
        <v>31</v>
      </c>
      <c r="G510">
        <f>INDEX(Question_Bank!$J$3:$J$14,MATCH(D510,Question_Bank!$A$3:$A$14,0))</f>
        <v>0</v>
      </c>
      <c r="H510">
        <f>IF(F510=G510,1,0)</f>
        <v>0</v>
      </c>
      <c r="I510">
        <f>H510*INDEX(Question_Bank!$M$3:$M$14,MATCH(D510,Question_Bank!$A$3:$A$14,0))</f>
        <v>0</v>
      </c>
      <c r="J510">
        <f>SUMIFS($I$3:$I$518,$A$3:$A$518,A510)</f>
        <v>0</v>
      </c>
      <c r="K510" s="5">
        <f>J510/SUM(Question_Bank!$M$3:$M$14)</f>
        <v>0</v>
      </c>
      <c r="L510" s="5">
        <f>SUMIFS($I$3:$I$518,$A$3:$A$518,A510,$E$3:$E$518,E510)/SUMIFS(Question_Bank!$M$3:$M$14,Question_Bank!$B$3:$B$14,E510)</f>
        <v>0</v>
      </c>
      <c r="M510" t="s">
        <v>156</v>
      </c>
    </row>
    <row r="511" spans="1:13">
      <c r="A511" t="s">
        <v>347</v>
      </c>
      <c r="B511" t="s">
        <v>263</v>
      </c>
      <c r="C511" t="s">
        <v>227</v>
      </c>
      <c r="D511" t="s">
        <v>54</v>
      </c>
      <c r="E511" t="s">
        <v>46</v>
      </c>
      <c r="F511" t="s">
        <v>23</v>
      </c>
      <c r="G511">
        <f>INDEX(Question_Bank!$J$3:$J$14,MATCH(D511,Question_Bank!$A$3:$A$14,0))</f>
        <v>0</v>
      </c>
      <c r="H511">
        <f>IF(F511=G511,1,0)</f>
        <v>0</v>
      </c>
      <c r="I511">
        <f>H511*INDEX(Question_Bank!$M$3:$M$14,MATCH(D511,Question_Bank!$A$3:$A$14,0))</f>
        <v>0</v>
      </c>
      <c r="J511">
        <f>SUMIFS($I$3:$I$518,$A$3:$A$518,A511)</f>
        <v>0</v>
      </c>
      <c r="K511" s="5">
        <f>J511/SUM(Question_Bank!$M$3:$M$14)</f>
        <v>0</v>
      </c>
      <c r="L511" s="5">
        <f>SUMIFS($I$3:$I$518,$A$3:$A$518,A511,$E$3:$E$518,E511)/SUMIFS(Question_Bank!$M$3:$M$14,Question_Bank!$B$3:$B$14,E511)</f>
        <v>0</v>
      </c>
      <c r="M511" t="s">
        <v>156</v>
      </c>
    </row>
    <row r="512" spans="1:13">
      <c r="A512" t="s">
        <v>347</v>
      </c>
      <c r="B512" t="s">
        <v>263</v>
      </c>
      <c r="C512" t="s">
        <v>227</v>
      </c>
      <c r="D512" t="s">
        <v>62</v>
      </c>
      <c r="E512" t="s">
        <v>46</v>
      </c>
      <c r="F512" t="s">
        <v>34</v>
      </c>
      <c r="G512">
        <f>INDEX(Question_Bank!$J$3:$J$14,MATCH(D512,Question_Bank!$A$3:$A$14,0))</f>
        <v>0</v>
      </c>
      <c r="H512">
        <f>IF(F512=G512,1,0)</f>
        <v>0</v>
      </c>
      <c r="I512">
        <f>H512*INDEX(Question_Bank!$M$3:$M$14,MATCH(D512,Question_Bank!$A$3:$A$14,0))</f>
        <v>0</v>
      </c>
      <c r="J512">
        <f>SUMIFS($I$3:$I$518,$A$3:$A$518,A512)</f>
        <v>0</v>
      </c>
      <c r="K512" s="5">
        <f>J512/SUM(Question_Bank!$M$3:$M$14)</f>
        <v>0</v>
      </c>
      <c r="L512" s="5">
        <f>SUMIFS($I$3:$I$518,$A$3:$A$518,A512,$E$3:$E$518,E512)/SUMIFS(Question_Bank!$M$3:$M$14,Question_Bank!$B$3:$B$14,E512)</f>
        <v>0</v>
      </c>
      <c r="M512" t="s">
        <v>156</v>
      </c>
    </row>
    <row r="513" spans="1:13">
      <c r="A513" t="s">
        <v>347</v>
      </c>
      <c r="B513" t="s">
        <v>263</v>
      </c>
      <c r="C513" t="s">
        <v>227</v>
      </c>
      <c r="D513" t="s">
        <v>70</v>
      </c>
      <c r="E513" t="s">
        <v>71</v>
      </c>
      <c r="F513" t="s">
        <v>20</v>
      </c>
      <c r="G513">
        <f>INDEX(Question_Bank!$J$3:$J$14,MATCH(D513,Question_Bank!$A$3:$A$14,0))</f>
        <v>0</v>
      </c>
      <c r="H513">
        <f>IF(F513=G513,1,0)</f>
        <v>0</v>
      </c>
      <c r="I513">
        <f>H513*INDEX(Question_Bank!$M$3:$M$14,MATCH(D513,Question_Bank!$A$3:$A$14,0))</f>
        <v>0</v>
      </c>
      <c r="J513">
        <f>SUMIFS($I$3:$I$518,$A$3:$A$518,A513)</f>
        <v>0</v>
      </c>
      <c r="K513" s="5">
        <f>J513/SUM(Question_Bank!$M$3:$M$14)</f>
        <v>0</v>
      </c>
      <c r="L513" s="5">
        <f>SUMIFS($I$3:$I$518,$A$3:$A$518,A513,$E$3:$E$518,E513)/SUMIFS(Question_Bank!$M$3:$M$14,Question_Bank!$B$3:$B$14,E513)</f>
        <v>0</v>
      </c>
      <c r="M513" t="s">
        <v>156</v>
      </c>
    </row>
    <row r="514" spans="1:13">
      <c r="A514" t="s">
        <v>347</v>
      </c>
      <c r="B514" t="s">
        <v>263</v>
      </c>
      <c r="C514" t="s">
        <v>227</v>
      </c>
      <c r="D514" t="s">
        <v>79</v>
      </c>
      <c r="E514" t="s">
        <v>71</v>
      </c>
      <c r="F514" t="s">
        <v>31</v>
      </c>
      <c r="G514">
        <f>INDEX(Question_Bank!$J$3:$J$14,MATCH(D514,Question_Bank!$A$3:$A$14,0))</f>
        <v>0</v>
      </c>
      <c r="H514">
        <f>IF(F514=G514,1,0)</f>
        <v>0</v>
      </c>
      <c r="I514">
        <f>H514*INDEX(Question_Bank!$M$3:$M$14,MATCH(D514,Question_Bank!$A$3:$A$14,0))</f>
        <v>0</v>
      </c>
      <c r="J514">
        <f>SUMIFS($I$3:$I$518,$A$3:$A$518,A514)</f>
        <v>0</v>
      </c>
      <c r="K514" s="5">
        <f>J514/SUM(Question_Bank!$M$3:$M$14)</f>
        <v>0</v>
      </c>
      <c r="L514" s="5">
        <f>SUMIFS($I$3:$I$518,$A$3:$A$518,A514,$E$3:$E$518,E514)/SUMIFS(Question_Bank!$M$3:$M$14,Question_Bank!$B$3:$B$14,E514)</f>
        <v>0</v>
      </c>
      <c r="M514" t="s">
        <v>156</v>
      </c>
    </row>
    <row r="515" spans="1:13">
      <c r="A515" t="s">
        <v>347</v>
      </c>
      <c r="B515" t="s">
        <v>263</v>
      </c>
      <c r="C515" t="s">
        <v>227</v>
      </c>
      <c r="D515" t="s">
        <v>87</v>
      </c>
      <c r="E515" t="s">
        <v>71</v>
      </c>
      <c r="F515" t="s">
        <v>23</v>
      </c>
      <c r="G515">
        <f>INDEX(Question_Bank!$J$3:$J$14,MATCH(D515,Question_Bank!$A$3:$A$14,0))</f>
        <v>0</v>
      </c>
      <c r="H515">
        <f>IF(F515=G515,1,0)</f>
        <v>0</v>
      </c>
      <c r="I515">
        <f>H515*INDEX(Question_Bank!$M$3:$M$14,MATCH(D515,Question_Bank!$A$3:$A$14,0))</f>
        <v>0</v>
      </c>
      <c r="J515">
        <f>SUMIFS($I$3:$I$518,$A$3:$A$518,A515)</f>
        <v>0</v>
      </c>
      <c r="K515" s="5">
        <f>J515/SUM(Question_Bank!$M$3:$M$14)</f>
        <v>0</v>
      </c>
      <c r="L515" s="5">
        <f>SUMIFS($I$3:$I$518,$A$3:$A$518,A515,$E$3:$E$518,E515)/SUMIFS(Question_Bank!$M$3:$M$14,Question_Bank!$B$3:$B$14,E515)</f>
        <v>0</v>
      </c>
      <c r="M515" t="s">
        <v>156</v>
      </c>
    </row>
    <row r="516" spans="1:13">
      <c r="A516" t="s">
        <v>347</v>
      </c>
      <c r="B516" t="s">
        <v>263</v>
      </c>
      <c r="C516" t="s">
        <v>227</v>
      </c>
      <c r="D516" t="s">
        <v>95</v>
      </c>
      <c r="E516" t="s">
        <v>96</v>
      </c>
      <c r="F516" t="s">
        <v>34</v>
      </c>
      <c r="G516">
        <f>INDEX(Question_Bank!$J$3:$J$14,MATCH(D516,Question_Bank!$A$3:$A$14,0))</f>
        <v>0</v>
      </c>
      <c r="H516">
        <f>IF(F516=G516,1,0)</f>
        <v>0</v>
      </c>
      <c r="I516">
        <f>H516*INDEX(Question_Bank!$M$3:$M$14,MATCH(D516,Question_Bank!$A$3:$A$14,0))</f>
        <v>0</v>
      </c>
      <c r="J516">
        <f>SUMIFS($I$3:$I$518,$A$3:$A$518,A516)</f>
        <v>0</v>
      </c>
      <c r="K516" s="5">
        <f>J516/SUM(Question_Bank!$M$3:$M$14)</f>
        <v>0</v>
      </c>
      <c r="L516" s="5">
        <f>SUMIFS($I$3:$I$518,$A$3:$A$518,A516,$E$3:$E$518,E516)/SUMIFS(Question_Bank!$M$3:$M$14,Question_Bank!$B$3:$B$14,E516)</f>
        <v>0</v>
      </c>
      <c r="M516" t="s">
        <v>156</v>
      </c>
    </row>
    <row r="517" spans="1:13">
      <c r="A517" t="s">
        <v>347</v>
      </c>
      <c r="B517" t="s">
        <v>263</v>
      </c>
      <c r="C517" t="s">
        <v>227</v>
      </c>
      <c r="D517" t="s">
        <v>104</v>
      </c>
      <c r="E517" t="s">
        <v>96</v>
      </c>
      <c r="F517" t="s">
        <v>20</v>
      </c>
      <c r="G517">
        <f>INDEX(Question_Bank!$J$3:$J$14,MATCH(D517,Question_Bank!$A$3:$A$14,0))</f>
        <v>0</v>
      </c>
      <c r="H517">
        <f>IF(F517=G517,1,0)</f>
        <v>0</v>
      </c>
      <c r="I517">
        <f>H517*INDEX(Question_Bank!$M$3:$M$14,MATCH(D517,Question_Bank!$A$3:$A$14,0))</f>
        <v>0</v>
      </c>
      <c r="J517">
        <f>SUMIFS($I$3:$I$518,$A$3:$A$518,A517)</f>
        <v>0</v>
      </c>
      <c r="K517" s="5">
        <f>J517/SUM(Question_Bank!$M$3:$M$14)</f>
        <v>0</v>
      </c>
      <c r="L517" s="5">
        <f>SUMIFS($I$3:$I$518,$A$3:$A$518,A517,$E$3:$E$518,E517)/SUMIFS(Question_Bank!$M$3:$M$14,Question_Bank!$B$3:$B$14,E517)</f>
        <v>0</v>
      </c>
      <c r="M517" t="s">
        <v>156</v>
      </c>
    </row>
    <row r="518" spans="1:13">
      <c r="A518" t="s">
        <v>347</v>
      </c>
      <c r="B518" t="s">
        <v>263</v>
      </c>
      <c r="C518" t="s">
        <v>227</v>
      </c>
      <c r="D518" t="s">
        <v>112</v>
      </c>
      <c r="E518" t="s">
        <v>96</v>
      </c>
      <c r="F518" t="s">
        <v>31</v>
      </c>
      <c r="G518">
        <f>INDEX(Question_Bank!$J$3:$J$14,MATCH(D518,Question_Bank!$A$3:$A$14,0))</f>
        <v>0</v>
      </c>
      <c r="H518">
        <f>IF(F518=G518,1,0)</f>
        <v>0</v>
      </c>
      <c r="I518">
        <f>H518*INDEX(Question_Bank!$M$3:$M$14,MATCH(D518,Question_Bank!$A$3:$A$14,0))</f>
        <v>0</v>
      </c>
      <c r="J518">
        <f>SUMIFS($I$3:$I$518,$A$3:$A$518,A518)</f>
        <v>0</v>
      </c>
      <c r="K518" s="5">
        <f>J518/SUM(Question_Bank!$M$3:$M$14)</f>
        <v>0</v>
      </c>
      <c r="L518" s="5">
        <f>SUMIFS($I$3:$I$518,$A$3:$A$518,A518,$E$3:$E$518,E518)/SUMIFS(Question_Bank!$M$3:$M$14,Question_Bank!$B$3:$B$14,E518)</f>
        <v>0</v>
      </c>
      <c r="M518" t="s">
        <v>156</v>
      </c>
    </row>
  </sheetData>
  <autoFilter ref="A2:M518"/>
  <mergeCells count="1">
    <mergeCell ref="A1:M1"/>
  </mergeCells>
  <conditionalFormatting sqref="H3:H518">
    <cfRule type="cellIs" dxfId="0" priority="1" operator="equal">
      <formula>0</formula>
    </cfRule>
    <cfRule type="cellIs" dxfId="1" priority="2"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4"/>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1.7109375" customWidth="1"/>
    <col min="2" max="4" width="22.7109375" customWidth="1"/>
    <col min="5" max="6" width="60.7109375" customWidth="1"/>
    <col min="7" max="7" width="11.7109375" customWidth="1"/>
    <col min="8" max="9" width="60.7109375" customWidth="1"/>
    <col min="10" max="10" width="11.7109375" customWidth="1"/>
    <col min="11" max="12" width="55.7109375" customWidth="1"/>
    <col min="13" max="13" width="8.7109375" customWidth="1"/>
  </cols>
  <sheetData>
    <row r="1" spans="1:13">
      <c r="A1" s="1" t="s">
        <v>0</v>
      </c>
      <c r="B1" s="1"/>
      <c r="C1" s="1"/>
      <c r="D1" s="1"/>
      <c r="E1" s="1"/>
      <c r="F1" s="1"/>
      <c r="G1" s="1"/>
      <c r="H1" s="1"/>
      <c r="I1" s="1"/>
      <c r="J1" s="1"/>
      <c r="K1" s="1"/>
      <c r="L1" s="1"/>
      <c r="M1" s="1"/>
    </row>
    <row r="2" spans="1:13">
      <c r="A2" s="4" t="s">
        <v>1</v>
      </c>
      <c r="B2" s="4" t="s">
        <v>2</v>
      </c>
      <c r="C2" s="4" t="s">
        <v>3</v>
      </c>
      <c r="D2" s="4" t="s">
        <v>4</v>
      </c>
      <c r="E2" s="4" t="s">
        <v>5</v>
      </c>
      <c r="F2" s="4" t="s">
        <v>6</v>
      </c>
      <c r="G2" s="4" t="s">
        <v>7</v>
      </c>
      <c r="H2" s="4" t="s">
        <v>8</v>
      </c>
      <c r="I2" s="4" t="s">
        <v>9</v>
      </c>
      <c r="J2" s="4" t="s">
        <v>10</v>
      </c>
      <c r="K2" s="4" t="s">
        <v>11</v>
      </c>
      <c r="L2" s="4" t="s">
        <v>12</v>
      </c>
      <c r="M2" s="4" t="s">
        <v>13</v>
      </c>
    </row>
    <row r="3" spans="1:13">
      <c r="A3" s="3" t="s">
        <v>14</v>
      </c>
      <c r="B3" s="3" t="s">
        <v>15</v>
      </c>
      <c r="C3" s="3" t="s">
        <v>16</v>
      </c>
      <c r="D3" s="3" t="s">
        <v>17</v>
      </c>
      <c r="E3" s="3" t="s">
        <v>18</v>
      </c>
      <c r="F3" s="3" t="s">
        <v>19</v>
      </c>
      <c r="G3" s="3" t="s">
        <v>20</v>
      </c>
      <c r="H3" s="3" t="s">
        <v>21</v>
      </c>
      <c r="I3" s="3" t="s">
        <v>22</v>
      </c>
      <c r="J3" s="3" t="s">
        <v>23</v>
      </c>
      <c r="K3" s="3" t="s">
        <v>24</v>
      </c>
      <c r="L3" s="3" t="s">
        <v>25</v>
      </c>
      <c r="M3" s="3">
        <v>1</v>
      </c>
    </row>
    <row r="4" spans="1:13">
      <c r="A4" s="3" t="s">
        <v>26</v>
      </c>
      <c r="B4" s="3" t="s">
        <v>15</v>
      </c>
      <c r="C4" s="3" t="s">
        <v>27</v>
      </c>
      <c r="D4" s="3" t="s">
        <v>28</v>
      </c>
      <c r="E4" s="3" t="s">
        <v>29</v>
      </c>
      <c r="F4" s="3" t="s">
        <v>30</v>
      </c>
      <c r="G4" s="3" t="s">
        <v>31</v>
      </c>
      <c r="H4" s="3" t="s">
        <v>32</v>
      </c>
      <c r="I4" s="3" t="s">
        <v>33</v>
      </c>
      <c r="J4" s="3" t="s">
        <v>34</v>
      </c>
      <c r="K4" s="3" t="s">
        <v>35</v>
      </c>
      <c r="L4" s="3" t="s">
        <v>36</v>
      </c>
      <c r="M4" s="3">
        <v>1</v>
      </c>
    </row>
    <row r="5" spans="1:13">
      <c r="A5" s="3" t="s">
        <v>37</v>
      </c>
      <c r="B5" s="3" t="s">
        <v>15</v>
      </c>
      <c r="C5" s="3" t="s">
        <v>38</v>
      </c>
      <c r="D5" s="3" t="s">
        <v>17</v>
      </c>
      <c r="E5" s="3" t="s">
        <v>39</v>
      </c>
      <c r="F5" s="3" t="s">
        <v>40</v>
      </c>
      <c r="G5" s="3" t="s">
        <v>23</v>
      </c>
      <c r="H5" s="3" t="s">
        <v>41</v>
      </c>
      <c r="I5" s="3" t="s">
        <v>42</v>
      </c>
      <c r="J5" s="3" t="s">
        <v>20</v>
      </c>
      <c r="K5" s="3" t="s">
        <v>43</v>
      </c>
      <c r="L5" s="3" t="s">
        <v>44</v>
      </c>
      <c r="M5" s="3">
        <v>1</v>
      </c>
    </row>
    <row r="6" spans="1:13">
      <c r="A6" s="3" t="s">
        <v>45</v>
      </c>
      <c r="B6" s="3" t="s">
        <v>46</v>
      </c>
      <c r="C6" s="3" t="s">
        <v>47</v>
      </c>
      <c r="D6" s="3" t="s">
        <v>28</v>
      </c>
      <c r="E6" s="3" t="s">
        <v>48</v>
      </c>
      <c r="F6" s="3" t="s">
        <v>49</v>
      </c>
      <c r="G6" s="3" t="s">
        <v>34</v>
      </c>
      <c r="H6" s="3" t="s">
        <v>50</v>
      </c>
      <c r="I6" s="3" t="s">
        <v>51</v>
      </c>
      <c r="J6" s="3" t="s">
        <v>31</v>
      </c>
      <c r="K6" s="3" t="s">
        <v>52</v>
      </c>
      <c r="L6" s="3" t="s">
        <v>53</v>
      </c>
      <c r="M6" s="3">
        <v>1</v>
      </c>
    </row>
    <row r="7" spans="1:13">
      <c r="A7" s="3" t="s">
        <v>54</v>
      </c>
      <c r="B7" s="3" t="s">
        <v>46</v>
      </c>
      <c r="C7" s="3" t="s">
        <v>55</v>
      </c>
      <c r="D7" s="3" t="s">
        <v>17</v>
      </c>
      <c r="E7" s="3" t="s">
        <v>56</v>
      </c>
      <c r="F7" s="3" t="s">
        <v>57</v>
      </c>
      <c r="G7" s="3" t="s">
        <v>20</v>
      </c>
      <c r="H7" s="3" t="s">
        <v>58</v>
      </c>
      <c r="I7" s="3" t="s">
        <v>59</v>
      </c>
      <c r="J7" s="3" t="s">
        <v>23</v>
      </c>
      <c r="K7" s="3" t="s">
        <v>60</v>
      </c>
      <c r="L7" s="3" t="s">
        <v>61</v>
      </c>
      <c r="M7" s="3">
        <v>1</v>
      </c>
    </row>
    <row r="8" spans="1:13">
      <c r="A8" s="3" t="s">
        <v>62</v>
      </c>
      <c r="B8" s="3" t="s">
        <v>46</v>
      </c>
      <c r="C8" s="3" t="s">
        <v>63</v>
      </c>
      <c r="D8" s="3" t="s">
        <v>17</v>
      </c>
      <c r="E8" s="3" t="s">
        <v>64</v>
      </c>
      <c r="F8" s="3" t="s">
        <v>65</v>
      </c>
      <c r="G8" s="3" t="s">
        <v>31</v>
      </c>
      <c r="H8" s="3" t="s">
        <v>66</v>
      </c>
      <c r="I8" s="3" t="s">
        <v>67</v>
      </c>
      <c r="J8" s="3" t="s">
        <v>34</v>
      </c>
      <c r="K8" s="3" t="s">
        <v>68</v>
      </c>
      <c r="L8" s="3" t="s">
        <v>69</v>
      </c>
      <c r="M8" s="3">
        <v>1</v>
      </c>
    </row>
    <row r="9" spans="1:13">
      <c r="A9" s="3" t="s">
        <v>70</v>
      </c>
      <c r="B9" s="3" t="s">
        <v>71</v>
      </c>
      <c r="C9" s="3" t="s">
        <v>72</v>
      </c>
      <c r="D9" s="3" t="s">
        <v>17</v>
      </c>
      <c r="E9" s="3" t="s">
        <v>73</v>
      </c>
      <c r="F9" s="3" t="s">
        <v>74</v>
      </c>
      <c r="G9" s="3" t="s">
        <v>23</v>
      </c>
      <c r="H9" s="3" t="s">
        <v>75</v>
      </c>
      <c r="I9" s="3" t="s">
        <v>76</v>
      </c>
      <c r="J9" s="3" t="s">
        <v>20</v>
      </c>
      <c r="K9" s="3" t="s">
        <v>77</v>
      </c>
      <c r="L9" s="3" t="s">
        <v>78</v>
      </c>
      <c r="M9" s="3">
        <v>1</v>
      </c>
    </row>
    <row r="10" spans="1:13">
      <c r="A10" s="3" t="s">
        <v>79</v>
      </c>
      <c r="B10" s="3" t="s">
        <v>71</v>
      </c>
      <c r="C10" s="3" t="s">
        <v>80</v>
      </c>
      <c r="D10" s="3" t="s">
        <v>17</v>
      </c>
      <c r="E10" s="3" t="s">
        <v>81</v>
      </c>
      <c r="F10" s="3" t="s">
        <v>82</v>
      </c>
      <c r="G10" s="3" t="s">
        <v>34</v>
      </c>
      <c r="H10" s="3" t="s">
        <v>83</v>
      </c>
      <c r="I10" s="3" t="s">
        <v>84</v>
      </c>
      <c r="J10" s="3" t="s">
        <v>31</v>
      </c>
      <c r="K10" s="3" t="s">
        <v>85</v>
      </c>
      <c r="L10" s="3" t="s">
        <v>86</v>
      </c>
      <c r="M10" s="3">
        <v>1</v>
      </c>
    </row>
    <row r="11" spans="1:13">
      <c r="A11" s="3" t="s">
        <v>87</v>
      </c>
      <c r="B11" s="3" t="s">
        <v>71</v>
      </c>
      <c r="C11" s="3" t="s">
        <v>88</v>
      </c>
      <c r="D11" s="3" t="s">
        <v>17</v>
      </c>
      <c r="E11" s="3" t="s">
        <v>89</v>
      </c>
      <c r="F11" s="3" t="s">
        <v>90</v>
      </c>
      <c r="G11" s="3" t="s">
        <v>20</v>
      </c>
      <c r="H11" s="3" t="s">
        <v>91</v>
      </c>
      <c r="I11" s="3" t="s">
        <v>92</v>
      </c>
      <c r="J11" s="3" t="s">
        <v>23</v>
      </c>
      <c r="K11" s="3" t="s">
        <v>93</v>
      </c>
      <c r="L11" s="3" t="s">
        <v>94</v>
      </c>
      <c r="M11" s="3">
        <v>1</v>
      </c>
    </row>
    <row r="12" spans="1:13">
      <c r="A12" s="3" t="s">
        <v>95</v>
      </c>
      <c r="B12" s="3" t="s">
        <v>96</v>
      </c>
      <c r="C12" s="3" t="s">
        <v>97</v>
      </c>
      <c r="D12" s="3" t="s">
        <v>28</v>
      </c>
      <c r="E12" s="3" t="s">
        <v>98</v>
      </c>
      <c r="F12" s="3" t="s">
        <v>99</v>
      </c>
      <c r="G12" s="3" t="s">
        <v>31</v>
      </c>
      <c r="H12" s="3" t="s">
        <v>100</v>
      </c>
      <c r="I12" s="3" t="s">
        <v>101</v>
      </c>
      <c r="J12" s="3" t="s">
        <v>34</v>
      </c>
      <c r="K12" s="3" t="s">
        <v>102</v>
      </c>
      <c r="L12" s="3" t="s">
        <v>103</v>
      </c>
      <c r="M12" s="3">
        <v>1</v>
      </c>
    </row>
    <row r="13" spans="1:13">
      <c r="A13" s="3" t="s">
        <v>104</v>
      </c>
      <c r="B13" s="3" t="s">
        <v>96</v>
      </c>
      <c r="C13" s="3" t="s">
        <v>105</v>
      </c>
      <c r="D13" s="3" t="s">
        <v>17</v>
      </c>
      <c r="E13" s="3" t="s">
        <v>106</v>
      </c>
      <c r="F13" s="3" t="s">
        <v>107</v>
      </c>
      <c r="G13" s="3" t="s">
        <v>23</v>
      </c>
      <c r="H13" s="3" t="s">
        <v>108</v>
      </c>
      <c r="I13" s="3" t="s">
        <v>109</v>
      </c>
      <c r="J13" s="3" t="s">
        <v>20</v>
      </c>
      <c r="K13" s="3" t="s">
        <v>110</v>
      </c>
      <c r="L13" s="3" t="s">
        <v>111</v>
      </c>
      <c r="M13" s="3">
        <v>1</v>
      </c>
    </row>
    <row r="14" spans="1:13">
      <c r="A14" s="3" t="s">
        <v>112</v>
      </c>
      <c r="B14" s="3" t="s">
        <v>96</v>
      </c>
      <c r="C14" s="3" t="s">
        <v>113</v>
      </c>
      <c r="D14" s="3" t="s">
        <v>28</v>
      </c>
      <c r="E14" s="3" t="s">
        <v>114</v>
      </c>
      <c r="F14" s="3" t="s">
        <v>115</v>
      </c>
      <c r="G14" s="3" t="s">
        <v>34</v>
      </c>
      <c r="H14" s="3" t="s">
        <v>116</v>
      </c>
      <c r="I14" s="3" t="s">
        <v>117</v>
      </c>
      <c r="J14" s="3" t="s">
        <v>31</v>
      </c>
      <c r="K14" s="3" t="s">
        <v>118</v>
      </c>
      <c r="L14" s="3" t="s">
        <v>119</v>
      </c>
      <c r="M14" s="3">
        <v>1</v>
      </c>
    </row>
  </sheetData>
  <mergeCells count="1">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60"/>
  <sheetViews>
    <sheetView workbookViewId="0"/>
  </sheetViews>
  <sheetFormatPr defaultRowHeight="15"/>
  <cols>
    <col min="1" max="1" width="42.7109375" customWidth="1"/>
    <col min="2" max="2" width="30.7109375" customWidth="1"/>
    <col min="3" max="6" width="18.7109375" customWidth="1"/>
    <col min="7" max="7" width="3.7109375" customWidth="1"/>
    <col min="8" max="15" width="14.7109375" customWidth="1"/>
    <col min="16" max="16" width="22.7109375" customWidth="1"/>
  </cols>
  <sheetData>
    <row r="1" spans="1:16">
      <c r="A1" s="1" t="s">
        <v>228</v>
      </c>
      <c r="B1" s="1"/>
      <c r="C1" s="1"/>
      <c r="D1" s="1"/>
      <c r="E1" s="1"/>
      <c r="F1" s="1"/>
      <c r="G1" s="1"/>
      <c r="H1" s="1"/>
      <c r="I1" s="1"/>
      <c r="J1" s="1"/>
      <c r="K1" s="1"/>
      <c r="L1" s="1"/>
      <c r="M1" s="1"/>
      <c r="N1" s="1"/>
      <c r="O1" s="1"/>
      <c r="P1" s="1"/>
    </row>
    <row r="3" spans="1:16">
      <c r="A3" s="4" t="s">
        <v>236</v>
      </c>
      <c r="B3" s="4" t="s">
        <v>237</v>
      </c>
      <c r="H3" s="4" t="s">
        <v>120</v>
      </c>
      <c r="I3" s="4" t="s">
        <v>229</v>
      </c>
      <c r="J3" s="4" t="s">
        <v>230</v>
      </c>
      <c r="K3" s="4" t="s">
        <v>231</v>
      </c>
      <c r="L3" s="4" t="s">
        <v>232</v>
      </c>
      <c r="M3" s="4" t="s">
        <v>233</v>
      </c>
      <c r="N3" s="4" t="s">
        <v>234</v>
      </c>
      <c r="O3" s="4" t="s">
        <v>235</v>
      </c>
      <c r="P3" s="4" t="s">
        <v>130</v>
      </c>
    </row>
    <row r="4" spans="1:16">
      <c r="A4" t="s">
        <v>238</v>
      </c>
      <c r="B4">
        <f>COUNTA($H$4:$H$50)</f>
        <v>0</v>
      </c>
      <c r="H4" t="s">
        <v>131</v>
      </c>
      <c r="I4">
        <f>SUMIFS(Social_Pre!$I$3:$I$566,Social_Pre!$A$3:$A$566,H4)</f>
        <v>0</v>
      </c>
      <c r="J4">
        <f>SUMIFS(Social_Post!$I$3:$I$566,Social_Post!$A$3:$A$566,H4)</f>
        <v>0</v>
      </c>
      <c r="K4" s="5">
        <f>I4/SUM(Question_Bank!$M$3:$M$14)</f>
        <v>0</v>
      </c>
      <c r="L4" s="5">
        <f>J4/SUM(Question_Bank!$M$3:$M$14)</f>
        <v>0</v>
      </c>
      <c r="M4">
        <f>J4-I4</f>
        <v>0</v>
      </c>
      <c r="N4" s="6">
        <f>(L4-K4)*100</f>
        <v>0</v>
      </c>
      <c r="O4">
        <f>IF(M4&gt;=$B$23,"Substantial",IF(M4&gt;=$B$24,"Modest",IF(M4=0,"Unchanged","Lower")))</f>
        <v>0</v>
      </c>
      <c r="P4" t="s">
        <v>134</v>
      </c>
    </row>
    <row r="5" spans="1:16">
      <c r="A5" t="s">
        <v>239</v>
      </c>
      <c r="B5" s="7">
        <f>AVERAGE($I$4:$I$50)</f>
        <v>0</v>
      </c>
      <c r="H5" t="s">
        <v>135</v>
      </c>
      <c r="I5">
        <f>SUMIFS(Social_Pre!$I$3:$I$566,Social_Pre!$A$3:$A$566,H5)</f>
        <v>0</v>
      </c>
      <c r="J5">
        <f>SUMIFS(Social_Post!$I$3:$I$566,Social_Post!$A$3:$A$566,H5)</f>
        <v>0</v>
      </c>
      <c r="K5" s="5">
        <f>I5/SUM(Question_Bank!$M$3:$M$14)</f>
        <v>0</v>
      </c>
      <c r="L5" s="5">
        <f>J5/SUM(Question_Bank!$M$3:$M$14)</f>
        <v>0</v>
      </c>
      <c r="M5">
        <f>J5-I5</f>
        <v>0</v>
      </c>
      <c r="N5" s="6">
        <f>(L5-K5)*100</f>
        <v>0</v>
      </c>
      <c r="O5">
        <f>IF(M5&gt;=$B$23,"Substantial",IF(M5&gt;=$B$24,"Modest",IF(M5=0,"Unchanged","Lower")))</f>
        <v>0</v>
      </c>
      <c r="P5" t="s">
        <v>136</v>
      </c>
    </row>
    <row r="6" spans="1:16">
      <c r="A6" t="s">
        <v>240</v>
      </c>
      <c r="B6" s="7">
        <f>AVERAGE($J$4:$J$50)</f>
        <v>0</v>
      </c>
      <c r="H6" t="s">
        <v>137</v>
      </c>
      <c r="I6">
        <f>SUMIFS(Social_Pre!$I$3:$I$566,Social_Pre!$A$3:$A$566,H6)</f>
        <v>0</v>
      </c>
      <c r="J6">
        <f>SUMIFS(Social_Post!$I$3:$I$566,Social_Post!$A$3:$A$566,H6)</f>
        <v>0</v>
      </c>
      <c r="K6" s="5">
        <f>I6/SUM(Question_Bank!$M$3:$M$14)</f>
        <v>0</v>
      </c>
      <c r="L6" s="5">
        <f>J6/SUM(Question_Bank!$M$3:$M$14)</f>
        <v>0</v>
      </c>
      <c r="M6">
        <f>J6-I6</f>
        <v>0</v>
      </c>
      <c r="N6" s="6">
        <f>(L6-K6)*100</f>
        <v>0</v>
      </c>
      <c r="O6">
        <f>IF(M6&gt;=$B$23,"Substantial",IF(M6&gt;=$B$24,"Modest",IF(M6=0,"Unchanged","Lower")))</f>
        <v>0</v>
      </c>
      <c r="P6" t="s">
        <v>138</v>
      </c>
    </row>
    <row r="7" spans="1:16">
      <c r="A7" t="s">
        <v>241</v>
      </c>
      <c r="B7" s="5">
        <f>AVERAGE($K$4:$K$50)</f>
        <v>0</v>
      </c>
      <c r="H7" t="s">
        <v>139</v>
      </c>
      <c r="I7">
        <f>SUMIFS(Social_Pre!$I$3:$I$566,Social_Pre!$A$3:$A$566,H7)</f>
        <v>0</v>
      </c>
      <c r="J7">
        <f>SUMIFS(Social_Post!$I$3:$I$566,Social_Post!$A$3:$A$566,H7)</f>
        <v>0</v>
      </c>
      <c r="K7" s="5">
        <f>I7/SUM(Question_Bank!$M$3:$M$14)</f>
        <v>0</v>
      </c>
      <c r="L7" s="5">
        <f>J7/SUM(Question_Bank!$M$3:$M$14)</f>
        <v>0</v>
      </c>
      <c r="M7">
        <f>J7-I7</f>
        <v>0</v>
      </c>
      <c r="N7" s="6">
        <f>(L7-K7)*100</f>
        <v>0</v>
      </c>
      <c r="O7">
        <f>IF(M7&gt;=$B$23,"Substantial",IF(M7&gt;=$B$24,"Modest",IF(M7=0,"Unchanged","Lower")))</f>
        <v>0</v>
      </c>
      <c r="P7" t="s">
        <v>140</v>
      </c>
    </row>
    <row r="8" spans="1:16">
      <c r="A8" t="s">
        <v>242</v>
      </c>
      <c r="B8" s="5">
        <f>AVERAGE($L$4:$L$50)</f>
        <v>0</v>
      </c>
      <c r="H8" t="s">
        <v>141</v>
      </c>
      <c r="I8">
        <f>SUMIFS(Social_Pre!$I$3:$I$566,Social_Pre!$A$3:$A$566,H8)</f>
        <v>0</v>
      </c>
      <c r="J8">
        <f>SUMIFS(Social_Post!$I$3:$I$566,Social_Post!$A$3:$A$566,H8)</f>
        <v>0</v>
      </c>
      <c r="K8" s="5">
        <f>I8/SUM(Question_Bank!$M$3:$M$14)</f>
        <v>0</v>
      </c>
      <c r="L8" s="5">
        <f>J8/SUM(Question_Bank!$M$3:$M$14)</f>
        <v>0</v>
      </c>
      <c r="M8">
        <f>J8-I8</f>
        <v>0</v>
      </c>
      <c r="N8" s="6">
        <f>(L8-K8)*100</f>
        <v>0</v>
      </c>
      <c r="O8">
        <f>IF(M8&gt;=$B$23,"Substantial",IF(M8&gt;=$B$24,"Modest",IF(M8=0,"Unchanged","Lower")))</f>
        <v>0</v>
      </c>
      <c r="P8" t="s">
        <v>142</v>
      </c>
    </row>
    <row r="9" spans="1:16">
      <c r="A9" t="s">
        <v>243</v>
      </c>
      <c r="B9" s="6">
        <f>(B8-B7)*100</f>
        <v>0</v>
      </c>
      <c r="H9" t="s">
        <v>143</v>
      </c>
      <c r="I9">
        <f>SUMIFS(Social_Pre!$I$3:$I$566,Social_Pre!$A$3:$A$566,H9)</f>
        <v>0</v>
      </c>
      <c r="J9">
        <f>SUMIFS(Social_Post!$I$3:$I$566,Social_Post!$A$3:$A$566,H9)</f>
        <v>0</v>
      </c>
      <c r="K9" s="5">
        <f>I9/SUM(Question_Bank!$M$3:$M$14)</f>
        <v>0</v>
      </c>
      <c r="L9" s="5">
        <f>J9/SUM(Question_Bank!$M$3:$M$14)</f>
        <v>0</v>
      </c>
      <c r="M9">
        <f>J9-I9</f>
        <v>0</v>
      </c>
      <c r="N9" s="6">
        <f>(L9-K9)*100</f>
        <v>0</v>
      </c>
      <c r="O9">
        <f>IF(M9&gt;=$B$23,"Substantial",IF(M9&gt;=$B$24,"Modest",IF(M9=0,"Unchanged","Lower")))</f>
        <v>0</v>
      </c>
      <c r="P9" t="s">
        <v>144</v>
      </c>
    </row>
    <row r="10" spans="1:16">
      <c r="A10" t="s">
        <v>244</v>
      </c>
      <c r="B10" s="5">
        <f>(B8-B7)/B7</f>
        <v>0</v>
      </c>
      <c r="H10" t="s">
        <v>145</v>
      </c>
      <c r="I10">
        <f>SUMIFS(Social_Pre!$I$3:$I$566,Social_Pre!$A$3:$A$566,H10)</f>
        <v>0</v>
      </c>
      <c r="J10">
        <f>SUMIFS(Social_Post!$I$3:$I$566,Social_Post!$A$3:$A$566,H10)</f>
        <v>0</v>
      </c>
      <c r="K10" s="5">
        <f>I10/SUM(Question_Bank!$M$3:$M$14)</f>
        <v>0</v>
      </c>
      <c r="L10" s="5">
        <f>J10/SUM(Question_Bank!$M$3:$M$14)</f>
        <v>0</v>
      </c>
      <c r="M10">
        <f>J10-I10</f>
        <v>0</v>
      </c>
      <c r="N10" s="6">
        <f>(L10-K10)*100</f>
        <v>0</v>
      </c>
      <c r="O10">
        <f>IF(M10&gt;=$B$23,"Substantial",IF(M10&gt;=$B$24,"Modest",IF(M10=0,"Unchanged","Lower")))</f>
        <v>0</v>
      </c>
      <c r="P10" t="s">
        <v>146</v>
      </c>
    </row>
    <row r="11" spans="1:16">
      <c r="A11" t="s">
        <v>245</v>
      </c>
      <c r="B11" s="5">
        <f>COUNTIF($M$4:$M$50,"&gt;0")/B4</f>
        <v>0</v>
      </c>
      <c r="H11" t="s">
        <v>147</v>
      </c>
      <c r="I11">
        <f>SUMIFS(Social_Pre!$I$3:$I$566,Social_Pre!$A$3:$A$566,H11)</f>
        <v>0</v>
      </c>
      <c r="J11">
        <f>SUMIFS(Social_Post!$I$3:$I$566,Social_Post!$A$3:$A$566,H11)</f>
        <v>0</v>
      </c>
      <c r="K11" s="5">
        <f>I11/SUM(Question_Bank!$M$3:$M$14)</f>
        <v>0</v>
      </c>
      <c r="L11" s="5">
        <f>J11/SUM(Question_Bank!$M$3:$M$14)</f>
        <v>0</v>
      </c>
      <c r="M11">
        <f>J11-I11</f>
        <v>0</v>
      </c>
      <c r="N11" s="6">
        <f>(L11-K11)*100</f>
        <v>0</v>
      </c>
      <c r="O11">
        <f>IF(M11&gt;=$B$23,"Substantial",IF(M11&gt;=$B$24,"Modest",IF(M11=0,"Unchanged","Lower")))</f>
        <v>0</v>
      </c>
      <c r="P11" t="s">
        <v>148</v>
      </c>
    </row>
    <row r="12" spans="1:16">
      <c r="A12" t="s">
        <v>246</v>
      </c>
      <c r="B12" s="7">
        <f>AVERAGE($M$4:$M$50)</f>
        <v>0</v>
      </c>
      <c r="H12" t="s">
        <v>149</v>
      </c>
      <c r="I12">
        <f>SUMIFS(Social_Pre!$I$3:$I$566,Social_Pre!$A$3:$A$566,H12)</f>
        <v>0</v>
      </c>
      <c r="J12">
        <f>SUMIFS(Social_Post!$I$3:$I$566,Social_Post!$A$3:$A$566,H12)</f>
        <v>0</v>
      </c>
      <c r="K12" s="5">
        <f>I12/SUM(Question_Bank!$M$3:$M$14)</f>
        <v>0</v>
      </c>
      <c r="L12" s="5">
        <f>J12/SUM(Question_Bank!$M$3:$M$14)</f>
        <v>0</v>
      </c>
      <c r="M12">
        <f>J12-I12</f>
        <v>0</v>
      </c>
      <c r="N12" s="6">
        <f>(L12-K12)*100</f>
        <v>0</v>
      </c>
      <c r="O12">
        <f>IF(M12&gt;=$B$23,"Substantial",IF(M12&gt;=$B$24,"Modest",IF(M12=0,"Unchanged","Lower")))</f>
        <v>0</v>
      </c>
      <c r="P12" t="s">
        <v>150</v>
      </c>
    </row>
    <row r="13" spans="1:16">
      <c r="A13" t="s">
        <v>247</v>
      </c>
      <c r="B13" s="5">
        <v>0.6</v>
      </c>
      <c r="H13" t="s">
        <v>151</v>
      </c>
      <c r="I13">
        <f>SUMIFS(Social_Pre!$I$3:$I$566,Social_Pre!$A$3:$A$566,H13)</f>
        <v>0</v>
      </c>
      <c r="J13">
        <f>SUMIFS(Social_Post!$I$3:$I$566,Social_Post!$A$3:$A$566,H13)</f>
        <v>0</v>
      </c>
      <c r="K13" s="5">
        <f>I13/SUM(Question_Bank!$M$3:$M$14)</f>
        <v>0</v>
      </c>
      <c r="L13" s="5">
        <f>J13/SUM(Question_Bank!$M$3:$M$14)</f>
        <v>0</v>
      </c>
      <c r="M13">
        <f>J13-I13</f>
        <v>0</v>
      </c>
      <c r="N13" s="6">
        <f>(L13-K13)*100</f>
        <v>0</v>
      </c>
      <c r="O13">
        <f>IF(M13&gt;=$B$23,"Substantial",IF(M13&gt;=$B$24,"Modest",IF(M13=0,"Unchanged","Lower")))</f>
        <v>0</v>
      </c>
      <c r="P13" t="s">
        <v>152</v>
      </c>
    </row>
    <row r="14" spans="1:16">
      <c r="H14" t="s">
        <v>153</v>
      </c>
      <c r="I14">
        <f>SUMIFS(Social_Pre!$I$3:$I$566,Social_Pre!$A$3:$A$566,H14)</f>
        <v>0</v>
      </c>
      <c r="J14">
        <f>SUMIFS(Social_Post!$I$3:$I$566,Social_Post!$A$3:$A$566,H14)</f>
        <v>0</v>
      </c>
      <c r="K14" s="5">
        <f>I14/SUM(Question_Bank!$M$3:$M$14)</f>
        <v>0</v>
      </c>
      <c r="L14" s="5">
        <f>J14/SUM(Question_Bank!$M$3:$M$14)</f>
        <v>0</v>
      </c>
      <c r="M14">
        <f>J14-I14</f>
        <v>0</v>
      </c>
      <c r="N14" s="6">
        <f>(L14-K14)*100</f>
        <v>0</v>
      </c>
      <c r="O14">
        <f>IF(M14&gt;=$B$23,"Substantial",IF(M14&gt;=$B$24,"Modest",IF(M14=0,"Unchanged","Lower")))</f>
        <v>0</v>
      </c>
      <c r="P14" t="s">
        <v>154</v>
      </c>
    </row>
    <row r="15" spans="1:16">
      <c r="A15" s="4" t="s">
        <v>2</v>
      </c>
      <c r="B15" s="4" t="s">
        <v>248</v>
      </c>
      <c r="C15" s="4" t="s">
        <v>249</v>
      </c>
      <c r="D15" s="4" t="s">
        <v>250</v>
      </c>
      <c r="E15" s="4" t="s">
        <v>251</v>
      </c>
      <c r="H15" t="s">
        <v>155</v>
      </c>
      <c r="I15">
        <f>SUMIFS(Social_Pre!$I$3:$I$566,Social_Pre!$A$3:$A$566,H15)</f>
        <v>0</v>
      </c>
      <c r="J15">
        <f>SUMIFS(Social_Post!$I$3:$I$566,Social_Post!$A$3:$A$566,H15)</f>
        <v>0</v>
      </c>
      <c r="K15" s="5">
        <f>I15/SUM(Question_Bank!$M$3:$M$14)</f>
        <v>0</v>
      </c>
      <c r="L15" s="5">
        <f>J15/SUM(Question_Bank!$M$3:$M$14)</f>
        <v>0</v>
      </c>
      <c r="M15">
        <f>J15-I15</f>
        <v>0</v>
      </c>
      <c r="N15" s="6">
        <f>(L15-K15)*100</f>
        <v>0</v>
      </c>
      <c r="O15">
        <f>IF(M15&gt;=$B$23,"Substantial",IF(M15&gt;=$B$24,"Modest",IF(M15=0,"Unchanged","Lower")))</f>
        <v>0</v>
      </c>
      <c r="P15" t="s">
        <v>156</v>
      </c>
    </row>
    <row r="16" spans="1:16">
      <c r="A16" t="s">
        <v>15</v>
      </c>
      <c r="B16" s="5">
        <f>SUMIFS(Social_Pre!$H$3:$H$566,Social_Pre!$E$3:$E$566,$A16)/COUNTIFS(Social_Pre!$E$3:$E$566,$A16)</f>
        <v>0</v>
      </c>
      <c r="C16" s="5">
        <f>SUMIFS(Social_Post!$H$3:$H$566,Social_Post!$E$3:$E$566,$A16)/COUNTIFS(Social_Post!$E$3:$E$566,$A16)</f>
        <v>0</v>
      </c>
      <c r="D16" s="6">
        <f>(C16-B16)*100</f>
        <v>0</v>
      </c>
      <c r="E16">
        <f>IF(C16&lt;$B$13,"Needs further education","")</f>
        <v>0</v>
      </c>
      <c r="H16" t="s">
        <v>157</v>
      </c>
      <c r="I16">
        <f>SUMIFS(Social_Pre!$I$3:$I$566,Social_Pre!$A$3:$A$566,H16)</f>
        <v>0</v>
      </c>
      <c r="J16">
        <f>SUMIFS(Social_Post!$I$3:$I$566,Social_Post!$A$3:$A$566,H16)</f>
        <v>0</v>
      </c>
      <c r="K16" s="5">
        <f>I16/SUM(Question_Bank!$M$3:$M$14)</f>
        <v>0</v>
      </c>
      <c r="L16" s="5">
        <f>J16/SUM(Question_Bank!$M$3:$M$14)</f>
        <v>0</v>
      </c>
      <c r="M16">
        <f>J16-I16</f>
        <v>0</v>
      </c>
      <c r="N16" s="6">
        <f>(L16-K16)*100</f>
        <v>0</v>
      </c>
      <c r="O16">
        <f>IF(M16&gt;=$B$23,"Substantial",IF(M16&gt;=$B$24,"Modest",IF(M16=0,"Unchanged","Lower")))</f>
        <v>0</v>
      </c>
      <c r="P16" t="s">
        <v>158</v>
      </c>
    </row>
    <row r="17" spans="1:16">
      <c r="A17" t="s">
        <v>46</v>
      </c>
      <c r="B17" s="5">
        <f>SUMIFS(Social_Pre!$H$3:$H$566,Social_Pre!$E$3:$E$566,$A17)/COUNTIFS(Social_Pre!$E$3:$E$566,$A17)</f>
        <v>0</v>
      </c>
      <c r="C17" s="5">
        <f>SUMIFS(Social_Post!$H$3:$H$566,Social_Post!$E$3:$E$566,$A17)/COUNTIFS(Social_Post!$E$3:$E$566,$A17)</f>
        <v>0</v>
      </c>
      <c r="D17" s="6">
        <f>(C17-B17)*100</f>
        <v>0</v>
      </c>
      <c r="E17">
        <f>IF(C17&lt;$B$13,"Needs further education","")</f>
        <v>0</v>
      </c>
      <c r="H17" t="s">
        <v>159</v>
      </c>
      <c r="I17">
        <f>SUMIFS(Social_Pre!$I$3:$I$566,Social_Pre!$A$3:$A$566,H17)</f>
        <v>0</v>
      </c>
      <c r="J17">
        <f>SUMIFS(Social_Post!$I$3:$I$566,Social_Post!$A$3:$A$566,H17)</f>
        <v>0</v>
      </c>
      <c r="K17" s="5">
        <f>I17/SUM(Question_Bank!$M$3:$M$14)</f>
        <v>0</v>
      </c>
      <c r="L17" s="5">
        <f>J17/SUM(Question_Bank!$M$3:$M$14)</f>
        <v>0</v>
      </c>
      <c r="M17">
        <f>J17-I17</f>
        <v>0</v>
      </c>
      <c r="N17" s="6">
        <f>(L17-K17)*100</f>
        <v>0</v>
      </c>
      <c r="O17">
        <f>IF(M17&gt;=$B$23,"Substantial",IF(M17&gt;=$B$24,"Modest",IF(M17=0,"Unchanged","Lower")))</f>
        <v>0</v>
      </c>
      <c r="P17" t="s">
        <v>160</v>
      </c>
    </row>
    <row r="18" spans="1:16">
      <c r="A18" t="s">
        <v>71</v>
      </c>
      <c r="B18" s="5">
        <f>SUMIFS(Social_Pre!$H$3:$H$566,Social_Pre!$E$3:$E$566,$A18)/COUNTIFS(Social_Pre!$E$3:$E$566,$A18)</f>
        <v>0</v>
      </c>
      <c r="C18" s="5">
        <f>SUMIFS(Social_Post!$H$3:$H$566,Social_Post!$E$3:$E$566,$A18)/COUNTIFS(Social_Post!$E$3:$E$566,$A18)</f>
        <v>0</v>
      </c>
      <c r="D18" s="6">
        <f>(C18-B18)*100</f>
        <v>0</v>
      </c>
      <c r="E18">
        <f>IF(C18&lt;$B$13,"Needs further education","")</f>
        <v>0</v>
      </c>
      <c r="H18" t="s">
        <v>161</v>
      </c>
      <c r="I18">
        <f>SUMIFS(Social_Pre!$I$3:$I$566,Social_Pre!$A$3:$A$566,H18)</f>
        <v>0</v>
      </c>
      <c r="J18">
        <f>SUMIFS(Social_Post!$I$3:$I$566,Social_Post!$A$3:$A$566,H18)</f>
        <v>0</v>
      </c>
      <c r="K18" s="5">
        <f>I18/SUM(Question_Bank!$M$3:$M$14)</f>
        <v>0</v>
      </c>
      <c r="L18" s="5">
        <f>J18/SUM(Question_Bank!$M$3:$M$14)</f>
        <v>0</v>
      </c>
      <c r="M18">
        <f>J18-I18</f>
        <v>0</v>
      </c>
      <c r="N18" s="6">
        <f>(L18-K18)*100</f>
        <v>0</v>
      </c>
      <c r="O18">
        <f>IF(M18&gt;=$B$23,"Substantial",IF(M18&gt;=$B$24,"Modest",IF(M18=0,"Unchanged","Lower")))</f>
        <v>0</v>
      </c>
      <c r="P18" t="s">
        <v>162</v>
      </c>
    </row>
    <row r="19" spans="1:16">
      <c r="A19" t="s">
        <v>96</v>
      </c>
      <c r="B19" s="5">
        <f>SUMIFS(Social_Pre!$H$3:$H$566,Social_Pre!$E$3:$E$566,$A19)/COUNTIFS(Social_Pre!$E$3:$E$566,$A19)</f>
        <v>0</v>
      </c>
      <c r="C19" s="5">
        <f>SUMIFS(Social_Post!$H$3:$H$566,Social_Post!$E$3:$E$566,$A19)/COUNTIFS(Social_Post!$E$3:$E$566,$A19)</f>
        <v>0</v>
      </c>
      <c r="D19" s="6">
        <f>(C19-B19)*100</f>
        <v>0</v>
      </c>
      <c r="E19">
        <f>IF(C19&lt;$B$13,"Needs further education","")</f>
        <v>0</v>
      </c>
      <c r="H19" t="s">
        <v>163</v>
      </c>
      <c r="I19">
        <f>SUMIFS(Social_Pre!$I$3:$I$566,Social_Pre!$A$3:$A$566,H19)</f>
        <v>0</v>
      </c>
      <c r="J19">
        <f>SUMIFS(Social_Post!$I$3:$I$566,Social_Post!$A$3:$A$566,H19)</f>
        <v>0</v>
      </c>
      <c r="K19" s="5">
        <f>I19/SUM(Question_Bank!$M$3:$M$14)</f>
        <v>0</v>
      </c>
      <c r="L19" s="5">
        <f>J19/SUM(Question_Bank!$M$3:$M$14)</f>
        <v>0</v>
      </c>
      <c r="M19">
        <f>J19-I19</f>
        <v>0</v>
      </c>
      <c r="N19" s="6">
        <f>(L19-K19)*100</f>
        <v>0</v>
      </c>
      <c r="O19">
        <f>IF(M19&gt;=$B$23,"Substantial",IF(M19&gt;=$B$24,"Modest",IF(M19=0,"Unchanged","Lower")))</f>
        <v>0</v>
      </c>
      <c r="P19" t="s">
        <v>164</v>
      </c>
    </row>
    <row r="20" spans="1:16">
      <c r="H20" t="s">
        <v>165</v>
      </c>
      <c r="I20">
        <f>SUMIFS(Social_Pre!$I$3:$I$566,Social_Pre!$A$3:$A$566,H20)</f>
        <v>0</v>
      </c>
      <c r="J20">
        <f>SUMIFS(Social_Post!$I$3:$I$566,Social_Post!$A$3:$A$566,H20)</f>
        <v>0</v>
      </c>
      <c r="K20" s="5">
        <f>I20/SUM(Question_Bank!$M$3:$M$14)</f>
        <v>0</v>
      </c>
      <c r="L20" s="5">
        <f>J20/SUM(Question_Bank!$M$3:$M$14)</f>
        <v>0</v>
      </c>
      <c r="M20">
        <f>J20-I20</f>
        <v>0</v>
      </c>
      <c r="N20" s="6">
        <f>(L20-K20)*100</f>
        <v>0</v>
      </c>
      <c r="O20">
        <f>IF(M20&gt;=$B$23,"Substantial",IF(M20&gt;=$B$24,"Modest",IF(M20=0,"Unchanged","Lower")))</f>
        <v>0</v>
      </c>
      <c r="P20" t="s">
        <v>166</v>
      </c>
    </row>
    <row r="21" spans="1:16">
      <c r="H21" t="s">
        <v>167</v>
      </c>
      <c r="I21">
        <f>SUMIFS(Social_Pre!$I$3:$I$566,Social_Pre!$A$3:$A$566,H21)</f>
        <v>0</v>
      </c>
      <c r="J21">
        <f>SUMIFS(Social_Post!$I$3:$I$566,Social_Post!$A$3:$A$566,H21)</f>
        <v>0</v>
      </c>
      <c r="K21" s="5">
        <f>I21/SUM(Question_Bank!$M$3:$M$14)</f>
        <v>0</v>
      </c>
      <c r="L21" s="5">
        <f>J21/SUM(Question_Bank!$M$3:$M$14)</f>
        <v>0</v>
      </c>
      <c r="M21">
        <f>J21-I21</f>
        <v>0</v>
      </c>
      <c r="N21" s="6">
        <f>(L21-K21)*100</f>
        <v>0</v>
      </c>
      <c r="O21">
        <f>IF(M21&gt;=$B$23,"Substantial",IF(M21&gt;=$B$24,"Modest",IF(M21=0,"Unchanged","Lower")))</f>
        <v>0</v>
      </c>
      <c r="P21" t="s">
        <v>168</v>
      </c>
    </row>
    <row r="22" spans="1:16">
      <c r="A22" s="4" t="s">
        <v>235</v>
      </c>
      <c r="B22" s="4" t="s">
        <v>252</v>
      </c>
      <c r="C22" s="4" t="s">
        <v>253</v>
      </c>
      <c r="D22" s="4" t="s">
        <v>254</v>
      </c>
      <c r="H22" t="s">
        <v>169</v>
      </c>
      <c r="I22">
        <f>SUMIFS(Social_Pre!$I$3:$I$566,Social_Pre!$A$3:$A$566,H22)</f>
        <v>0</v>
      </c>
      <c r="J22">
        <f>SUMIFS(Social_Post!$I$3:$I$566,Social_Post!$A$3:$A$566,H22)</f>
        <v>0</v>
      </c>
      <c r="K22" s="5">
        <f>I22/SUM(Question_Bank!$M$3:$M$14)</f>
        <v>0</v>
      </c>
      <c r="L22" s="5">
        <f>J22/SUM(Question_Bank!$M$3:$M$14)</f>
        <v>0</v>
      </c>
      <c r="M22">
        <f>J22-I22</f>
        <v>0</v>
      </c>
      <c r="N22" s="6">
        <f>(L22-K22)*100</f>
        <v>0</v>
      </c>
      <c r="O22">
        <f>IF(M22&gt;=$B$23,"Substantial",IF(M22&gt;=$B$24,"Modest",IF(M22=0,"Unchanged","Lower")))</f>
        <v>0</v>
      </c>
      <c r="P22" t="s">
        <v>170</v>
      </c>
    </row>
    <row r="23" spans="1:16">
      <c r="A23" t="s">
        <v>255</v>
      </c>
      <c r="B23">
        <v>3</v>
      </c>
      <c r="C23">
        <f>COUNTIF($M$4:$M$50,"&gt;="&amp;B23)</f>
        <v>0</v>
      </c>
      <c r="D23" s="5">
        <f>C23/$B$4</f>
        <v>0</v>
      </c>
      <c r="H23" t="s">
        <v>171</v>
      </c>
      <c r="I23">
        <f>SUMIFS(Social_Pre!$I$3:$I$566,Social_Pre!$A$3:$A$566,H23)</f>
        <v>0</v>
      </c>
      <c r="J23">
        <f>SUMIFS(Social_Post!$I$3:$I$566,Social_Post!$A$3:$A$566,H23)</f>
        <v>0</v>
      </c>
      <c r="K23" s="5">
        <f>I23/SUM(Question_Bank!$M$3:$M$14)</f>
        <v>0</v>
      </c>
      <c r="L23" s="5">
        <f>J23/SUM(Question_Bank!$M$3:$M$14)</f>
        <v>0</v>
      </c>
      <c r="M23">
        <f>J23-I23</f>
        <v>0</v>
      </c>
      <c r="N23" s="6">
        <f>(L23-K23)*100</f>
        <v>0</v>
      </c>
      <c r="O23">
        <f>IF(M23&gt;=$B$23,"Substantial",IF(M23&gt;=$B$24,"Modest",IF(M23=0,"Unchanged","Lower")))</f>
        <v>0</v>
      </c>
      <c r="P23" t="s">
        <v>172</v>
      </c>
    </row>
    <row r="24" spans="1:16">
      <c r="A24" t="s">
        <v>256</v>
      </c>
      <c r="B24">
        <v>1</v>
      </c>
      <c r="C24">
        <f>COUNTIF($M$4:$M$50,"&gt;="&amp;B24)-COUNTIF($M$4:$M$50,"&gt;="&amp;B23)</f>
        <v>0</v>
      </c>
      <c r="D24" s="5">
        <f>C24/$B$4</f>
        <v>0</v>
      </c>
      <c r="H24" t="s">
        <v>173</v>
      </c>
      <c r="I24">
        <f>SUMIFS(Social_Pre!$I$3:$I$566,Social_Pre!$A$3:$A$566,H24)</f>
        <v>0</v>
      </c>
      <c r="J24">
        <f>SUMIFS(Social_Post!$I$3:$I$566,Social_Post!$A$3:$A$566,H24)</f>
        <v>0</v>
      </c>
      <c r="K24" s="5">
        <f>I24/SUM(Question_Bank!$M$3:$M$14)</f>
        <v>0</v>
      </c>
      <c r="L24" s="5">
        <f>J24/SUM(Question_Bank!$M$3:$M$14)</f>
        <v>0</v>
      </c>
      <c r="M24">
        <f>J24-I24</f>
        <v>0</v>
      </c>
      <c r="N24" s="6">
        <f>(L24-K24)*100</f>
        <v>0</v>
      </c>
      <c r="O24">
        <f>IF(M24&gt;=$B$23,"Substantial",IF(M24&gt;=$B$24,"Modest",IF(M24=0,"Unchanged","Lower")))</f>
        <v>0</v>
      </c>
      <c r="P24" t="s">
        <v>174</v>
      </c>
    </row>
    <row r="25" spans="1:16">
      <c r="A25" t="s">
        <v>257</v>
      </c>
      <c r="B25">
        <v>0</v>
      </c>
      <c r="C25">
        <f>COUNTIF($M$4:$M$50,0)</f>
        <v>0</v>
      </c>
      <c r="D25" s="5">
        <f>C25/$B$4</f>
        <v>0</v>
      </c>
      <c r="H25" t="s">
        <v>175</v>
      </c>
      <c r="I25">
        <f>SUMIFS(Social_Pre!$I$3:$I$566,Social_Pre!$A$3:$A$566,H25)</f>
        <v>0</v>
      </c>
      <c r="J25">
        <f>SUMIFS(Social_Post!$I$3:$I$566,Social_Post!$A$3:$A$566,H25)</f>
        <v>0</v>
      </c>
      <c r="K25" s="5">
        <f>I25/SUM(Question_Bank!$M$3:$M$14)</f>
        <v>0</v>
      </c>
      <c r="L25" s="5">
        <f>J25/SUM(Question_Bank!$M$3:$M$14)</f>
        <v>0</v>
      </c>
      <c r="M25">
        <f>J25-I25</f>
        <v>0</v>
      </c>
      <c r="N25" s="6">
        <f>(L25-K25)*100</f>
        <v>0</v>
      </c>
      <c r="O25">
        <f>IF(M25&gt;=$B$23,"Substantial",IF(M25&gt;=$B$24,"Modest",IF(M25=0,"Unchanged","Lower")))</f>
        <v>0</v>
      </c>
      <c r="P25" t="s">
        <v>176</v>
      </c>
    </row>
    <row r="26" spans="1:16">
      <c r="A26" t="s">
        <v>258</v>
      </c>
      <c r="B26" t="s">
        <v>259</v>
      </c>
      <c r="C26">
        <f>COUNTIF($M$4:$M$50,"&lt;0")</f>
        <v>0</v>
      </c>
      <c r="D26" s="5">
        <f>C26/$B$4</f>
        <v>0</v>
      </c>
      <c r="H26" t="s">
        <v>177</v>
      </c>
      <c r="I26">
        <f>SUMIFS(Social_Pre!$I$3:$I$566,Social_Pre!$A$3:$A$566,H26)</f>
        <v>0</v>
      </c>
      <c r="J26">
        <f>SUMIFS(Social_Post!$I$3:$I$566,Social_Post!$A$3:$A$566,H26)</f>
        <v>0</v>
      </c>
      <c r="K26" s="5">
        <f>I26/SUM(Question_Bank!$M$3:$M$14)</f>
        <v>0</v>
      </c>
      <c r="L26" s="5">
        <f>J26/SUM(Question_Bank!$M$3:$M$14)</f>
        <v>0</v>
      </c>
      <c r="M26">
        <f>J26-I26</f>
        <v>0</v>
      </c>
      <c r="N26" s="6">
        <f>(L26-K26)*100</f>
        <v>0</v>
      </c>
      <c r="O26">
        <f>IF(M26&gt;=$B$23,"Substantial",IF(M26&gt;=$B$24,"Modest",IF(M26=0,"Unchanged","Lower")))</f>
        <v>0</v>
      </c>
      <c r="P26" t="s">
        <v>178</v>
      </c>
    </row>
    <row r="27" spans="1:16">
      <c r="H27" t="s">
        <v>179</v>
      </c>
      <c r="I27">
        <f>SUMIFS(Social_Pre!$I$3:$I$566,Social_Pre!$A$3:$A$566,H27)</f>
        <v>0</v>
      </c>
      <c r="J27">
        <f>SUMIFS(Social_Post!$I$3:$I$566,Social_Post!$A$3:$A$566,H27)</f>
        <v>0</v>
      </c>
      <c r="K27" s="5">
        <f>I27/SUM(Question_Bank!$M$3:$M$14)</f>
        <v>0</v>
      </c>
      <c r="L27" s="5">
        <f>J27/SUM(Question_Bank!$M$3:$M$14)</f>
        <v>0</v>
      </c>
      <c r="M27">
        <f>J27-I27</f>
        <v>0</v>
      </c>
      <c r="N27" s="6">
        <f>(L27-K27)*100</f>
        <v>0</v>
      </c>
      <c r="O27">
        <f>IF(M27&gt;=$B$23,"Substantial",IF(M27&gt;=$B$24,"Modest",IF(M27=0,"Unchanged","Lower")))</f>
        <v>0</v>
      </c>
      <c r="P27" t="s">
        <v>180</v>
      </c>
    </row>
    <row r="28" spans="1:16">
      <c r="H28" t="s">
        <v>181</v>
      </c>
      <c r="I28">
        <f>SUMIFS(Social_Pre!$I$3:$I$566,Social_Pre!$A$3:$A$566,H28)</f>
        <v>0</v>
      </c>
      <c r="J28">
        <f>SUMIFS(Social_Post!$I$3:$I$566,Social_Post!$A$3:$A$566,H28)</f>
        <v>0</v>
      </c>
      <c r="K28" s="5">
        <f>I28/SUM(Question_Bank!$M$3:$M$14)</f>
        <v>0</v>
      </c>
      <c r="L28" s="5">
        <f>J28/SUM(Question_Bank!$M$3:$M$14)</f>
        <v>0</v>
      </c>
      <c r="M28">
        <f>J28-I28</f>
        <v>0</v>
      </c>
      <c r="N28" s="6">
        <f>(L28-K28)*100</f>
        <v>0</v>
      </c>
      <c r="O28">
        <f>IF(M28&gt;=$B$23,"Substantial",IF(M28&gt;=$B$24,"Modest",IF(M28=0,"Unchanged","Lower")))</f>
        <v>0</v>
      </c>
      <c r="P28" t="s">
        <v>182</v>
      </c>
    </row>
    <row r="29" spans="1:16">
      <c r="A29" s="4" t="s">
        <v>260</v>
      </c>
      <c r="B29" s="4" t="s">
        <v>253</v>
      </c>
      <c r="H29" t="s">
        <v>183</v>
      </c>
      <c r="I29">
        <f>SUMIFS(Social_Pre!$I$3:$I$566,Social_Pre!$A$3:$A$566,H29)</f>
        <v>0</v>
      </c>
      <c r="J29">
        <f>SUMIFS(Social_Post!$I$3:$I$566,Social_Post!$A$3:$A$566,H29)</f>
        <v>0</v>
      </c>
      <c r="K29" s="5">
        <f>I29/SUM(Question_Bank!$M$3:$M$14)</f>
        <v>0</v>
      </c>
      <c r="L29" s="5">
        <f>J29/SUM(Question_Bank!$M$3:$M$14)</f>
        <v>0</v>
      </c>
      <c r="M29">
        <f>J29-I29</f>
        <v>0</v>
      </c>
      <c r="N29" s="6">
        <f>(L29-K29)*100</f>
        <v>0</v>
      </c>
      <c r="O29">
        <f>IF(M29&gt;=$B$23,"Substantial",IF(M29&gt;=$B$24,"Modest",IF(M29=0,"Unchanged","Lower")))</f>
        <v>0</v>
      </c>
      <c r="P29" t="s">
        <v>184</v>
      </c>
    </row>
    <row r="30" spans="1:16">
      <c r="A30">
        <v>-6</v>
      </c>
      <c r="B30">
        <f>COUNTIF($M$4:$M$50,A30)</f>
        <v>0</v>
      </c>
      <c r="H30" t="s">
        <v>185</v>
      </c>
      <c r="I30">
        <f>SUMIFS(Social_Pre!$I$3:$I$566,Social_Pre!$A$3:$A$566,H30)</f>
        <v>0</v>
      </c>
      <c r="J30">
        <f>SUMIFS(Social_Post!$I$3:$I$566,Social_Post!$A$3:$A$566,H30)</f>
        <v>0</v>
      </c>
      <c r="K30" s="5">
        <f>I30/SUM(Question_Bank!$M$3:$M$14)</f>
        <v>0</v>
      </c>
      <c r="L30" s="5">
        <f>J30/SUM(Question_Bank!$M$3:$M$14)</f>
        <v>0</v>
      </c>
      <c r="M30">
        <f>J30-I30</f>
        <v>0</v>
      </c>
      <c r="N30" s="6">
        <f>(L30-K30)*100</f>
        <v>0</v>
      </c>
      <c r="O30">
        <f>IF(M30&gt;=$B$23,"Substantial",IF(M30&gt;=$B$24,"Modest",IF(M30=0,"Unchanged","Lower")))</f>
        <v>0</v>
      </c>
      <c r="P30" t="s">
        <v>186</v>
      </c>
    </row>
    <row r="31" spans="1:16">
      <c r="A31">
        <v>-5</v>
      </c>
      <c r="B31">
        <f>COUNTIF($M$4:$M$50,A31)</f>
        <v>0</v>
      </c>
      <c r="H31" t="s">
        <v>187</v>
      </c>
      <c r="I31">
        <f>SUMIFS(Social_Pre!$I$3:$I$566,Social_Pre!$A$3:$A$566,H31)</f>
        <v>0</v>
      </c>
      <c r="J31">
        <f>SUMIFS(Social_Post!$I$3:$I$566,Social_Post!$A$3:$A$566,H31)</f>
        <v>0</v>
      </c>
      <c r="K31" s="5">
        <f>I31/SUM(Question_Bank!$M$3:$M$14)</f>
        <v>0</v>
      </c>
      <c r="L31" s="5">
        <f>J31/SUM(Question_Bank!$M$3:$M$14)</f>
        <v>0</v>
      </c>
      <c r="M31">
        <f>J31-I31</f>
        <v>0</v>
      </c>
      <c r="N31" s="6">
        <f>(L31-K31)*100</f>
        <v>0</v>
      </c>
      <c r="O31">
        <f>IF(M31&gt;=$B$23,"Substantial",IF(M31&gt;=$B$24,"Modest",IF(M31=0,"Unchanged","Lower")))</f>
        <v>0</v>
      </c>
      <c r="P31" t="s">
        <v>188</v>
      </c>
    </row>
    <row r="32" spans="1:16">
      <c r="A32">
        <v>-4</v>
      </c>
      <c r="B32">
        <f>COUNTIF($M$4:$M$50,A32)</f>
        <v>0</v>
      </c>
      <c r="H32" t="s">
        <v>189</v>
      </c>
      <c r="I32">
        <f>SUMIFS(Social_Pre!$I$3:$I$566,Social_Pre!$A$3:$A$566,H32)</f>
        <v>0</v>
      </c>
      <c r="J32">
        <f>SUMIFS(Social_Post!$I$3:$I$566,Social_Post!$A$3:$A$566,H32)</f>
        <v>0</v>
      </c>
      <c r="K32" s="5">
        <f>I32/SUM(Question_Bank!$M$3:$M$14)</f>
        <v>0</v>
      </c>
      <c r="L32" s="5">
        <f>J32/SUM(Question_Bank!$M$3:$M$14)</f>
        <v>0</v>
      </c>
      <c r="M32">
        <f>J32-I32</f>
        <v>0</v>
      </c>
      <c r="N32" s="6">
        <f>(L32-K32)*100</f>
        <v>0</v>
      </c>
      <c r="O32">
        <f>IF(M32&gt;=$B$23,"Substantial",IF(M32&gt;=$B$24,"Modest",IF(M32=0,"Unchanged","Lower")))</f>
        <v>0</v>
      </c>
      <c r="P32" t="s">
        <v>190</v>
      </c>
    </row>
    <row r="33" spans="1:16">
      <c r="A33">
        <v>-3</v>
      </c>
      <c r="B33">
        <f>COUNTIF($M$4:$M$50,A33)</f>
        <v>0</v>
      </c>
      <c r="H33" t="s">
        <v>191</v>
      </c>
      <c r="I33">
        <f>SUMIFS(Social_Pre!$I$3:$I$566,Social_Pre!$A$3:$A$566,H33)</f>
        <v>0</v>
      </c>
      <c r="J33">
        <f>SUMIFS(Social_Post!$I$3:$I$566,Social_Post!$A$3:$A$566,H33)</f>
        <v>0</v>
      </c>
      <c r="K33" s="5">
        <f>I33/SUM(Question_Bank!$M$3:$M$14)</f>
        <v>0</v>
      </c>
      <c r="L33" s="5">
        <f>J33/SUM(Question_Bank!$M$3:$M$14)</f>
        <v>0</v>
      </c>
      <c r="M33">
        <f>J33-I33</f>
        <v>0</v>
      </c>
      <c r="N33" s="6">
        <f>(L33-K33)*100</f>
        <v>0</v>
      </c>
      <c r="O33">
        <f>IF(M33&gt;=$B$23,"Substantial",IF(M33&gt;=$B$24,"Modest",IF(M33=0,"Unchanged","Lower")))</f>
        <v>0</v>
      </c>
      <c r="P33" t="s">
        <v>192</v>
      </c>
    </row>
    <row r="34" spans="1:16">
      <c r="A34">
        <v>-2</v>
      </c>
      <c r="B34">
        <f>COUNTIF($M$4:$M$50,A34)</f>
        <v>0</v>
      </c>
      <c r="H34" t="s">
        <v>193</v>
      </c>
      <c r="I34">
        <f>SUMIFS(Social_Pre!$I$3:$I$566,Social_Pre!$A$3:$A$566,H34)</f>
        <v>0</v>
      </c>
      <c r="J34">
        <f>SUMIFS(Social_Post!$I$3:$I$566,Social_Post!$A$3:$A$566,H34)</f>
        <v>0</v>
      </c>
      <c r="K34" s="5">
        <f>I34/SUM(Question_Bank!$M$3:$M$14)</f>
        <v>0</v>
      </c>
      <c r="L34" s="5">
        <f>J34/SUM(Question_Bank!$M$3:$M$14)</f>
        <v>0</v>
      </c>
      <c r="M34">
        <f>J34-I34</f>
        <v>0</v>
      </c>
      <c r="N34" s="6">
        <f>(L34-K34)*100</f>
        <v>0</v>
      </c>
      <c r="O34">
        <f>IF(M34&gt;=$B$23,"Substantial",IF(M34&gt;=$B$24,"Modest",IF(M34=0,"Unchanged","Lower")))</f>
        <v>0</v>
      </c>
      <c r="P34" t="s">
        <v>194</v>
      </c>
    </row>
    <row r="35" spans="1:16">
      <c r="A35">
        <v>-1</v>
      </c>
      <c r="B35">
        <f>COUNTIF($M$4:$M$50,A35)</f>
        <v>0</v>
      </c>
      <c r="H35" t="s">
        <v>195</v>
      </c>
      <c r="I35">
        <f>SUMIFS(Social_Pre!$I$3:$I$566,Social_Pre!$A$3:$A$566,H35)</f>
        <v>0</v>
      </c>
      <c r="J35">
        <f>SUMIFS(Social_Post!$I$3:$I$566,Social_Post!$A$3:$A$566,H35)</f>
        <v>0</v>
      </c>
      <c r="K35" s="5">
        <f>I35/SUM(Question_Bank!$M$3:$M$14)</f>
        <v>0</v>
      </c>
      <c r="L35" s="5">
        <f>J35/SUM(Question_Bank!$M$3:$M$14)</f>
        <v>0</v>
      </c>
      <c r="M35">
        <f>J35-I35</f>
        <v>0</v>
      </c>
      <c r="N35" s="6">
        <f>(L35-K35)*100</f>
        <v>0</v>
      </c>
      <c r="O35">
        <f>IF(M35&gt;=$B$23,"Substantial",IF(M35&gt;=$B$24,"Modest",IF(M35=0,"Unchanged","Lower")))</f>
        <v>0</v>
      </c>
      <c r="P35" t="s">
        <v>196</v>
      </c>
    </row>
    <row r="36" spans="1:16">
      <c r="A36">
        <v>0</v>
      </c>
      <c r="B36">
        <f>COUNTIF($M$4:$M$50,A36)</f>
        <v>0</v>
      </c>
      <c r="H36" t="s">
        <v>197</v>
      </c>
      <c r="I36">
        <f>SUMIFS(Social_Pre!$I$3:$I$566,Social_Pre!$A$3:$A$566,H36)</f>
        <v>0</v>
      </c>
      <c r="J36">
        <f>SUMIFS(Social_Post!$I$3:$I$566,Social_Post!$A$3:$A$566,H36)</f>
        <v>0</v>
      </c>
      <c r="K36" s="5">
        <f>I36/SUM(Question_Bank!$M$3:$M$14)</f>
        <v>0</v>
      </c>
      <c r="L36" s="5">
        <f>J36/SUM(Question_Bank!$M$3:$M$14)</f>
        <v>0</v>
      </c>
      <c r="M36">
        <f>J36-I36</f>
        <v>0</v>
      </c>
      <c r="N36" s="6">
        <f>(L36-K36)*100</f>
        <v>0</v>
      </c>
      <c r="O36">
        <f>IF(M36&gt;=$B$23,"Substantial",IF(M36&gt;=$B$24,"Modest",IF(M36=0,"Unchanged","Lower")))</f>
        <v>0</v>
      </c>
      <c r="P36" t="s">
        <v>198</v>
      </c>
    </row>
    <row r="37" spans="1:16">
      <c r="A37">
        <v>1</v>
      </c>
      <c r="B37">
        <f>COUNTIF($M$4:$M$50,A37)</f>
        <v>0</v>
      </c>
      <c r="H37" t="s">
        <v>199</v>
      </c>
      <c r="I37">
        <f>SUMIFS(Social_Pre!$I$3:$I$566,Social_Pre!$A$3:$A$566,H37)</f>
        <v>0</v>
      </c>
      <c r="J37">
        <f>SUMIFS(Social_Post!$I$3:$I$566,Social_Post!$A$3:$A$566,H37)</f>
        <v>0</v>
      </c>
      <c r="K37" s="5">
        <f>I37/SUM(Question_Bank!$M$3:$M$14)</f>
        <v>0</v>
      </c>
      <c r="L37" s="5">
        <f>J37/SUM(Question_Bank!$M$3:$M$14)</f>
        <v>0</v>
      </c>
      <c r="M37">
        <f>J37-I37</f>
        <v>0</v>
      </c>
      <c r="N37" s="6">
        <f>(L37-K37)*100</f>
        <v>0</v>
      </c>
      <c r="O37">
        <f>IF(M37&gt;=$B$23,"Substantial",IF(M37&gt;=$B$24,"Modest",IF(M37=0,"Unchanged","Lower")))</f>
        <v>0</v>
      </c>
      <c r="P37" t="s">
        <v>200</v>
      </c>
    </row>
    <row r="38" spans="1:16">
      <c r="A38">
        <v>2</v>
      </c>
      <c r="B38">
        <f>COUNTIF($M$4:$M$50,A38)</f>
        <v>0</v>
      </c>
      <c r="H38" t="s">
        <v>201</v>
      </c>
      <c r="I38">
        <f>SUMIFS(Social_Pre!$I$3:$I$566,Social_Pre!$A$3:$A$566,H38)</f>
        <v>0</v>
      </c>
      <c r="J38">
        <f>SUMIFS(Social_Post!$I$3:$I$566,Social_Post!$A$3:$A$566,H38)</f>
        <v>0</v>
      </c>
      <c r="K38" s="5">
        <f>I38/SUM(Question_Bank!$M$3:$M$14)</f>
        <v>0</v>
      </c>
      <c r="L38" s="5">
        <f>J38/SUM(Question_Bank!$M$3:$M$14)</f>
        <v>0</v>
      </c>
      <c r="M38">
        <f>J38-I38</f>
        <v>0</v>
      </c>
      <c r="N38" s="6">
        <f>(L38-K38)*100</f>
        <v>0</v>
      </c>
      <c r="O38">
        <f>IF(M38&gt;=$B$23,"Substantial",IF(M38&gt;=$B$24,"Modest",IF(M38=0,"Unchanged","Lower")))</f>
        <v>0</v>
      </c>
      <c r="P38" t="s">
        <v>202</v>
      </c>
    </row>
    <row r="39" spans="1:16">
      <c r="A39">
        <v>3</v>
      </c>
      <c r="B39">
        <f>COUNTIF($M$4:$M$50,A39)</f>
        <v>0</v>
      </c>
      <c r="H39" t="s">
        <v>203</v>
      </c>
      <c r="I39">
        <f>SUMIFS(Social_Pre!$I$3:$I$566,Social_Pre!$A$3:$A$566,H39)</f>
        <v>0</v>
      </c>
      <c r="J39">
        <f>SUMIFS(Social_Post!$I$3:$I$566,Social_Post!$A$3:$A$566,H39)</f>
        <v>0</v>
      </c>
      <c r="K39" s="5">
        <f>I39/SUM(Question_Bank!$M$3:$M$14)</f>
        <v>0</v>
      </c>
      <c r="L39" s="5">
        <f>J39/SUM(Question_Bank!$M$3:$M$14)</f>
        <v>0</v>
      </c>
      <c r="M39">
        <f>J39-I39</f>
        <v>0</v>
      </c>
      <c r="N39" s="6">
        <f>(L39-K39)*100</f>
        <v>0</v>
      </c>
      <c r="O39">
        <f>IF(M39&gt;=$B$23,"Substantial",IF(M39&gt;=$B$24,"Modest",IF(M39=0,"Unchanged","Lower")))</f>
        <v>0</v>
      </c>
      <c r="P39" t="s">
        <v>204</v>
      </c>
    </row>
    <row r="40" spans="1:16">
      <c r="A40">
        <v>4</v>
      </c>
      <c r="B40">
        <f>COUNTIF($M$4:$M$50,A40)</f>
        <v>0</v>
      </c>
      <c r="H40" t="s">
        <v>205</v>
      </c>
      <c r="I40">
        <f>SUMIFS(Social_Pre!$I$3:$I$566,Social_Pre!$A$3:$A$566,H40)</f>
        <v>0</v>
      </c>
      <c r="J40">
        <f>SUMIFS(Social_Post!$I$3:$I$566,Social_Post!$A$3:$A$566,H40)</f>
        <v>0</v>
      </c>
      <c r="K40" s="5">
        <f>I40/SUM(Question_Bank!$M$3:$M$14)</f>
        <v>0</v>
      </c>
      <c r="L40" s="5">
        <f>J40/SUM(Question_Bank!$M$3:$M$14)</f>
        <v>0</v>
      </c>
      <c r="M40">
        <f>J40-I40</f>
        <v>0</v>
      </c>
      <c r="N40" s="6">
        <f>(L40-K40)*100</f>
        <v>0</v>
      </c>
      <c r="O40">
        <f>IF(M40&gt;=$B$23,"Substantial",IF(M40&gt;=$B$24,"Modest",IF(M40=0,"Unchanged","Lower")))</f>
        <v>0</v>
      </c>
      <c r="P40" t="s">
        <v>206</v>
      </c>
    </row>
    <row r="41" spans="1:16">
      <c r="A41">
        <v>5</v>
      </c>
      <c r="B41">
        <f>COUNTIF($M$4:$M$50,A41)</f>
        <v>0</v>
      </c>
      <c r="H41" t="s">
        <v>207</v>
      </c>
      <c r="I41">
        <f>SUMIFS(Social_Pre!$I$3:$I$566,Social_Pre!$A$3:$A$566,H41)</f>
        <v>0</v>
      </c>
      <c r="J41">
        <f>SUMIFS(Social_Post!$I$3:$I$566,Social_Post!$A$3:$A$566,H41)</f>
        <v>0</v>
      </c>
      <c r="K41" s="5">
        <f>I41/SUM(Question_Bank!$M$3:$M$14)</f>
        <v>0</v>
      </c>
      <c r="L41" s="5">
        <f>J41/SUM(Question_Bank!$M$3:$M$14)</f>
        <v>0</v>
      </c>
      <c r="M41">
        <f>J41-I41</f>
        <v>0</v>
      </c>
      <c r="N41" s="6">
        <f>(L41-K41)*100</f>
        <v>0</v>
      </c>
      <c r="O41">
        <f>IF(M41&gt;=$B$23,"Substantial",IF(M41&gt;=$B$24,"Modest",IF(M41=0,"Unchanged","Lower")))</f>
        <v>0</v>
      </c>
      <c r="P41" t="s">
        <v>208</v>
      </c>
    </row>
    <row r="42" spans="1:16">
      <c r="A42">
        <v>6</v>
      </c>
      <c r="B42">
        <f>COUNTIF($M$4:$M$50,A42)</f>
        <v>0</v>
      </c>
      <c r="H42" t="s">
        <v>209</v>
      </c>
      <c r="I42">
        <f>SUMIFS(Social_Pre!$I$3:$I$566,Social_Pre!$A$3:$A$566,H42)</f>
        <v>0</v>
      </c>
      <c r="J42">
        <f>SUMIFS(Social_Post!$I$3:$I$566,Social_Post!$A$3:$A$566,H42)</f>
        <v>0</v>
      </c>
      <c r="K42" s="5">
        <f>I42/SUM(Question_Bank!$M$3:$M$14)</f>
        <v>0</v>
      </c>
      <c r="L42" s="5">
        <f>J42/SUM(Question_Bank!$M$3:$M$14)</f>
        <v>0</v>
      </c>
      <c r="M42">
        <f>J42-I42</f>
        <v>0</v>
      </c>
      <c r="N42" s="6">
        <f>(L42-K42)*100</f>
        <v>0</v>
      </c>
      <c r="O42">
        <f>IF(M42&gt;=$B$23,"Substantial",IF(M42&gt;=$B$24,"Modest",IF(M42=0,"Unchanged","Lower")))</f>
        <v>0</v>
      </c>
      <c r="P42" t="s">
        <v>210</v>
      </c>
    </row>
    <row r="43" spans="1:16">
      <c r="A43">
        <v>7</v>
      </c>
      <c r="B43">
        <f>COUNTIF($M$4:$M$50,A43)</f>
        <v>0</v>
      </c>
      <c r="H43" t="s">
        <v>211</v>
      </c>
      <c r="I43">
        <f>SUMIFS(Social_Pre!$I$3:$I$566,Social_Pre!$A$3:$A$566,H43)</f>
        <v>0</v>
      </c>
      <c r="J43">
        <f>SUMIFS(Social_Post!$I$3:$I$566,Social_Post!$A$3:$A$566,H43)</f>
        <v>0</v>
      </c>
      <c r="K43" s="5">
        <f>I43/SUM(Question_Bank!$M$3:$M$14)</f>
        <v>0</v>
      </c>
      <c r="L43" s="5">
        <f>J43/SUM(Question_Bank!$M$3:$M$14)</f>
        <v>0</v>
      </c>
      <c r="M43">
        <f>J43-I43</f>
        <v>0</v>
      </c>
      <c r="N43" s="6">
        <f>(L43-K43)*100</f>
        <v>0</v>
      </c>
      <c r="O43">
        <f>IF(M43&gt;=$B$23,"Substantial",IF(M43&gt;=$B$24,"Modest",IF(M43=0,"Unchanged","Lower")))</f>
        <v>0</v>
      </c>
      <c r="P43" t="s">
        <v>212</v>
      </c>
    </row>
    <row r="44" spans="1:16">
      <c r="A44">
        <v>8</v>
      </c>
      <c r="B44">
        <f>COUNTIF($M$4:$M$50,A44)</f>
        <v>0</v>
      </c>
      <c r="H44" t="s">
        <v>213</v>
      </c>
      <c r="I44">
        <f>SUMIFS(Social_Pre!$I$3:$I$566,Social_Pre!$A$3:$A$566,H44)</f>
        <v>0</v>
      </c>
      <c r="J44">
        <f>SUMIFS(Social_Post!$I$3:$I$566,Social_Post!$A$3:$A$566,H44)</f>
        <v>0</v>
      </c>
      <c r="K44" s="5">
        <f>I44/SUM(Question_Bank!$M$3:$M$14)</f>
        <v>0</v>
      </c>
      <c r="L44" s="5">
        <f>J44/SUM(Question_Bank!$M$3:$M$14)</f>
        <v>0</v>
      </c>
      <c r="M44">
        <f>J44-I44</f>
        <v>0</v>
      </c>
      <c r="N44" s="6">
        <f>(L44-K44)*100</f>
        <v>0</v>
      </c>
      <c r="O44">
        <f>IF(M44&gt;=$B$23,"Substantial",IF(M44&gt;=$B$24,"Modest",IF(M44=0,"Unchanged","Lower")))</f>
        <v>0</v>
      </c>
      <c r="P44" t="s">
        <v>214</v>
      </c>
    </row>
    <row r="45" spans="1:16">
      <c r="A45">
        <v>9</v>
      </c>
      <c r="B45">
        <f>COUNTIF($M$4:$M$50,A45)</f>
        <v>0</v>
      </c>
      <c r="H45" t="s">
        <v>215</v>
      </c>
      <c r="I45">
        <f>SUMIFS(Social_Pre!$I$3:$I$566,Social_Pre!$A$3:$A$566,H45)</f>
        <v>0</v>
      </c>
      <c r="J45">
        <f>SUMIFS(Social_Post!$I$3:$I$566,Social_Post!$A$3:$A$566,H45)</f>
        <v>0</v>
      </c>
      <c r="K45" s="5">
        <f>I45/SUM(Question_Bank!$M$3:$M$14)</f>
        <v>0</v>
      </c>
      <c r="L45" s="5">
        <f>J45/SUM(Question_Bank!$M$3:$M$14)</f>
        <v>0</v>
      </c>
      <c r="M45">
        <f>J45-I45</f>
        <v>0</v>
      </c>
      <c r="N45" s="6">
        <f>(L45-K45)*100</f>
        <v>0</v>
      </c>
      <c r="O45">
        <f>IF(M45&gt;=$B$23,"Substantial",IF(M45&gt;=$B$24,"Modest",IF(M45=0,"Unchanged","Lower")))</f>
        <v>0</v>
      </c>
      <c r="P45" t="s">
        <v>216</v>
      </c>
    </row>
    <row r="46" spans="1:16">
      <c r="A46">
        <v>10</v>
      </c>
      <c r="B46">
        <f>COUNTIF($M$4:$M$50,A46)</f>
        <v>0</v>
      </c>
      <c r="H46" t="s">
        <v>217</v>
      </c>
      <c r="I46">
        <f>SUMIFS(Social_Pre!$I$3:$I$566,Social_Pre!$A$3:$A$566,H46)</f>
        <v>0</v>
      </c>
      <c r="J46">
        <f>SUMIFS(Social_Post!$I$3:$I$566,Social_Post!$A$3:$A$566,H46)</f>
        <v>0</v>
      </c>
      <c r="K46" s="5">
        <f>I46/SUM(Question_Bank!$M$3:$M$14)</f>
        <v>0</v>
      </c>
      <c r="L46" s="5">
        <f>J46/SUM(Question_Bank!$M$3:$M$14)</f>
        <v>0</v>
      </c>
      <c r="M46">
        <f>J46-I46</f>
        <v>0</v>
      </c>
      <c r="N46" s="6">
        <f>(L46-K46)*100</f>
        <v>0</v>
      </c>
      <c r="O46">
        <f>IF(M46&gt;=$B$23,"Substantial",IF(M46&gt;=$B$24,"Modest",IF(M46=0,"Unchanged","Lower")))</f>
        <v>0</v>
      </c>
      <c r="P46" t="s">
        <v>218</v>
      </c>
    </row>
    <row r="47" spans="1:16">
      <c r="H47" t="s">
        <v>219</v>
      </c>
      <c r="I47">
        <f>SUMIFS(Social_Pre!$I$3:$I$566,Social_Pre!$A$3:$A$566,H47)</f>
        <v>0</v>
      </c>
      <c r="J47">
        <f>SUMIFS(Social_Post!$I$3:$I$566,Social_Post!$A$3:$A$566,H47)</f>
        <v>0</v>
      </c>
      <c r="K47" s="5">
        <f>I47/SUM(Question_Bank!$M$3:$M$14)</f>
        <v>0</v>
      </c>
      <c r="L47" s="5">
        <f>J47/SUM(Question_Bank!$M$3:$M$14)</f>
        <v>0</v>
      </c>
      <c r="M47">
        <f>J47-I47</f>
        <v>0</v>
      </c>
      <c r="N47" s="6">
        <f>(L47-K47)*100</f>
        <v>0</v>
      </c>
      <c r="O47">
        <f>IF(M47&gt;=$B$23,"Substantial",IF(M47&gt;=$B$24,"Modest",IF(M47=0,"Unchanged","Lower")))</f>
        <v>0</v>
      </c>
      <c r="P47" t="s">
        <v>220</v>
      </c>
    </row>
    <row r="48" spans="1:16">
      <c r="A48" s="4" t="s">
        <v>261</v>
      </c>
      <c r="B48" s="4" t="s">
        <v>3</v>
      </c>
      <c r="C48" s="4" t="s">
        <v>248</v>
      </c>
      <c r="D48" s="4" t="s">
        <v>249</v>
      </c>
      <c r="E48" s="4" t="s">
        <v>250</v>
      </c>
      <c r="F48" s="4" t="s">
        <v>251</v>
      </c>
      <c r="H48" t="s">
        <v>221</v>
      </c>
      <c r="I48">
        <f>SUMIFS(Social_Pre!$I$3:$I$566,Social_Pre!$A$3:$A$566,H48)</f>
        <v>0</v>
      </c>
      <c r="J48">
        <f>SUMIFS(Social_Post!$I$3:$I$566,Social_Post!$A$3:$A$566,H48)</f>
        <v>0</v>
      </c>
      <c r="K48" s="5">
        <f>I48/SUM(Question_Bank!$M$3:$M$14)</f>
        <v>0</v>
      </c>
      <c r="L48" s="5">
        <f>J48/SUM(Question_Bank!$M$3:$M$14)</f>
        <v>0</v>
      </c>
      <c r="M48">
        <f>J48-I48</f>
        <v>0</v>
      </c>
      <c r="N48" s="6">
        <f>(L48-K48)*100</f>
        <v>0</v>
      </c>
      <c r="O48">
        <f>IF(M48&gt;=$B$23,"Substantial",IF(M48&gt;=$B$24,"Modest",IF(M48=0,"Unchanged","Lower")))</f>
        <v>0</v>
      </c>
      <c r="P48" t="s">
        <v>222</v>
      </c>
    </row>
    <row r="49" spans="1:16">
      <c r="A49" t="s">
        <v>14</v>
      </c>
      <c r="B49" t="s">
        <v>16</v>
      </c>
      <c r="C49" s="5">
        <f>SUMIFS(Social_Pre!$H$3:$H$566,Social_Pre!$D$3:$D$566,$A49)/COUNTIFS(Social_Pre!$D$3:$D$566,$A49)</f>
        <v>0</v>
      </c>
      <c r="D49" s="5">
        <f>SUMIFS(Social_Post!$H$3:$H$566,Social_Post!$D$3:$D$566,$A49)/COUNTIFS(Social_Post!$D$3:$D$566,$A49)</f>
        <v>0</v>
      </c>
      <c r="E49" s="6">
        <f>(D49-C49)*100</f>
        <v>0</v>
      </c>
      <c r="F49">
        <f>IF(D49&lt;$B$13,"Misconception remains",IF(E49&gt;=25,"Large gain",""))</f>
        <v>0</v>
      </c>
      <c r="H49" t="s">
        <v>223</v>
      </c>
      <c r="I49">
        <f>SUMIFS(Social_Pre!$I$3:$I$566,Social_Pre!$A$3:$A$566,H49)</f>
        <v>0</v>
      </c>
      <c r="J49">
        <f>SUMIFS(Social_Post!$I$3:$I$566,Social_Post!$A$3:$A$566,H49)</f>
        <v>0</v>
      </c>
      <c r="K49" s="5">
        <f>I49/SUM(Question_Bank!$M$3:$M$14)</f>
        <v>0</v>
      </c>
      <c r="L49" s="5">
        <f>J49/SUM(Question_Bank!$M$3:$M$14)</f>
        <v>0</v>
      </c>
      <c r="M49">
        <f>J49-I49</f>
        <v>0</v>
      </c>
      <c r="N49" s="6">
        <f>(L49-K49)*100</f>
        <v>0</v>
      </c>
      <c r="O49">
        <f>IF(M49&gt;=$B$23,"Substantial",IF(M49&gt;=$B$24,"Modest",IF(M49=0,"Unchanged","Lower")))</f>
        <v>0</v>
      </c>
      <c r="P49" t="s">
        <v>224</v>
      </c>
    </row>
    <row r="50" spans="1:16">
      <c r="A50" t="s">
        <v>26</v>
      </c>
      <c r="B50" t="s">
        <v>27</v>
      </c>
      <c r="C50" s="5">
        <f>SUMIFS(Social_Pre!$H$3:$H$566,Social_Pre!$D$3:$D$566,$A50)/COUNTIFS(Social_Pre!$D$3:$D$566,$A50)</f>
        <v>0</v>
      </c>
      <c r="D50" s="5">
        <f>SUMIFS(Social_Post!$H$3:$H$566,Social_Post!$D$3:$D$566,$A50)/COUNTIFS(Social_Post!$D$3:$D$566,$A50)</f>
        <v>0</v>
      </c>
      <c r="E50" s="6">
        <f>(D50-C50)*100</f>
        <v>0</v>
      </c>
      <c r="F50">
        <f>IF(D50&lt;$B$13,"Misconception remains",IF(E50&gt;=25,"Large gain",""))</f>
        <v>0</v>
      </c>
      <c r="H50" t="s">
        <v>225</v>
      </c>
      <c r="I50">
        <f>SUMIFS(Social_Pre!$I$3:$I$566,Social_Pre!$A$3:$A$566,H50)</f>
        <v>0</v>
      </c>
      <c r="J50">
        <f>SUMIFS(Social_Post!$I$3:$I$566,Social_Post!$A$3:$A$566,H50)</f>
        <v>0</v>
      </c>
      <c r="K50" s="5">
        <f>I50/SUM(Question_Bank!$M$3:$M$14)</f>
        <v>0</v>
      </c>
      <c r="L50" s="5">
        <f>J50/SUM(Question_Bank!$M$3:$M$14)</f>
        <v>0</v>
      </c>
      <c r="M50">
        <f>J50-I50</f>
        <v>0</v>
      </c>
      <c r="N50" s="6">
        <f>(L50-K50)*100</f>
        <v>0</v>
      </c>
      <c r="O50">
        <f>IF(M50&gt;=$B$23,"Substantial",IF(M50&gt;=$B$24,"Modest",IF(M50=0,"Unchanged","Lower")))</f>
        <v>0</v>
      </c>
      <c r="P50" t="s">
        <v>226</v>
      </c>
    </row>
    <row r="51" spans="1:16">
      <c r="A51" t="s">
        <v>37</v>
      </c>
      <c r="B51" t="s">
        <v>38</v>
      </c>
      <c r="C51" s="5">
        <f>SUMIFS(Social_Pre!$H$3:$H$566,Social_Pre!$D$3:$D$566,$A51)/COUNTIFS(Social_Pre!$D$3:$D$566,$A51)</f>
        <v>0</v>
      </c>
      <c r="D51" s="5">
        <f>SUMIFS(Social_Post!$H$3:$H$566,Social_Post!$D$3:$D$566,$A51)/COUNTIFS(Social_Post!$D$3:$D$566,$A51)</f>
        <v>0</v>
      </c>
      <c r="E51" s="6">
        <f>(D51-C51)*100</f>
        <v>0</v>
      </c>
      <c r="F51">
        <f>IF(D51&lt;$B$13,"Misconception remains",IF(E51&gt;=25,"Large gain",""))</f>
        <v>0</v>
      </c>
    </row>
    <row r="52" spans="1:16">
      <c r="A52" t="s">
        <v>45</v>
      </c>
      <c r="B52" t="s">
        <v>47</v>
      </c>
      <c r="C52" s="5">
        <f>SUMIFS(Social_Pre!$H$3:$H$566,Social_Pre!$D$3:$D$566,$A52)/COUNTIFS(Social_Pre!$D$3:$D$566,$A52)</f>
        <v>0</v>
      </c>
      <c r="D52" s="5">
        <f>SUMIFS(Social_Post!$H$3:$H$566,Social_Post!$D$3:$D$566,$A52)/COUNTIFS(Social_Post!$D$3:$D$566,$A52)</f>
        <v>0</v>
      </c>
      <c r="E52" s="6">
        <f>(D52-C52)*100</f>
        <v>0</v>
      </c>
      <c r="F52">
        <f>IF(D52&lt;$B$13,"Misconception remains",IF(E52&gt;=25,"Large gain",""))</f>
        <v>0</v>
      </c>
    </row>
    <row r="53" spans="1:16">
      <c r="A53" t="s">
        <v>54</v>
      </c>
      <c r="B53" t="s">
        <v>55</v>
      </c>
      <c r="C53" s="5">
        <f>SUMIFS(Social_Pre!$H$3:$H$566,Social_Pre!$D$3:$D$566,$A53)/COUNTIFS(Social_Pre!$D$3:$D$566,$A53)</f>
        <v>0</v>
      </c>
      <c r="D53" s="5">
        <f>SUMIFS(Social_Post!$H$3:$H$566,Social_Post!$D$3:$D$566,$A53)/COUNTIFS(Social_Post!$D$3:$D$566,$A53)</f>
        <v>0</v>
      </c>
      <c r="E53" s="6">
        <f>(D53-C53)*100</f>
        <v>0</v>
      </c>
      <c r="F53">
        <f>IF(D53&lt;$B$13,"Misconception remains",IF(E53&gt;=25,"Large gain",""))</f>
        <v>0</v>
      </c>
    </row>
    <row r="54" spans="1:16">
      <c r="A54" t="s">
        <v>62</v>
      </c>
      <c r="B54" t="s">
        <v>63</v>
      </c>
      <c r="C54" s="5">
        <f>SUMIFS(Social_Pre!$H$3:$H$566,Social_Pre!$D$3:$D$566,$A54)/COUNTIFS(Social_Pre!$D$3:$D$566,$A54)</f>
        <v>0</v>
      </c>
      <c r="D54" s="5">
        <f>SUMIFS(Social_Post!$H$3:$H$566,Social_Post!$D$3:$D$566,$A54)/COUNTIFS(Social_Post!$D$3:$D$566,$A54)</f>
        <v>0</v>
      </c>
      <c r="E54" s="6">
        <f>(D54-C54)*100</f>
        <v>0</v>
      </c>
      <c r="F54">
        <f>IF(D54&lt;$B$13,"Misconception remains",IF(E54&gt;=25,"Large gain",""))</f>
        <v>0</v>
      </c>
    </row>
    <row r="55" spans="1:16">
      <c r="A55" t="s">
        <v>70</v>
      </c>
      <c r="B55" t="s">
        <v>72</v>
      </c>
      <c r="C55" s="5">
        <f>SUMIFS(Social_Pre!$H$3:$H$566,Social_Pre!$D$3:$D$566,$A55)/COUNTIFS(Social_Pre!$D$3:$D$566,$A55)</f>
        <v>0</v>
      </c>
      <c r="D55" s="5">
        <f>SUMIFS(Social_Post!$H$3:$H$566,Social_Post!$D$3:$D$566,$A55)/COUNTIFS(Social_Post!$D$3:$D$566,$A55)</f>
        <v>0</v>
      </c>
      <c r="E55" s="6">
        <f>(D55-C55)*100</f>
        <v>0</v>
      </c>
      <c r="F55">
        <f>IF(D55&lt;$B$13,"Misconception remains",IF(E55&gt;=25,"Large gain",""))</f>
        <v>0</v>
      </c>
    </row>
    <row r="56" spans="1:16">
      <c r="A56" t="s">
        <v>79</v>
      </c>
      <c r="B56" t="s">
        <v>80</v>
      </c>
      <c r="C56" s="5">
        <f>SUMIFS(Social_Pre!$H$3:$H$566,Social_Pre!$D$3:$D$566,$A56)/COUNTIFS(Social_Pre!$D$3:$D$566,$A56)</f>
        <v>0</v>
      </c>
      <c r="D56" s="5">
        <f>SUMIFS(Social_Post!$H$3:$H$566,Social_Post!$D$3:$D$566,$A56)/COUNTIFS(Social_Post!$D$3:$D$566,$A56)</f>
        <v>0</v>
      </c>
      <c r="E56" s="6">
        <f>(D56-C56)*100</f>
        <v>0</v>
      </c>
      <c r="F56">
        <f>IF(D56&lt;$B$13,"Misconception remains",IF(E56&gt;=25,"Large gain",""))</f>
        <v>0</v>
      </c>
    </row>
    <row r="57" spans="1:16">
      <c r="A57" t="s">
        <v>87</v>
      </c>
      <c r="B57" t="s">
        <v>88</v>
      </c>
      <c r="C57" s="5">
        <f>SUMIFS(Social_Pre!$H$3:$H$566,Social_Pre!$D$3:$D$566,$A57)/COUNTIFS(Social_Pre!$D$3:$D$566,$A57)</f>
        <v>0</v>
      </c>
      <c r="D57" s="5">
        <f>SUMIFS(Social_Post!$H$3:$H$566,Social_Post!$D$3:$D$566,$A57)/COUNTIFS(Social_Post!$D$3:$D$566,$A57)</f>
        <v>0</v>
      </c>
      <c r="E57" s="6">
        <f>(D57-C57)*100</f>
        <v>0</v>
      </c>
      <c r="F57">
        <f>IF(D57&lt;$B$13,"Misconception remains",IF(E57&gt;=25,"Large gain",""))</f>
        <v>0</v>
      </c>
    </row>
    <row r="58" spans="1:16">
      <c r="A58" t="s">
        <v>95</v>
      </c>
      <c r="B58" t="s">
        <v>97</v>
      </c>
      <c r="C58" s="5">
        <f>SUMIFS(Social_Pre!$H$3:$H$566,Social_Pre!$D$3:$D$566,$A58)/COUNTIFS(Social_Pre!$D$3:$D$566,$A58)</f>
        <v>0</v>
      </c>
      <c r="D58" s="5">
        <f>SUMIFS(Social_Post!$H$3:$H$566,Social_Post!$D$3:$D$566,$A58)/COUNTIFS(Social_Post!$D$3:$D$566,$A58)</f>
        <v>0</v>
      </c>
      <c r="E58" s="6">
        <f>(D58-C58)*100</f>
        <v>0</v>
      </c>
      <c r="F58">
        <f>IF(D58&lt;$B$13,"Misconception remains",IF(E58&gt;=25,"Large gain",""))</f>
        <v>0</v>
      </c>
    </row>
    <row r="59" spans="1:16">
      <c r="A59" t="s">
        <v>104</v>
      </c>
      <c r="B59" t="s">
        <v>105</v>
      </c>
      <c r="C59" s="5">
        <f>SUMIFS(Social_Pre!$H$3:$H$566,Social_Pre!$D$3:$D$566,$A59)/COUNTIFS(Social_Pre!$D$3:$D$566,$A59)</f>
        <v>0</v>
      </c>
      <c r="D59" s="5">
        <f>SUMIFS(Social_Post!$H$3:$H$566,Social_Post!$D$3:$D$566,$A59)/COUNTIFS(Social_Post!$D$3:$D$566,$A59)</f>
        <v>0</v>
      </c>
      <c r="E59" s="6">
        <f>(D59-C59)*100</f>
        <v>0</v>
      </c>
      <c r="F59">
        <f>IF(D59&lt;$B$13,"Misconception remains",IF(E59&gt;=25,"Large gain",""))</f>
        <v>0</v>
      </c>
    </row>
    <row r="60" spans="1:16">
      <c r="A60" t="s">
        <v>112</v>
      </c>
      <c r="B60" t="s">
        <v>113</v>
      </c>
      <c r="C60" s="5">
        <f>SUMIFS(Social_Pre!$H$3:$H$566,Social_Pre!$D$3:$D$566,$A60)/COUNTIFS(Social_Pre!$D$3:$D$566,$A60)</f>
        <v>0</v>
      </c>
      <c r="D60" s="5">
        <f>SUMIFS(Social_Post!$H$3:$H$566,Social_Post!$D$3:$D$566,$A60)/COUNTIFS(Social_Post!$D$3:$D$566,$A60)</f>
        <v>0</v>
      </c>
      <c r="E60" s="6">
        <f>(D60-C60)*100</f>
        <v>0</v>
      </c>
      <c r="F60">
        <f>IF(D60&lt;$B$13,"Misconception remains",IF(E60&gt;=25,"Large gain",""))</f>
        <v>0</v>
      </c>
    </row>
  </sheetData>
  <mergeCells count="1">
    <mergeCell ref="A1:P1"/>
  </mergeCells>
  <conditionalFormatting sqref="N4:N50">
    <cfRule type="colorScale" priority="1">
      <colorScale>
        <cfvo type="min" val="0"/>
        <cfvo type="num" val="0"/>
        <cfvo type="max" val="0"/>
        <color rgb="FFF8B4B4"/>
        <color rgb="FFFFFFFF"/>
        <color rgb="FF86D7A8"/>
      </colorScale>
    </cfRule>
  </conditionalFormatting>
  <conditionalFormatting sqref="D16:D19">
    <cfRule type="colorScale" priority="2">
      <colorScale>
        <cfvo type="min" val="0"/>
        <cfvo type="num" val="0"/>
        <cfvo type="max" val="0"/>
        <color rgb="FFF8B4B4"/>
        <color rgb="FFFFFFFF"/>
        <color rgb="FF86D7A8"/>
      </colorScale>
    </cfRule>
  </conditionalFormatting>
  <conditionalFormatting sqref="E49:E60">
    <cfRule type="colorScale" priority="3">
      <colorScale>
        <cfvo type="min" val="0"/>
        <cfvo type="num" val="0"/>
        <cfvo type="max" val="0"/>
        <color rgb="FFF8B4B4"/>
        <color rgb="FFFFFFFF"/>
        <color rgb="FF86D7A8"/>
      </colorScale>
    </cfRule>
  </conditionalFormatting>
  <conditionalFormatting sqref="C16:C19">
    <cfRule type="cellIs" dxfId="0" priority="4" operator="lessThan">
      <formula>$B$13</formula>
    </cfRule>
  </conditionalFormatting>
  <conditionalFormatting sqref="D49:D60">
    <cfRule type="cellIs" dxfId="0" priority="5" operator="lessThan">
      <formula>$B$13</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60"/>
  <sheetViews>
    <sheetView workbookViewId="0"/>
  </sheetViews>
  <sheetFormatPr defaultRowHeight="15"/>
  <cols>
    <col min="1" max="1" width="42.7109375" customWidth="1"/>
    <col min="2" max="2" width="30.7109375" customWidth="1"/>
    <col min="3" max="6" width="18.7109375" customWidth="1"/>
    <col min="7" max="7" width="3.7109375" customWidth="1"/>
    <col min="8" max="15" width="14.7109375" customWidth="1"/>
    <col min="16" max="16" width="22.7109375" customWidth="1"/>
  </cols>
  <sheetData>
    <row r="1" spans="1:16">
      <c r="A1" s="1" t="s">
        <v>348</v>
      </c>
      <c r="B1" s="1"/>
      <c r="C1" s="1"/>
      <c r="D1" s="1"/>
      <c r="E1" s="1"/>
      <c r="F1" s="1"/>
      <c r="G1" s="1"/>
      <c r="H1" s="1"/>
      <c r="I1" s="1"/>
      <c r="J1" s="1"/>
      <c r="K1" s="1"/>
      <c r="L1" s="1"/>
      <c r="M1" s="1"/>
      <c r="N1" s="1"/>
      <c r="O1" s="1"/>
      <c r="P1" s="1"/>
    </row>
    <row r="3" spans="1:16">
      <c r="A3" s="4" t="s">
        <v>236</v>
      </c>
      <c r="B3" s="4" t="s">
        <v>237</v>
      </c>
      <c r="H3" s="4" t="s">
        <v>120</v>
      </c>
      <c r="I3" s="4" t="s">
        <v>229</v>
      </c>
      <c r="J3" s="4" t="s">
        <v>230</v>
      </c>
      <c r="K3" s="4" t="s">
        <v>231</v>
      </c>
      <c r="L3" s="4" t="s">
        <v>232</v>
      </c>
      <c r="M3" s="4" t="s">
        <v>233</v>
      </c>
      <c r="N3" s="4" t="s">
        <v>234</v>
      </c>
      <c r="O3" s="4" t="s">
        <v>235</v>
      </c>
      <c r="P3" s="4" t="s">
        <v>130</v>
      </c>
    </row>
    <row r="4" spans="1:16">
      <c r="A4" t="s">
        <v>238</v>
      </c>
      <c r="B4">
        <f>COUNTA($H$4:$H$46)</f>
        <v>0</v>
      </c>
      <c r="H4" t="s">
        <v>262</v>
      </c>
      <c r="I4">
        <f>SUMIFS(Seminar_Pre!$I$3:$I$518,Seminar_Pre!$A$3:$A$518,H4)</f>
        <v>0</v>
      </c>
      <c r="J4">
        <f>SUMIFS(Seminar_Post!$I$3:$I$518,Seminar_Post!$A$3:$A$518,H4)</f>
        <v>0</v>
      </c>
      <c r="K4" s="5">
        <f>I4/SUM(Question_Bank!$M$3:$M$14)</f>
        <v>0</v>
      </c>
      <c r="L4" s="5">
        <f>J4/SUM(Question_Bank!$M$3:$M$14)</f>
        <v>0</v>
      </c>
      <c r="M4">
        <f>J4-I4</f>
        <v>0</v>
      </c>
      <c r="N4" s="6">
        <f>(L4-K4)*100</f>
        <v>0</v>
      </c>
      <c r="O4">
        <f>IF(M4&gt;=$B$23,"Substantial",IF(M4&gt;=$B$24,"Modest",IF(M4=0,"Unchanged","Lower")))</f>
        <v>0</v>
      </c>
      <c r="P4" t="s">
        <v>264</v>
      </c>
    </row>
    <row r="5" spans="1:16">
      <c r="A5" t="s">
        <v>239</v>
      </c>
      <c r="B5" s="7">
        <f>AVERAGE($I$4:$I$46)</f>
        <v>0</v>
      </c>
      <c r="H5" t="s">
        <v>265</v>
      </c>
      <c r="I5">
        <f>SUMIFS(Seminar_Pre!$I$3:$I$518,Seminar_Pre!$A$3:$A$518,H5)</f>
        <v>0</v>
      </c>
      <c r="J5">
        <f>SUMIFS(Seminar_Post!$I$3:$I$518,Seminar_Post!$A$3:$A$518,H5)</f>
        <v>0</v>
      </c>
      <c r="K5" s="5">
        <f>I5/SUM(Question_Bank!$M$3:$M$14)</f>
        <v>0</v>
      </c>
      <c r="L5" s="5">
        <f>J5/SUM(Question_Bank!$M$3:$M$14)</f>
        <v>0</v>
      </c>
      <c r="M5">
        <f>J5-I5</f>
        <v>0</v>
      </c>
      <c r="N5" s="6">
        <f>(L5-K5)*100</f>
        <v>0</v>
      </c>
      <c r="O5">
        <f>IF(M5&gt;=$B$23,"Substantial",IF(M5&gt;=$B$24,"Modest",IF(M5=0,"Unchanged","Lower")))</f>
        <v>0</v>
      </c>
      <c r="P5" t="s">
        <v>266</v>
      </c>
    </row>
    <row r="6" spans="1:16">
      <c r="A6" t="s">
        <v>240</v>
      </c>
      <c r="B6" s="7">
        <f>AVERAGE($J$4:$J$46)</f>
        <v>0</v>
      </c>
      <c r="H6" t="s">
        <v>267</v>
      </c>
      <c r="I6">
        <f>SUMIFS(Seminar_Pre!$I$3:$I$518,Seminar_Pre!$A$3:$A$518,H6)</f>
        <v>0</v>
      </c>
      <c r="J6">
        <f>SUMIFS(Seminar_Post!$I$3:$I$518,Seminar_Post!$A$3:$A$518,H6)</f>
        <v>0</v>
      </c>
      <c r="K6" s="5">
        <f>I6/SUM(Question_Bank!$M$3:$M$14)</f>
        <v>0</v>
      </c>
      <c r="L6" s="5">
        <f>J6/SUM(Question_Bank!$M$3:$M$14)</f>
        <v>0</v>
      </c>
      <c r="M6">
        <f>J6-I6</f>
        <v>0</v>
      </c>
      <c r="N6" s="6">
        <f>(L6-K6)*100</f>
        <v>0</v>
      </c>
      <c r="O6">
        <f>IF(M6&gt;=$B$23,"Substantial",IF(M6&gt;=$B$24,"Modest",IF(M6=0,"Unchanged","Lower")))</f>
        <v>0</v>
      </c>
      <c r="P6" t="s">
        <v>268</v>
      </c>
    </row>
    <row r="7" spans="1:16">
      <c r="A7" t="s">
        <v>241</v>
      </c>
      <c r="B7" s="5">
        <f>AVERAGE($K$4:$K$46)</f>
        <v>0</v>
      </c>
      <c r="H7" t="s">
        <v>269</v>
      </c>
      <c r="I7">
        <f>SUMIFS(Seminar_Pre!$I$3:$I$518,Seminar_Pre!$A$3:$A$518,H7)</f>
        <v>0</v>
      </c>
      <c r="J7">
        <f>SUMIFS(Seminar_Post!$I$3:$I$518,Seminar_Post!$A$3:$A$518,H7)</f>
        <v>0</v>
      </c>
      <c r="K7" s="5">
        <f>I7/SUM(Question_Bank!$M$3:$M$14)</f>
        <v>0</v>
      </c>
      <c r="L7" s="5">
        <f>J7/SUM(Question_Bank!$M$3:$M$14)</f>
        <v>0</v>
      </c>
      <c r="M7">
        <f>J7-I7</f>
        <v>0</v>
      </c>
      <c r="N7" s="6">
        <f>(L7-K7)*100</f>
        <v>0</v>
      </c>
      <c r="O7">
        <f>IF(M7&gt;=$B$23,"Substantial",IF(M7&gt;=$B$24,"Modest",IF(M7=0,"Unchanged","Lower")))</f>
        <v>0</v>
      </c>
      <c r="P7" t="s">
        <v>270</v>
      </c>
    </row>
    <row r="8" spans="1:16">
      <c r="A8" t="s">
        <v>242</v>
      </c>
      <c r="B8" s="5">
        <f>AVERAGE($L$4:$L$46)</f>
        <v>0</v>
      </c>
      <c r="H8" t="s">
        <v>271</v>
      </c>
      <c r="I8">
        <f>SUMIFS(Seminar_Pre!$I$3:$I$518,Seminar_Pre!$A$3:$A$518,H8)</f>
        <v>0</v>
      </c>
      <c r="J8">
        <f>SUMIFS(Seminar_Post!$I$3:$I$518,Seminar_Post!$A$3:$A$518,H8)</f>
        <v>0</v>
      </c>
      <c r="K8" s="5">
        <f>I8/SUM(Question_Bank!$M$3:$M$14)</f>
        <v>0</v>
      </c>
      <c r="L8" s="5">
        <f>J8/SUM(Question_Bank!$M$3:$M$14)</f>
        <v>0</v>
      </c>
      <c r="M8">
        <f>J8-I8</f>
        <v>0</v>
      </c>
      <c r="N8" s="6">
        <f>(L8-K8)*100</f>
        <v>0</v>
      </c>
      <c r="O8">
        <f>IF(M8&gt;=$B$23,"Substantial",IF(M8&gt;=$B$24,"Modest",IF(M8=0,"Unchanged","Lower")))</f>
        <v>0</v>
      </c>
      <c r="P8" t="s">
        <v>272</v>
      </c>
    </row>
    <row r="9" spans="1:16">
      <c r="A9" t="s">
        <v>243</v>
      </c>
      <c r="B9" s="6">
        <f>(B8-B7)*100</f>
        <v>0</v>
      </c>
      <c r="H9" t="s">
        <v>273</v>
      </c>
      <c r="I9">
        <f>SUMIFS(Seminar_Pre!$I$3:$I$518,Seminar_Pre!$A$3:$A$518,H9)</f>
        <v>0</v>
      </c>
      <c r="J9">
        <f>SUMIFS(Seminar_Post!$I$3:$I$518,Seminar_Post!$A$3:$A$518,H9)</f>
        <v>0</v>
      </c>
      <c r="K9" s="5">
        <f>I9/SUM(Question_Bank!$M$3:$M$14)</f>
        <v>0</v>
      </c>
      <c r="L9" s="5">
        <f>J9/SUM(Question_Bank!$M$3:$M$14)</f>
        <v>0</v>
      </c>
      <c r="M9">
        <f>J9-I9</f>
        <v>0</v>
      </c>
      <c r="N9" s="6">
        <f>(L9-K9)*100</f>
        <v>0</v>
      </c>
      <c r="O9">
        <f>IF(M9&gt;=$B$23,"Substantial",IF(M9&gt;=$B$24,"Modest",IF(M9=0,"Unchanged","Lower")))</f>
        <v>0</v>
      </c>
      <c r="P9" t="s">
        <v>274</v>
      </c>
    </row>
    <row r="10" spans="1:16">
      <c r="A10" t="s">
        <v>244</v>
      </c>
      <c r="B10" s="5">
        <f>(B8-B7)/B7</f>
        <v>0</v>
      </c>
      <c r="H10" t="s">
        <v>275</v>
      </c>
      <c r="I10">
        <f>SUMIFS(Seminar_Pre!$I$3:$I$518,Seminar_Pre!$A$3:$A$518,H10)</f>
        <v>0</v>
      </c>
      <c r="J10">
        <f>SUMIFS(Seminar_Post!$I$3:$I$518,Seminar_Post!$A$3:$A$518,H10)</f>
        <v>0</v>
      </c>
      <c r="K10" s="5">
        <f>I10/SUM(Question_Bank!$M$3:$M$14)</f>
        <v>0</v>
      </c>
      <c r="L10" s="5">
        <f>J10/SUM(Question_Bank!$M$3:$M$14)</f>
        <v>0</v>
      </c>
      <c r="M10">
        <f>J10-I10</f>
        <v>0</v>
      </c>
      <c r="N10" s="6">
        <f>(L10-K10)*100</f>
        <v>0</v>
      </c>
      <c r="O10">
        <f>IF(M10&gt;=$B$23,"Substantial",IF(M10&gt;=$B$24,"Modest",IF(M10=0,"Unchanged","Lower")))</f>
        <v>0</v>
      </c>
      <c r="P10" t="s">
        <v>276</v>
      </c>
    </row>
    <row r="11" spans="1:16">
      <c r="A11" t="s">
        <v>245</v>
      </c>
      <c r="B11" s="5">
        <f>COUNTIF($M$4:$M$46,"&gt;0")/B4</f>
        <v>0</v>
      </c>
      <c r="H11" t="s">
        <v>277</v>
      </c>
      <c r="I11">
        <f>SUMIFS(Seminar_Pre!$I$3:$I$518,Seminar_Pre!$A$3:$A$518,H11)</f>
        <v>0</v>
      </c>
      <c r="J11">
        <f>SUMIFS(Seminar_Post!$I$3:$I$518,Seminar_Post!$A$3:$A$518,H11)</f>
        <v>0</v>
      </c>
      <c r="K11" s="5">
        <f>I11/SUM(Question_Bank!$M$3:$M$14)</f>
        <v>0</v>
      </c>
      <c r="L11" s="5">
        <f>J11/SUM(Question_Bank!$M$3:$M$14)</f>
        <v>0</v>
      </c>
      <c r="M11">
        <f>J11-I11</f>
        <v>0</v>
      </c>
      <c r="N11" s="6">
        <f>(L11-K11)*100</f>
        <v>0</v>
      </c>
      <c r="O11">
        <f>IF(M11&gt;=$B$23,"Substantial",IF(M11&gt;=$B$24,"Modest",IF(M11=0,"Unchanged","Lower")))</f>
        <v>0</v>
      </c>
      <c r="P11" t="s">
        <v>278</v>
      </c>
    </row>
    <row r="12" spans="1:16">
      <c r="A12" t="s">
        <v>246</v>
      </c>
      <c r="B12" s="7">
        <f>AVERAGE($M$4:$M$46)</f>
        <v>0</v>
      </c>
      <c r="H12" t="s">
        <v>279</v>
      </c>
      <c r="I12">
        <f>SUMIFS(Seminar_Pre!$I$3:$I$518,Seminar_Pre!$A$3:$A$518,H12)</f>
        <v>0</v>
      </c>
      <c r="J12">
        <f>SUMIFS(Seminar_Post!$I$3:$I$518,Seminar_Post!$A$3:$A$518,H12)</f>
        <v>0</v>
      </c>
      <c r="K12" s="5">
        <f>I12/SUM(Question_Bank!$M$3:$M$14)</f>
        <v>0</v>
      </c>
      <c r="L12" s="5">
        <f>J12/SUM(Question_Bank!$M$3:$M$14)</f>
        <v>0</v>
      </c>
      <c r="M12">
        <f>J12-I12</f>
        <v>0</v>
      </c>
      <c r="N12" s="6">
        <f>(L12-K12)*100</f>
        <v>0</v>
      </c>
      <c r="O12">
        <f>IF(M12&gt;=$B$23,"Substantial",IF(M12&gt;=$B$24,"Modest",IF(M12=0,"Unchanged","Lower")))</f>
        <v>0</v>
      </c>
      <c r="P12" t="s">
        <v>280</v>
      </c>
    </row>
    <row r="13" spans="1:16">
      <c r="A13" t="s">
        <v>247</v>
      </c>
      <c r="B13" s="5">
        <v>0.6</v>
      </c>
      <c r="H13" t="s">
        <v>281</v>
      </c>
      <c r="I13">
        <f>SUMIFS(Seminar_Pre!$I$3:$I$518,Seminar_Pre!$A$3:$A$518,H13)</f>
        <v>0</v>
      </c>
      <c r="J13">
        <f>SUMIFS(Seminar_Post!$I$3:$I$518,Seminar_Post!$A$3:$A$518,H13)</f>
        <v>0</v>
      </c>
      <c r="K13" s="5">
        <f>I13/SUM(Question_Bank!$M$3:$M$14)</f>
        <v>0</v>
      </c>
      <c r="L13" s="5">
        <f>J13/SUM(Question_Bank!$M$3:$M$14)</f>
        <v>0</v>
      </c>
      <c r="M13">
        <f>J13-I13</f>
        <v>0</v>
      </c>
      <c r="N13" s="6">
        <f>(L13-K13)*100</f>
        <v>0</v>
      </c>
      <c r="O13">
        <f>IF(M13&gt;=$B$23,"Substantial",IF(M13&gt;=$B$24,"Modest",IF(M13=0,"Unchanged","Lower")))</f>
        <v>0</v>
      </c>
      <c r="P13" t="s">
        <v>282</v>
      </c>
    </row>
    <row r="14" spans="1:16">
      <c r="H14" t="s">
        <v>283</v>
      </c>
      <c r="I14">
        <f>SUMIFS(Seminar_Pre!$I$3:$I$518,Seminar_Pre!$A$3:$A$518,H14)</f>
        <v>0</v>
      </c>
      <c r="J14">
        <f>SUMIFS(Seminar_Post!$I$3:$I$518,Seminar_Post!$A$3:$A$518,H14)</f>
        <v>0</v>
      </c>
      <c r="K14" s="5">
        <f>I14/SUM(Question_Bank!$M$3:$M$14)</f>
        <v>0</v>
      </c>
      <c r="L14" s="5">
        <f>J14/SUM(Question_Bank!$M$3:$M$14)</f>
        <v>0</v>
      </c>
      <c r="M14">
        <f>J14-I14</f>
        <v>0</v>
      </c>
      <c r="N14" s="6">
        <f>(L14-K14)*100</f>
        <v>0</v>
      </c>
      <c r="O14">
        <f>IF(M14&gt;=$B$23,"Substantial",IF(M14&gt;=$B$24,"Modest",IF(M14=0,"Unchanged","Lower")))</f>
        <v>0</v>
      </c>
      <c r="P14" t="s">
        <v>284</v>
      </c>
    </row>
    <row r="15" spans="1:16">
      <c r="A15" s="4" t="s">
        <v>2</v>
      </c>
      <c r="B15" s="4" t="s">
        <v>248</v>
      </c>
      <c r="C15" s="4" t="s">
        <v>249</v>
      </c>
      <c r="D15" s="4" t="s">
        <v>250</v>
      </c>
      <c r="E15" s="4" t="s">
        <v>251</v>
      </c>
      <c r="H15" t="s">
        <v>285</v>
      </c>
      <c r="I15">
        <f>SUMIFS(Seminar_Pre!$I$3:$I$518,Seminar_Pre!$A$3:$A$518,H15)</f>
        <v>0</v>
      </c>
      <c r="J15">
        <f>SUMIFS(Seminar_Post!$I$3:$I$518,Seminar_Post!$A$3:$A$518,H15)</f>
        <v>0</v>
      </c>
      <c r="K15" s="5">
        <f>I15/SUM(Question_Bank!$M$3:$M$14)</f>
        <v>0</v>
      </c>
      <c r="L15" s="5">
        <f>J15/SUM(Question_Bank!$M$3:$M$14)</f>
        <v>0</v>
      </c>
      <c r="M15">
        <f>J15-I15</f>
        <v>0</v>
      </c>
      <c r="N15" s="6">
        <f>(L15-K15)*100</f>
        <v>0</v>
      </c>
      <c r="O15">
        <f>IF(M15&gt;=$B$23,"Substantial",IF(M15&gt;=$B$24,"Modest",IF(M15=0,"Unchanged","Lower")))</f>
        <v>0</v>
      </c>
      <c r="P15" t="s">
        <v>286</v>
      </c>
    </row>
    <row r="16" spans="1:16">
      <c r="A16" t="s">
        <v>15</v>
      </c>
      <c r="B16" s="5">
        <f>SUMIFS(Seminar_Pre!$H$3:$H$518,Seminar_Pre!$E$3:$E$518,$A16)/COUNTIFS(Seminar_Pre!$E$3:$E$518,$A16)</f>
        <v>0</v>
      </c>
      <c r="C16" s="5">
        <f>SUMIFS(Seminar_Post!$H$3:$H$518,Seminar_Post!$E$3:$E$518,$A16)/COUNTIFS(Seminar_Post!$E$3:$E$518,$A16)</f>
        <v>0</v>
      </c>
      <c r="D16" s="6">
        <f>(C16-B16)*100</f>
        <v>0</v>
      </c>
      <c r="E16">
        <f>IF(C16&lt;$B$13,"Needs further education","")</f>
        <v>0</v>
      </c>
      <c r="H16" t="s">
        <v>287</v>
      </c>
      <c r="I16">
        <f>SUMIFS(Seminar_Pre!$I$3:$I$518,Seminar_Pre!$A$3:$A$518,H16)</f>
        <v>0</v>
      </c>
      <c r="J16">
        <f>SUMIFS(Seminar_Post!$I$3:$I$518,Seminar_Post!$A$3:$A$518,H16)</f>
        <v>0</v>
      </c>
      <c r="K16" s="5">
        <f>I16/SUM(Question_Bank!$M$3:$M$14)</f>
        <v>0</v>
      </c>
      <c r="L16" s="5">
        <f>J16/SUM(Question_Bank!$M$3:$M$14)</f>
        <v>0</v>
      </c>
      <c r="M16">
        <f>J16-I16</f>
        <v>0</v>
      </c>
      <c r="N16" s="6">
        <f>(L16-K16)*100</f>
        <v>0</v>
      </c>
      <c r="O16">
        <f>IF(M16&gt;=$B$23,"Substantial",IF(M16&gt;=$B$24,"Modest",IF(M16=0,"Unchanged","Lower")))</f>
        <v>0</v>
      </c>
      <c r="P16" t="s">
        <v>288</v>
      </c>
    </row>
    <row r="17" spans="1:16">
      <c r="A17" t="s">
        <v>46</v>
      </c>
      <c r="B17" s="5">
        <f>SUMIFS(Seminar_Pre!$H$3:$H$518,Seminar_Pre!$E$3:$E$518,$A17)/COUNTIFS(Seminar_Pre!$E$3:$E$518,$A17)</f>
        <v>0</v>
      </c>
      <c r="C17" s="5">
        <f>SUMIFS(Seminar_Post!$H$3:$H$518,Seminar_Post!$E$3:$E$518,$A17)/COUNTIFS(Seminar_Post!$E$3:$E$518,$A17)</f>
        <v>0</v>
      </c>
      <c r="D17" s="6">
        <f>(C17-B17)*100</f>
        <v>0</v>
      </c>
      <c r="E17">
        <f>IF(C17&lt;$B$13,"Needs further education","")</f>
        <v>0</v>
      </c>
      <c r="H17" t="s">
        <v>289</v>
      </c>
      <c r="I17">
        <f>SUMIFS(Seminar_Pre!$I$3:$I$518,Seminar_Pre!$A$3:$A$518,H17)</f>
        <v>0</v>
      </c>
      <c r="J17">
        <f>SUMIFS(Seminar_Post!$I$3:$I$518,Seminar_Post!$A$3:$A$518,H17)</f>
        <v>0</v>
      </c>
      <c r="K17" s="5">
        <f>I17/SUM(Question_Bank!$M$3:$M$14)</f>
        <v>0</v>
      </c>
      <c r="L17" s="5">
        <f>J17/SUM(Question_Bank!$M$3:$M$14)</f>
        <v>0</v>
      </c>
      <c r="M17">
        <f>J17-I17</f>
        <v>0</v>
      </c>
      <c r="N17" s="6">
        <f>(L17-K17)*100</f>
        <v>0</v>
      </c>
      <c r="O17">
        <f>IF(M17&gt;=$B$23,"Substantial",IF(M17&gt;=$B$24,"Modest",IF(M17=0,"Unchanged","Lower")))</f>
        <v>0</v>
      </c>
      <c r="P17" t="s">
        <v>290</v>
      </c>
    </row>
    <row r="18" spans="1:16">
      <c r="A18" t="s">
        <v>71</v>
      </c>
      <c r="B18" s="5">
        <f>SUMIFS(Seminar_Pre!$H$3:$H$518,Seminar_Pre!$E$3:$E$518,$A18)/COUNTIFS(Seminar_Pre!$E$3:$E$518,$A18)</f>
        <v>0</v>
      </c>
      <c r="C18" s="5">
        <f>SUMIFS(Seminar_Post!$H$3:$H$518,Seminar_Post!$E$3:$E$518,$A18)/COUNTIFS(Seminar_Post!$E$3:$E$518,$A18)</f>
        <v>0</v>
      </c>
      <c r="D18" s="6">
        <f>(C18-B18)*100</f>
        <v>0</v>
      </c>
      <c r="E18">
        <f>IF(C18&lt;$B$13,"Needs further education","")</f>
        <v>0</v>
      </c>
      <c r="H18" t="s">
        <v>291</v>
      </c>
      <c r="I18">
        <f>SUMIFS(Seminar_Pre!$I$3:$I$518,Seminar_Pre!$A$3:$A$518,H18)</f>
        <v>0</v>
      </c>
      <c r="J18">
        <f>SUMIFS(Seminar_Post!$I$3:$I$518,Seminar_Post!$A$3:$A$518,H18)</f>
        <v>0</v>
      </c>
      <c r="K18" s="5">
        <f>I18/SUM(Question_Bank!$M$3:$M$14)</f>
        <v>0</v>
      </c>
      <c r="L18" s="5">
        <f>J18/SUM(Question_Bank!$M$3:$M$14)</f>
        <v>0</v>
      </c>
      <c r="M18">
        <f>J18-I18</f>
        <v>0</v>
      </c>
      <c r="N18" s="6">
        <f>(L18-K18)*100</f>
        <v>0</v>
      </c>
      <c r="O18">
        <f>IF(M18&gt;=$B$23,"Substantial",IF(M18&gt;=$B$24,"Modest",IF(M18=0,"Unchanged","Lower")))</f>
        <v>0</v>
      </c>
      <c r="P18" t="s">
        <v>292</v>
      </c>
    </row>
    <row r="19" spans="1:16">
      <c r="A19" t="s">
        <v>96</v>
      </c>
      <c r="B19" s="5">
        <f>SUMIFS(Seminar_Pre!$H$3:$H$518,Seminar_Pre!$E$3:$E$518,$A19)/COUNTIFS(Seminar_Pre!$E$3:$E$518,$A19)</f>
        <v>0</v>
      </c>
      <c r="C19" s="5">
        <f>SUMIFS(Seminar_Post!$H$3:$H$518,Seminar_Post!$E$3:$E$518,$A19)/COUNTIFS(Seminar_Post!$E$3:$E$518,$A19)</f>
        <v>0</v>
      </c>
      <c r="D19" s="6">
        <f>(C19-B19)*100</f>
        <v>0</v>
      </c>
      <c r="E19">
        <f>IF(C19&lt;$B$13,"Needs further education","")</f>
        <v>0</v>
      </c>
      <c r="H19" t="s">
        <v>293</v>
      </c>
      <c r="I19">
        <f>SUMIFS(Seminar_Pre!$I$3:$I$518,Seminar_Pre!$A$3:$A$518,H19)</f>
        <v>0</v>
      </c>
      <c r="J19">
        <f>SUMIFS(Seminar_Post!$I$3:$I$518,Seminar_Post!$A$3:$A$518,H19)</f>
        <v>0</v>
      </c>
      <c r="K19" s="5">
        <f>I19/SUM(Question_Bank!$M$3:$M$14)</f>
        <v>0</v>
      </c>
      <c r="L19" s="5">
        <f>J19/SUM(Question_Bank!$M$3:$M$14)</f>
        <v>0</v>
      </c>
      <c r="M19">
        <f>J19-I19</f>
        <v>0</v>
      </c>
      <c r="N19" s="6">
        <f>(L19-K19)*100</f>
        <v>0</v>
      </c>
      <c r="O19">
        <f>IF(M19&gt;=$B$23,"Substantial",IF(M19&gt;=$B$24,"Modest",IF(M19=0,"Unchanged","Lower")))</f>
        <v>0</v>
      </c>
      <c r="P19" t="s">
        <v>294</v>
      </c>
    </row>
    <row r="20" spans="1:16">
      <c r="H20" t="s">
        <v>295</v>
      </c>
      <c r="I20">
        <f>SUMIFS(Seminar_Pre!$I$3:$I$518,Seminar_Pre!$A$3:$A$518,H20)</f>
        <v>0</v>
      </c>
      <c r="J20">
        <f>SUMIFS(Seminar_Post!$I$3:$I$518,Seminar_Post!$A$3:$A$518,H20)</f>
        <v>0</v>
      </c>
      <c r="K20" s="5">
        <f>I20/SUM(Question_Bank!$M$3:$M$14)</f>
        <v>0</v>
      </c>
      <c r="L20" s="5">
        <f>J20/SUM(Question_Bank!$M$3:$M$14)</f>
        <v>0</v>
      </c>
      <c r="M20">
        <f>J20-I20</f>
        <v>0</v>
      </c>
      <c r="N20" s="6">
        <f>(L20-K20)*100</f>
        <v>0</v>
      </c>
      <c r="O20">
        <f>IF(M20&gt;=$B$23,"Substantial",IF(M20&gt;=$B$24,"Modest",IF(M20=0,"Unchanged","Lower")))</f>
        <v>0</v>
      </c>
      <c r="P20" t="s">
        <v>296</v>
      </c>
    </row>
    <row r="21" spans="1:16">
      <c r="H21" t="s">
        <v>297</v>
      </c>
      <c r="I21">
        <f>SUMIFS(Seminar_Pre!$I$3:$I$518,Seminar_Pre!$A$3:$A$518,H21)</f>
        <v>0</v>
      </c>
      <c r="J21">
        <f>SUMIFS(Seminar_Post!$I$3:$I$518,Seminar_Post!$A$3:$A$518,H21)</f>
        <v>0</v>
      </c>
      <c r="K21" s="5">
        <f>I21/SUM(Question_Bank!$M$3:$M$14)</f>
        <v>0</v>
      </c>
      <c r="L21" s="5">
        <f>J21/SUM(Question_Bank!$M$3:$M$14)</f>
        <v>0</v>
      </c>
      <c r="M21">
        <f>J21-I21</f>
        <v>0</v>
      </c>
      <c r="N21" s="6">
        <f>(L21-K21)*100</f>
        <v>0</v>
      </c>
      <c r="O21">
        <f>IF(M21&gt;=$B$23,"Substantial",IF(M21&gt;=$B$24,"Modest",IF(M21=0,"Unchanged","Lower")))</f>
        <v>0</v>
      </c>
      <c r="P21" t="s">
        <v>298</v>
      </c>
    </row>
    <row r="22" spans="1:16">
      <c r="A22" s="4" t="s">
        <v>235</v>
      </c>
      <c r="B22" s="4" t="s">
        <v>252</v>
      </c>
      <c r="C22" s="4" t="s">
        <v>253</v>
      </c>
      <c r="D22" s="4" t="s">
        <v>254</v>
      </c>
      <c r="H22" t="s">
        <v>299</v>
      </c>
      <c r="I22">
        <f>SUMIFS(Seminar_Pre!$I$3:$I$518,Seminar_Pre!$A$3:$A$518,H22)</f>
        <v>0</v>
      </c>
      <c r="J22">
        <f>SUMIFS(Seminar_Post!$I$3:$I$518,Seminar_Post!$A$3:$A$518,H22)</f>
        <v>0</v>
      </c>
      <c r="K22" s="5">
        <f>I22/SUM(Question_Bank!$M$3:$M$14)</f>
        <v>0</v>
      </c>
      <c r="L22" s="5">
        <f>J22/SUM(Question_Bank!$M$3:$M$14)</f>
        <v>0</v>
      </c>
      <c r="M22">
        <f>J22-I22</f>
        <v>0</v>
      </c>
      <c r="N22" s="6">
        <f>(L22-K22)*100</f>
        <v>0</v>
      </c>
      <c r="O22">
        <f>IF(M22&gt;=$B$23,"Substantial",IF(M22&gt;=$B$24,"Modest",IF(M22=0,"Unchanged","Lower")))</f>
        <v>0</v>
      </c>
      <c r="P22" t="s">
        <v>300</v>
      </c>
    </row>
    <row r="23" spans="1:16">
      <c r="A23" t="s">
        <v>255</v>
      </c>
      <c r="B23">
        <v>3</v>
      </c>
      <c r="C23">
        <f>COUNTIF($M$4:$M$46,"&gt;="&amp;B23)</f>
        <v>0</v>
      </c>
      <c r="D23" s="5">
        <f>C23/$B$4</f>
        <v>0</v>
      </c>
      <c r="H23" t="s">
        <v>301</v>
      </c>
      <c r="I23">
        <f>SUMIFS(Seminar_Pre!$I$3:$I$518,Seminar_Pre!$A$3:$A$518,H23)</f>
        <v>0</v>
      </c>
      <c r="J23">
        <f>SUMIFS(Seminar_Post!$I$3:$I$518,Seminar_Post!$A$3:$A$518,H23)</f>
        <v>0</v>
      </c>
      <c r="K23" s="5">
        <f>I23/SUM(Question_Bank!$M$3:$M$14)</f>
        <v>0</v>
      </c>
      <c r="L23" s="5">
        <f>J23/SUM(Question_Bank!$M$3:$M$14)</f>
        <v>0</v>
      </c>
      <c r="M23">
        <f>J23-I23</f>
        <v>0</v>
      </c>
      <c r="N23" s="6">
        <f>(L23-K23)*100</f>
        <v>0</v>
      </c>
      <c r="O23">
        <f>IF(M23&gt;=$B$23,"Substantial",IF(M23&gt;=$B$24,"Modest",IF(M23=0,"Unchanged","Lower")))</f>
        <v>0</v>
      </c>
      <c r="P23" t="s">
        <v>302</v>
      </c>
    </row>
    <row r="24" spans="1:16">
      <c r="A24" t="s">
        <v>256</v>
      </c>
      <c r="B24">
        <v>1</v>
      </c>
      <c r="C24">
        <f>COUNTIF($M$4:$M$46,"&gt;="&amp;B24)-COUNTIF($M$4:$M$46,"&gt;="&amp;B23)</f>
        <v>0</v>
      </c>
      <c r="D24" s="5">
        <f>C24/$B$4</f>
        <v>0</v>
      </c>
      <c r="H24" t="s">
        <v>303</v>
      </c>
      <c r="I24">
        <f>SUMIFS(Seminar_Pre!$I$3:$I$518,Seminar_Pre!$A$3:$A$518,H24)</f>
        <v>0</v>
      </c>
      <c r="J24">
        <f>SUMIFS(Seminar_Post!$I$3:$I$518,Seminar_Post!$A$3:$A$518,H24)</f>
        <v>0</v>
      </c>
      <c r="K24" s="5">
        <f>I24/SUM(Question_Bank!$M$3:$M$14)</f>
        <v>0</v>
      </c>
      <c r="L24" s="5">
        <f>J24/SUM(Question_Bank!$M$3:$M$14)</f>
        <v>0</v>
      </c>
      <c r="M24">
        <f>J24-I24</f>
        <v>0</v>
      </c>
      <c r="N24" s="6">
        <f>(L24-K24)*100</f>
        <v>0</v>
      </c>
      <c r="O24">
        <f>IF(M24&gt;=$B$23,"Substantial",IF(M24&gt;=$B$24,"Modest",IF(M24=0,"Unchanged","Lower")))</f>
        <v>0</v>
      </c>
      <c r="P24" t="s">
        <v>304</v>
      </c>
    </row>
    <row r="25" spans="1:16">
      <c r="A25" t="s">
        <v>257</v>
      </c>
      <c r="B25">
        <v>0</v>
      </c>
      <c r="C25">
        <f>COUNTIF($M$4:$M$46,0)</f>
        <v>0</v>
      </c>
      <c r="D25" s="5">
        <f>C25/$B$4</f>
        <v>0</v>
      </c>
      <c r="H25" t="s">
        <v>305</v>
      </c>
      <c r="I25">
        <f>SUMIFS(Seminar_Pre!$I$3:$I$518,Seminar_Pre!$A$3:$A$518,H25)</f>
        <v>0</v>
      </c>
      <c r="J25">
        <f>SUMIFS(Seminar_Post!$I$3:$I$518,Seminar_Post!$A$3:$A$518,H25)</f>
        <v>0</v>
      </c>
      <c r="K25" s="5">
        <f>I25/SUM(Question_Bank!$M$3:$M$14)</f>
        <v>0</v>
      </c>
      <c r="L25" s="5">
        <f>J25/SUM(Question_Bank!$M$3:$M$14)</f>
        <v>0</v>
      </c>
      <c r="M25">
        <f>J25-I25</f>
        <v>0</v>
      </c>
      <c r="N25" s="6">
        <f>(L25-K25)*100</f>
        <v>0</v>
      </c>
      <c r="O25">
        <f>IF(M25&gt;=$B$23,"Substantial",IF(M25&gt;=$B$24,"Modest",IF(M25=0,"Unchanged","Lower")))</f>
        <v>0</v>
      </c>
      <c r="P25" t="s">
        <v>306</v>
      </c>
    </row>
    <row r="26" spans="1:16">
      <c r="A26" t="s">
        <v>258</v>
      </c>
      <c r="B26" t="s">
        <v>259</v>
      </c>
      <c r="C26">
        <f>COUNTIF($M$4:$M$46,"&lt;0")</f>
        <v>0</v>
      </c>
      <c r="D26" s="5">
        <f>C26/$B$4</f>
        <v>0</v>
      </c>
      <c r="H26" t="s">
        <v>307</v>
      </c>
      <c r="I26">
        <f>SUMIFS(Seminar_Pre!$I$3:$I$518,Seminar_Pre!$A$3:$A$518,H26)</f>
        <v>0</v>
      </c>
      <c r="J26">
        <f>SUMIFS(Seminar_Post!$I$3:$I$518,Seminar_Post!$A$3:$A$518,H26)</f>
        <v>0</v>
      </c>
      <c r="K26" s="5">
        <f>I26/SUM(Question_Bank!$M$3:$M$14)</f>
        <v>0</v>
      </c>
      <c r="L26" s="5">
        <f>J26/SUM(Question_Bank!$M$3:$M$14)</f>
        <v>0</v>
      </c>
      <c r="M26">
        <f>J26-I26</f>
        <v>0</v>
      </c>
      <c r="N26" s="6">
        <f>(L26-K26)*100</f>
        <v>0</v>
      </c>
      <c r="O26">
        <f>IF(M26&gt;=$B$23,"Substantial",IF(M26&gt;=$B$24,"Modest",IF(M26=0,"Unchanged","Lower")))</f>
        <v>0</v>
      </c>
      <c r="P26" t="s">
        <v>308</v>
      </c>
    </row>
    <row r="27" spans="1:16">
      <c r="H27" t="s">
        <v>309</v>
      </c>
      <c r="I27">
        <f>SUMIFS(Seminar_Pre!$I$3:$I$518,Seminar_Pre!$A$3:$A$518,H27)</f>
        <v>0</v>
      </c>
      <c r="J27">
        <f>SUMIFS(Seminar_Post!$I$3:$I$518,Seminar_Post!$A$3:$A$518,H27)</f>
        <v>0</v>
      </c>
      <c r="K27" s="5">
        <f>I27/SUM(Question_Bank!$M$3:$M$14)</f>
        <v>0</v>
      </c>
      <c r="L27" s="5">
        <f>J27/SUM(Question_Bank!$M$3:$M$14)</f>
        <v>0</v>
      </c>
      <c r="M27">
        <f>J27-I27</f>
        <v>0</v>
      </c>
      <c r="N27" s="6">
        <f>(L27-K27)*100</f>
        <v>0</v>
      </c>
      <c r="O27">
        <f>IF(M27&gt;=$B$23,"Substantial",IF(M27&gt;=$B$24,"Modest",IF(M27=0,"Unchanged","Lower")))</f>
        <v>0</v>
      </c>
      <c r="P27" t="s">
        <v>310</v>
      </c>
    </row>
    <row r="28" spans="1:16">
      <c r="H28" t="s">
        <v>311</v>
      </c>
      <c r="I28">
        <f>SUMIFS(Seminar_Pre!$I$3:$I$518,Seminar_Pre!$A$3:$A$518,H28)</f>
        <v>0</v>
      </c>
      <c r="J28">
        <f>SUMIFS(Seminar_Post!$I$3:$I$518,Seminar_Post!$A$3:$A$518,H28)</f>
        <v>0</v>
      </c>
      <c r="K28" s="5">
        <f>I28/SUM(Question_Bank!$M$3:$M$14)</f>
        <v>0</v>
      </c>
      <c r="L28" s="5">
        <f>J28/SUM(Question_Bank!$M$3:$M$14)</f>
        <v>0</v>
      </c>
      <c r="M28">
        <f>J28-I28</f>
        <v>0</v>
      </c>
      <c r="N28" s="6">
        <f>(L28-K28)*100</f>
        <v>0</v>
      </c>
      <c r="O28">
        <f>IF(M28&gt;=$B$23,"Substantial",IF(M28&gt;=$B$24,"Modest",IF(M28=0,"Unchanged","Lower")))</f>
        <v>0</v>
      </c>
      <c r="P28" t="s">
        <v>312</v>
      </c>
    </row>
    <row r="29" spans="1:16">
      <c r="A29" s="4" t="s">
        <v>260</v>
      </c>
      <c r="B29" s="4" t="s">
        <v>253</v>
      </c>
      <c r="H29" t="s">
        <v>313</v>
      </c>
      <c r="I29">
        <f>SUMIFS(Seminar_Pre!$I$3:$I$518,Seminar_Pre!$A$3:$A$518,H29)</f>
        <v>0</v>
      </c>
      <c r="J29">
        <f>SUMIFS(Seminar_Post!$I$3:$I$518,Seminar_Post!$A$3:$A$518,H29)</f>
        <v>0</v>
      </c>
      <c r="K29" s="5">
        <f>I29/SUM(Question_Bank!$M$3:$M$14)</f>
        <v>0</v>
      </c>
      <c r="L29" s="5">
        <f>J29/SUM(Question_Bank!$M$3:$M$14)</f>
        <v>0</v>
      </c>
      <c r="M29">
        <f>J29-I29</f>
        <v>0</v>
      </c>
      <c r="N29" s="6">
        <f>(L29-K29)*100</f>
        <v>0</v>
      </c>
      <c r="O29">
        <f>IF(M29&gt;=$B$23,"Substantial",IF(M29&gt;=$B$24,"Modest",IF(M29=0,"Unchanged","Lower")))</f>
        <v>0</v>
      </c>
      <c r="P29" t="s">
        <v>314</v>
      </c>
    </row>
    <row r="30" spans="1:16">
      <c r="A30">
        <v>-6</v>
      </c>
      <c r="B30">
        <f>COUNTIF($M$4:$M$46,A30)</f>
        <v>0</v>
      </c>
      <c r="H30" t="s">
        <v>315</v>
      </c>
      <c r="I30">
        <f>SUMIFS(Seminar_Pre!$I$3:$I$518,Seminar_Pre!$A$3:$A$518,H30)</f>
        <v>0</v>
      </c>
      <c r="J30">
        <f>SUMIFS(Seminar_Post!$I$3:$I$518,Seminar_Post!$A$3:$A$518,H30)</f>
        <v>0</v>
      </c>
      <c r="K30" s="5">
        <f>I30/SUM(Question_Bank!$M$3:$M$14)</f>
        <v>0</v>
      </c>
      <c r="L30" s="5">
        <f>J30/SUM(Question_Bank!$M$3:$M$14)</f>
        <v>0</v>
      </c>
      <c r="M30">
        <f>J30-I30</f>
        <v>0</v>
      </c>
      <c r="N30" s="6">
        <f>(L30-K30)*100</f>
        <v>0</v>
      </c>
      <c r="O30">
        <f>IF(M30&gt;=$B$23,"Substantial",IF(M30&gt;=$B$24,"Modest",IF(M30=0,"Unchanged","Lower")))</f>
        <v>0</v>
      </c>
      <c r="P30" t="s">
        <v>316</v>
      </c>
    </row>
    <row r="31" spans="1:16">
      <c r="A31">
        <v>-5</v>
      </c>
      <c r="B31">
        <f>COUNTIF($M$4:$M$46,A31)</f>
        <v>0</v>
      </c>
      <c r="H31" t="s">
        <v>317</v>
      </c>
      <c r="I31">
        <f>SUMIFS(Seminar_Pre!$I$3:$I$518,Seminar_Pre!$A$3:$A$518,H31)</f>
        <v>0</v>
      </c>
      <c r="J31">
        <f>SUMIFS(Seminar_Post!$I$3:$I$518,Seminar_Post!$A$3:$A$518,H31)</f>
        <v>0</v>
      </c>
      <c r="K31" s="5">
        <f>I31/SUM(Question_Bank!$M$3:$M$14)</f>
        <v>0</v>
      </c>
      <c r="L31" s="5">
        <f>J31/SUM(Question_Bank!$M$3:$M$14)</f>
        <v>0</v>
      </c>
      <c r="M31">
        <f>J31-I31</f>
        <v>0</v>
      </c>
      <c r="N31" s="6">
        <f>(L31-K31)*100</f>
        <v>0</v>
      </c>
      <c r="O31">
        <f>IF(M31&gt;=$B$23,"Substantial",IF(M31&gt;=$B$24,"Modest",IF(M31=0,"Unchanged","Lower")))</f>
        <v>0</v>
      </c>
      <c r="P31" t="s">
        <v>318</v>
      </c>
    </row>
    <row r="32" spans="1:16">
      <c r="A32">
        <v>-4</v>
      </c>
      <c r="B32">
        <f>COUNTIF($M$4:$M$46,A32)</f>
        <v>0</v>
      </c>
      <c r="H32" t="s">
        <v>319</v>
      </c>
      <c r="I32">
        <f>SUMIFS(Seminar_Pre!$I$3:$I$518,Seminar_Pre!$A$3:$A$518,H32)</f>
        <v>0</v>
      </c>
      <c r="J32">
        <f>SUMIFS(Seminar_Post!$I$3:$I$518,Seminar_Post!$A$3:$A$518,H32)</f>
        <v>0</v>
      </c>
      <c r="K32" s="5">
        <f>I32/SUM(Question_Bank!$M$3:$M$14)</f>
        <v>0</v>
      </c>
      <c r="L32" s="5">
        <f>J32/SUM(Question_Bank!$M$3:$M$14)</f>
        <v>0</v>
      </c>
      <c r="M32">
        <f>J32-I32</f>
        <v>0</v>
      </c>
      <c r="N32" s="6">
        <f>(L32-K32)*100</f>
        <v>0</v>
      </c>
      <c r="O32">
        <f>IF(M32&gt;=$B$23,"Substantial",IF(M32&gt;=$B$24,"Modest",IF(M32=0,"Unchanged","Lower")))</f>
        <v>0</v>
      </c>
      <c r="P32" t="s">
        <v>320</v>
      </c>
    </row>
    <row r="33" spans="1:16">
      <c r="A33">
        <v>-3</v>
      </c>
      <c r="B33">
        <f>COUNTIF($M$4:$M$46,A33)</f>
        <v>0</v>
      </c>
      <c r="H33" t="s">
        <v>321</v>
      </c>
      <c r="I33">
        <f>SUMIFS(Seminar_Pre!$I$3:$I$518,Seminar_Pre!$A$3:$A$518,H33)</f>
        <v>0</v>
      </c>
      <c r="J33">
        <f>SUMIFS(Seminar_Post!$I$3:$I$518,Seminar_Post!$A$3:$A$518,H33)</f>
        <v>0</v>
      </c>
      <c r="K33" s="5">
        <f>I33/SUM(Question_Bank!$M$3:$M$14)</f>
        <v>0</v>
      </c>
      <c r="L33" s="5">
        <f>J33/SUM(Question_Bank!$M$3:$M$14)</f>
        <v>0</v>
      </c>
      <c r="M33">
        <f>J33-I33</f>
        <v>0</v>
      </c>
      <c r="N33" s="6">
        <f>(L33-K33)*100</f>
        <v>0</v>
      </c>
      <c r="O33">
        <f>IF(M33&gt;=$B$23,"Substantial",IF(M33&gt;=$B$24,"Modest",IF(M33=0,"Unchanged","Lower")))</f>
        <v>0</v>
      </c>
      <c r="P33" t="s">
        <v>322</v>
      </c>
    </row>
    <row r="34" spans="1:16">
      <c r="A34">
        <v>-2</v>
      </c>
      <c r="B34">
        <f>COUNTIF($M$4:$M$46,A34)</f>
        <v>0</v>
      </c>
      <c r="H34" t="s">
        <v>323</v>
      </c>
      <c r="I34">
        <f>SUMIFS(Seminar_Pre!$I$3:$I$518,Seminar_Pre!$A$3:$A$518,H34)</f>
        <v>0</v>
      </c>
      <c r="J34">
        <f>SUMIFS(Seminar_Post!$I$3:$I$518,Seminar_Post!$A$3:$A$518,H34)</f>
        <v>0</v>
      </c>
      <c r="K34" s="5">
        <f>I34/SUM(Question_Bank!$M$3:$M$14)</f>
        <v>0</v>
      </c>
      <c r="L34" s="5">
        <f>J34/SUM(Question_Bank!$M$3:$M$14)</f>
        <v>0</v>
      </c>
      <c r="M34">
        <f>J34-I34</f>
        <v>0</v>
      </c>
      <c r="N34" s="6">
        <f>(L34-K34)*100</f>
        <v>0</v>
      </c>
      <c r="O34">
        <f>IF(M34&gt;=$B$23,"Substantial",IF(M34&gt;=$B$24,"Modest",IF(M34=0,"Unchanged","Lower")))</f>
        <v>0</v>
      </c>
      <c r="P34" t="s">
        <v>324</v>
      </c>
    </row>
    <row r="35" spans="1:16">
      <c r="A35">
        <v>-1</v>
      </c>
      <c r="B35">
        <f>COUNTIF($M$4:$M$46,A35)</f>
        <v>0</v>
      </c>
      <c r="H35" t="s">
        <v>325</v>
      </c>
      <c r="I35">
        <f>SUMIFS(Seminar_Pre!$I$3:$I$518,Seminar_Pre!$A$3:$A$518,H35)</f>
        <v>0</v>
      </c>
      <c r="J35">
        <f>SUMIFS(Seminar_Post!$I$3:$I$518,Seminar_Post!$A$3:$A$518,H35)</f>
        <v>0</v>
      </c>
      <c r="K35" s="5">
        <f>I35/SUM(Question_Bank!$M$3:$M$14)</f>
        <v>0</v>
      </c>
      <c r="L35" s="5">
        <f>J35/SUM(Question_Bank!$M$3:$M$14)</f>
        <v>0</v>
      </c>
      <c r="M35">
        <f>J35-I35</f>
        <v>0</v>
      </c>
      <c r="N35" s="6">
        <f>(L35-K35)*100</f>
        <v>0</v>
      </c>
      <c r="O35">
        <f>IF(M35&gt;=$B$23,"Substantial",IF(M35&gt;=$B$24,"Modest",IF(M35=0,"Unchanged","Lower")))</f>
        <v>0</v>
      </c>
      <c r="P35" t="s">
        <v>326</v>
      </c>
    </row>
    <row r="36" spans="1:16">
      <c r="A36">
        <v>0</v>
      </c>
      <c r="B36">
        <f>COUNTIF($M$4:$M$46,A36)</f>
        <v>0</v>
      </c>
      <c r="H36" t="s">
        <v>327</v>
      </c>
      <c r="I36">
        <f>SUMIFS(Seminar_Pre!$I$3:$I$518,Seminar_Pre!$A$3:$A$518,H36)</f>
        <v>0</v>
      </c>
      <c r="J36">
        <f>SUMIFS(Seminar_Post!$I$3:$I$518,Seminar_Post!$A$3:$A$518,H36)</f>
        <v>0</v>
      </c>
      <c r="K36" s="5">
        <f>I36/SUM(Question_Bank!$M$3:$M$14)</f>
        <v>0</v>
      </c>
      <c r="L36" s="5">
        <f>J36/SUM(Question_Bank!$M$3:$M$14)</f>
        <v>0</v>
      </c>
      <c r="M36">
        <f>J36-I36</f>
        <v>0</v>
      </c>
      <c r="N36" s="6">
        <f>(L36-K36)*100</f>
        <v>0</v>
      </c>
      <c r="O36">
        <f>IF(M36&gt;=$B$23,"Substantial",IF(M36&gt;=$B$24,"Modest",IF(M36=0,"Unchanged","Lower")))</f>
        <v>0</v>
      </c>
      <c r="P36" t="s">
        <v>328</v>
      </c>
    </row>
    <row r="37" spans="1:16">
      <c r="A37">
        <v>1</v>
      </c>
      <c r="B37">
        <f>COUNTIF($M$4:$M$46,A37)</f>
        <v>0</v>
      </c>
      <c r="H37" t="s">
        <v>329</v>
      </c>
      <c r="I37">
        <f>SUMIFS(Seminar_Pre!$I$3:$I$518,Seminar_Pre!$A$3:$A$518,H37)</f>
        <v>0</v>
      </c>
      <c r="J37">
        <f>SUMIFS(Seminar_Post!$I$3:$I$518,Seminar_Post!$A$3:$A$518,H37)</f>
        <v>0</v>
      </c>
      <c r="K37" s="5">
        <f>I37/SUM(Question_Bank!$M$3:$M$14)</f>
        <v>0</v>
      </c>
      <c r="L37" s="5">
        <f>J37/SUM(Question_Bank!$M$3:$M$14)</f>
        <v>0</v>
      </c>
      <c r="M37">
        <f>J37-I37</f>
        <v>0</v>
      </c>
      <c r="N37" s="6">
        <f>(L37-K37)*100</f>
        <v>0</v>
      </c>
      <c r="O37">
        <f>IF(M37&gt;=$B$23,"Substantial",IF(M37&gt;=$B$24,"Modest",IF(M37=0,"Unchanged","Lower")))</f>
        <v>0</v>
      </c>
      <c r="P37" t="s">
        <v>330</v>
      </c>
    </row>
    <row r="38" spans="1:16">
      <c r="A38">
        <v>2</v>
      </c>
      <c r="B38">
        <f>COUNTIF($M$4:$M$46,A38)</f>
        <v>0</v>
      </c>
      <c r="H38" t="s">
        <v>331</v>
      </c>
      <c r="I38">
        <f>SUMIFS(Seminar_Pre!$I$3:$I$518,Seminar_Pre!$A$3:$A$518,H38)</f>
        <v>0</v>
      </c>
      <c r="J38">
        <f>SUMIFS(Seminar_Post!$I$3:$I$518,Seminar_Post!$A$3:$A$518,H38)</f>
        <v>0</v>
      </c>
      <c r="K38" s="5">
        <f>I38/SUM(Question_Bank!$M$3:$M$14)</f>
        <v>0</v>
      </c>
      <c r="L38" s="5">
        <f>J38/SUM(Question_Bank!$M$3:$M$14)</f>
        <v>0</v>
      </c>
      <c r="M38">
        <f>J38-I38</f>
        <v>0</v>
      </c>
      <c r="N38" s="6">
        <f>(L38-K38)*100</f>
        <v>0</v>
      </c>
      <c r="O38">
        <f>IF(M38&gt;=$B$23,"Substantial",IF(M38&gt;=$B$24,"Modest",IF(M38=0,"Unchanged","Lower")))</f>
        <v>0</v>
      </c>
      <c r="P38" t="s">
        <v>332</v>
      </c>
    </row>
    <row r="39" spans="1:16">
      <c r="A39">
        <v>3</v>
      </c>
      <c r="B39">
        <f>COUNTIF($M$4:$M$46,A39)</f>
        <v>0</v>
      </c>
      <c r="H39" t="s">
        <v>333</v>
      </c>
      <c r="I39">
        <f>SUMIFS(Seminar_Pre!$I$3:$I$518,Seminar_Pre!$A$3:$A$518,H39)</f>
        <v>0</v>
      </c>
      <c r="J39">
        <f>SUMIFS(Seminar_Post!$I$3:$I$518,Seminar_Post!$A$3:$A$518,H39)</f>
        <v>0</v>
      </c>
      <c r="K39" s="5">
        <f>I39/SUM(Question_Bank!$M$3:$M$14)</f>
        <v>0</v>
      </c>
      <c r="L39" s="5">
        <f>J39/SUM(Question_Bank!$M$3:$M$14)</f>
        <v>0</v>
      </c>
      <c r="M39">
        <f>J39-I39</f>
        <v>0</v>
      </c>
      <c r="N39" s="6">
        <f>(L39-K39)*100</f>
        <v>0</v>
      </c>
      <c r="O39">
        <f>IF(M39&gt;=$B$23,"Substantial",IF(M39&gt;=$B$24,"Modest",IF(M39=0,"Unchanged","Lower")))</f>
        <v>0</v>
      </c>
      <c r="P39" t="s">
        <v>334</v>
      </c>
    </row>
    <row r="40" spans="1:16">
      <c r="A40">
        <v>4</v>
      </c>
      <c r="B40">
        <f>COUNTIF($M$4:$M$46,A40)</f>
        <v>0</v>
      </c>
      <c r="H40" t="s">
        <v>335</v>
      </c>
      <c r="I40">
        <f>SUMIFS(Seminar_Pre!$I$3:$I$518,Seminar_Pre!$A$3:$A$518,H40)</f>
        <v>0</v>
      </c>
      <c r="J40">
        <f>SUMIFS(Seminar_Post!$I$3:$I$518,Seminar_Post!$A$3:$A$518,H40)</f>
        <v>0</v>
      </c>
      <c r="K40" s="5">
        <f>I40/SUM(Question_Bank!$M$3:$M$14)</f>
        <v>0</v>
      </c>
      <c r="L40" s="5">
        <f>J40/SUM(Question_Bank!$M$3:$M$14)</f>
        <v>0</v>
      </c>
      <c r="M40">
        <f>J40-I40</f>
        <v>0</v>
      </c>
      <c r="N40" s="6">
        <f>(L40-K40)*100</f>
        <v>0</v>
      </c>
      <c r="O40">
        <f>IF(M40&gt;=$B$23,"Substantial",IF(M40&gt;=$B$24,"Modest",IF(M40=0,"Unchanged","Lower")))</f>
        <v>0</v>
      </c>
      <c r="P40" t="s">
        <v>336</v>
      </c>
    </row>
    <row r="41" spans="1:16">
      <c r="A41">
        <v>5</v>
      </c>
      <c r="B41">
        <f>COUNTIF($M$4:$M$46,A41)</f>
        <v>0</v>
      </c>
      <c r="H41" t="s">
        <v>337</v>
      </c>
      <c r="I41">
        <f>SUMIFS(Seminar_Pre!$I$3:$I$518,Seminar_Pre!$A$3:$A$518,H41)</f>
        <v>0</v>
      </c>
      <c r="J41">
        <f>SUMIFS(Seminar_Post!$I$3:$I$518,Seminar_Post!$A$3:$A$518,H41)</f>
        <v>0</v>
      </c>
      <c r="K41" s="5">
        <f>I41/SUM(Question_Bank!$M$3:$M$14)</f>
        <v>0</v>
      </c>
      <c r="L41" s="5">
        <f>J41/SUM(Question_Bank!$M$3:$M$14)</f>
        <v>0</v>
      </c>
      <c r="M41">
        <f>J41-I41</f>
        <v>0</v>
      </c>
      <c r="N41" s="6">
        <f>(L41-K41)*100</f>
        <v>0</v>
      </c>
      <c r="O41">
        <f>IF(M41&gt;=$B$23,"Substantial",IF(M41&gt;=$B$24,"Modest",IF(M41=0,"Unchanged","Lower")))</f>
        <v>0</v>
      </c>
      <c r="P41" t="s">
        <v>338</v>
      </c>
    </row>
    <row r="42" spans="1:16">
      <c r="A42">
        <v>6</v>
      </c>
      <c r="B42">
        <f>COUNTIF($M$4:$M$46,A42)</f>
        <v>0</v>
      </c>
      <c r="H42" t="s">
        <v>339</v>
      </c>
      <c r="I42">
        <f>SUMIFS(Seminar_Pre!$I$3:$I$518,Seminar_Pre!$A$3:$A$518,H42)</f>
        <v>0</v>
      </c>
      <c r="J42">
        <f>SUMIFS(Seminar_Post!$I$3:$I$518,Seminar_Post!$A$3:$A$518,H42)</f>
        <v>0</v>
      </c>
      <c r="K42" s="5">
        <f>I42/SUM(Question_Bank!$M$3:$M$14)</f>
        <v>0</v>
      </c>
      <c r="L42" s="5">
        <f>J42/SUM(Question_Bank!$M$3:$M$14)</f>
        <v>0</v>
      </c>
      <c r="M42">
        <f>J42-I42</f>
        <v>0</v>
      </c>
      <c r="N42" s="6">
        <f>(L42-K42)*100</f>
        <v>0</v>
      </c>
      <c r="O42">
        <f>IF(M42&gt;=$B$23,"Substantial",IF(M42&gt;=$B$24,"Modest",IF(M42=0,"Unchanged","Lower")))</f>
        <v>0</v>
      </c>
      <c r="P42" t="s">
        <v>340</v>
      </c>
    </row>
    <row r="43" spans="1:16">
      <c r="A43">
        <v>7</v>
      </c>
      <c r="B43">
        <f>COUNTIF($M$4:$M$46,A43)</f>
        <v>0</v>
      </c>
      <c r="H43" t="s">
        <v>341</v>
      </c>
      <c r="I43">
        <f>SUMIFS(Seminar_Pre!$I$3:$I$518,Seminar_Pre!$A$3:$A$518,H43)</f>
        <v>0</v>
      </c>
      <c r="J43">
        <f>SUMIFS(Seminar_Post!$I$3:$I$518,Seminar_Post!$A$3:$A$518,H43)</f>
        <v>0</v>
      </c>
      <c r="K43" s="5">
        <f>I43/SUM(Question_Bank!$M$3:$M$14)</f>
        <v>0</v>
      </c>
      <c r="L43" s="5">
        <f>J43/SUM(Question_Bank!$M$3:$M$14)</f>
        <v>0</v>
      </c>
      <c r="M43">
        <f>J43-I43</f>
        <v>0</v>
      </c>
      <c r="N43" s="6">
        <f>(L43-K43)*100</f>
        <v>0</v>
      </c>
      <c r="O43">
        <f>IF(M43&gt;=$B$23,"Substantial",IF(M43&gt;=$B$24,"Modest",IF(M43=0,"Unchanged","Lower")))</f>
        <v>0</v>
      </c>
      <c r="P43" t="s">
        <v>342</v>
      </c>
    </row>
    <row r="44" spans="1:16">
      <c r="A44">
        <v>8</v>
      </c>
      <c r="B44">
        <f>COUNTIF($M$4:$M$46,A44)</f>
        <v>0</v>
      </c>
      <c r="H44" t="s">
        <v>343</v>
      </c>
      <c r="I44">
        <f>SUMIFS(Seminar_Pre!$I$3:$I$518,Seminar_Pre!$A$3:$A$518,H44)</f>
        <v>0</v>
      </c>
      <c r="J44">
        <f>SUMIFS(Seminar_Post!$I$3:$I$518,Seminar_Post!$A$3:$A$518,H44)</f>
        <v>0</v>
      </c>
      <c r="K44" s="5">
        <f>I44/SUM(Question_Bank!$M$3:$M$14)</f>
        <v>0</v>
      </c>
      <c r="L44" s="5">
        <f>J44/SUM(Question_Bank!$M$3:$M$14)</f>
        <v>0</v>
      </c>
      <c r="M44">
        <f>J44-I44</f>
        <v>0</v>
      </c>
      <c r="N44" s="6">
        <f>(L44-K44)*100</f>
        <v>0</v>
      </c>
      <c r="O44">
        <f>IF(M44&gt;=$B$23,"Substantial",IF(M44&gt;=$B$24,"Modest",IF(M44=0,"Unchanged","Lower")))</f>
        <v>0</v>
      </c>
      <c r="P44" t="s">
        <v>344</v>
      </c>
    </row>
    <row r="45" spans="1:16">
      <c r="A45">
        <v>9</v>
      </c>
      <c r="B45">
        <f>COUNTIF($M$4:$M$46,A45)</f>
        <v>0</v>
      </c>
      <c r="H45" t="s">
        <v>345</v>
      </c>
      <c r="I45">
        <f>SUMIFS(Seminar_Pre!$I$3:$I$518,Seminar_Pre!$A$3:$A$518,H45)</f>
        <v>0</v>
      </c>
      <c r="J45">
        <f>SUMIFS(Seminar_Post!$I$3:$I$518,Seminar_Post!$A$3:$A$518,H45)</f>
        <v>0</v>
      </c>
      <c r="K45" s="5">
        <f>I45/SUM(Question_Bank!$M$3:$M$14)</f>
        <v>0</v>
      </c>
      <c r="L45" s="5">
        <f>J45/SUM(Question_Bank!$M$3:$M$14)</f>
        <v>0</v>
      </c>
      <c r="M45">
        <f>J45-I45</f>
        <v>0</v>
      </c>
      <c r="N45" s="6">
        <f>(L45-K45)*100</f>
        <v>0</v>
      </c>
      <c r="O45">
        <f>IF(M45&gt;=$B$23,"Substantial",IF(M45&gt;=$B$24,"Modest",IF(M45=0,"Unchanged","Lower")))</f>
        <v>0</v>
      </c>
      <c r="P45" t="s">
        <v>346</v>
      </c>
    </row>
    <row r="46" spans="1:16">
      <c r="A46">
        <v>10</v>
      </c>
      <c r="B46">
        <f>COUNTIF($M$4:$M$46,A46)</f>
        <v>0</v>
      </c>
      <c r="H46" t="s">
        <v>347</v>
      </c>
      <c r="I46">
        <f>SUMIFS(Seminar_Pre!$I$3:$I$518,Seminar_Pre!$A$3:$A$518,H46)</f>
        <v>0</v>
      </c>
      <c r="J46">
        <f>SUMIFS(Seminar_Post!$I$3:$I$518,Seminar_Post!$A$3:$A$518,H46)</f>
        <v>0</v>
      </c>
      <c r="K46" s="5">
        <f>I46/SUM(Question_Bank!$M$3:$M$14)</f>
        <v>0</v>
      </c>
      <c r="L46" s="5">
        <f>J46/SUM(Question_Bank!$M$3:$M$14)</f>
        <v>0</v>
      </c>
      <c r="M46">
        <f>J46-I46</f>
        <v>0</v>
      </c>
      <c r="N46" s="6">
        <f>(L46-K46)*100</f>
        <v>0</v>
      </c>
      <c r="O46">
        <f>IF(M46&gt;=$B$23,"Substantial",IF(M46&gt;=$B$24,"Modest",IF(M46=0,"Unchanged","Lower")))</f>
        <v>0</v>
      </c>
      <c r="P46" t="s">
        <v>156</v>
      </c>
    </row>
    <row r="48" spans="1:16">
      <c r="A48" s="4" t="s">
        <v>261</v>
      </c>
      <c r="B48" s="4" t="s">
        <v>3</v>
      </c>
      <c r="C48" s="4" t="s">
        <v>248</v>
      </c>
      <c r="D48" s="4" t="s">
        <v>249</v>
      </c>
      <c r="E48" s="4" t="s">
        <v>250</v>
      </c>
      <c r="F48" s="4" t="s">
        <v>251</v>
      </c>
    </row>
    <row r="49" spans="1:6">
      <c r="A49" t="s">
        <v>14</v>
      </c>
      <c r="B49" t="s">
        <v>16</v>
      </c>
      <c r="C49" s="5">
        <f>SUMIFS(Seminar_Pre!$H$3:$H$518,Seminar_Pre!$D$3:$D$518,$A49)/COUNTIFS(Seminar_Pre!$D$3:$D$518,$A49)</f>
        <v>0</v>
      </c>
      <c r="D49" s="5">
        <f>SUMIFS(Seminar_Post!$H$3:$H$518,Seminar_Post!$D$3:$D$518,$A49)/COUNTIFS(Seminar_Post!$D$3:$D$518,$A49)</f>
        <v>0</v>
      </c>
      <c r="E49" s="6">
        <f>(D49-C49)*100</f>
        <v>0</v>
      </c>
      <c r="F49">
        <f>IF(D49&lt;$B$13,"Misconception remains",IF(E49&gt;=25,"Large gain",""))</f>
        <v>0</v>
      </c>
    </row>
    <row r="50" spans="1:6">
      <c r="A50" t="s">
        <v>26</v>
      </c>
      <c r="B50" t="s">
        <v>27</v>
      </c>
      <c r="C50" s="5">
        <f>SUMIFS(Seminar_Pre!$H$3:$H$518,Seminar_Pre!$D$3:$D$518,$A50)/COUNTIFS(Seminar_Pre!$D$3:$D$518,$A50)</f>
        <v>0</v>
      </c>
      <c r="D50" s="5">
        <f>SUMIFS(Seminar_Post!$H$3:$H$518,Seminar_Post!$D$3:$D$518,$A50)/COUNTIFS(Seminar_Post!$D$3:$D$518,$A50)</f>
        <v>0</v>
      </c>
      <c r="E50" s="6">
        <f>(D50-C50)*100</f>
        <v>0</v>
      </c>
      <c r="F50">
        <f>IF(D50&lt;$B$13,"Misconception remains",IF(E50&gt;=25,"Large gain",""))</f>
        <v>0</v>
      </c>
    </row>
    <row r="51" spans="1:6">
      <c r="A51" t="s">
        <v>37</v>
      </c>
      <c r="B51" t="s">
        <v>38</v>
      </c>
      <c r="C51" s="5">
        <f>SUMIFS(Seminar_Pre!$H$3:$H$518,Seminar_Pre!$D$3:$D$518,$A51)/COUNTIFS(Seminar_Pre!$D$3:$D$518,$A51)</f>
        <v>0</v>
      </c>
      <c r="D51" s="5">
        <f>SUMIFS(Seminar_Post!$H$3:$H$518,Seminar_Post!$D$3:$D$518,$A51)/COUNTIFS(Seminar_Post!$D$3:$D$518,$A51)</f>
        <v>0</v>
      </c>
      <c r="E51" s="6">
        <f>(D51-C51)*100</f>
        <v>0</v>
      </c>
      <c r="F51">
        <f>IF(D51&lt;$B$13,"Misconception remains",IF(E51&gt;=25,"Large gain",""))</f>
        <v>0</v>
      </c>
    </row>
    <row r="52" spans="1:6">
      <c r="A52" t="s">
        <v>45</v>
      </c>
      <c r="B52" t="s">
        <v>47</v>
      </c>
      <c r="C52" s="5">
        <f>SUMIFS(Seminar_Pre!$H$3:$H$518,Seminar_Pre!$D$3:$D$518,$A52)/COUNTIFS(Seminar_Pre!$D$3:$D$518,$A52)</f>
        <v>0</v>
      </c>
      <c r="D52" s="5">
        <f>SUMIFS(Seminar_Post!$H$3:$H$518,Seminar_Post!$D$3:$D$518,$A52)/COUNTIFS(Seminar_Post!$D$3:$D$518,$A52)</f>
        <v>0</v>
      </c>
      <c r="E52" s="6">
        <f>(D52-C52)*100</f>
        <v>0</v>
      </c>
      <c r="F52">
        <f>IF(D52&lt;$B$13,"Misconception remains",IF(E52&gt;=25,"Large gain",""))</f>
        <v>0</v>
      </c>
    </row>
    <row r="53" spans="1:6">
      <c r="A53" t="s">
        <v>54</v>
      </c>
      <c r="B53" t="s">
        <v>55</v>
      </c>
      <c r="C53" s="5">
        <f>SUMIFS(Seminar_Pre!$H$3:$H$518,Seminar_Pre!$D$3:$D$518,$A53)/COUNTIFS(Seminar_Pre!$D$3:$D$518,$A53)</f>
        <v>0</v>
      </c>
      <c r="D53" s="5">
        <f>SUMIFS(Seminar_Post!$H$3:$H$518,Seminar_Post!$D$3:$D$518,$A53)/COUNTIFS(Seminar_Post!$D$3:$D$518,$A53)</f>
        <v>0</v>
      </c>
      <c r="E53" s="6">
        <f>(D53-C53)*100</f>
        <v>0</v>
      </c>
      <c r="F53">
        <f>IF(D53&lt;$B$13,"Misconception remains",IF(E53&gt;=25,"Large gain",""))</f>
        <v>0</v>
      </c>
    </row>
    <row r="54" spans="1:6">
      <c r="A54" t="s">
        <v>62</v>
      </c>
      <c r="B54" t="s">
        <v>63</v>
      </c>
      <c r="C54" s="5">
        <f>SUMIFS(Seminar_Pre!$H$3:$H$518,Seminar_Pre!$D$3:$D$518,$A54)/COUNTIFS(Seminar_Pre!$D$3:$D$518,$A54)</f>
        <v>0</v>
      </c>
      <c r="D54" s="5">
        <f>SUMIFS(Seminar_Post!$H$3:$H$518,Seminar_Post!$D$3:$D$518,$A54)/COUNTIFS(Seminar_Post!$D$3:$D$518,$A54)</f>
        <v>0</v>
      </c>
      <c r="E54" s="6">
        <f>(D54-C54)*100</f>
        <v>0</v>
      </c>
      <c r="F54">
        <f>IF(D54&lt;$B$13,"Misconception remains",IF(E54&gt;=25,"Large gain",""))</f>
        <v>0</v>
      </c>
    </row>
    <row r="55" spans="1:6">
      <c r="A55" t="s">
        <v>70</v>
      </c>
      <c r="B55" t="s">
        <v>72</v>
      </c>
      <c r="C55" s="5">
        <f>SUMIFS(Seminar_Pre!$H$3:$H$518,Seminar_Pre!$D$3:$D$518,$A55)/COUNTIFS(Seminar_Pre!$D$3:$D$518,$A55)</f>
        <v>0</v>
      </c>
      <c r="D55" s="5">
        <f>SUMIFS(Seminar_Post!$H$3:$H$518,Seminar_Post!$D$3:$D$518,$A55)/COUNTIFS(Seminar_Post!$D$3:$D$518,$A55)</f>
        <v>0</v>
      </c>
      <c r="E55" s="6">
        <f>(D55-C55)*100</f>
        <v>0</v>
      </c>
      <c r="F55">
        <f>IF(D55&lt;$B$13,"Misconception remains",IF(E55&gt;=25,"Large gain",""))</f>
        <v>0</v>
      </c>
    </row>
    <row r="56" spans="1:6">
      <c r="A56" t="s">
        <v>79</v>
      </c>
      <c r="B56" t="s">
        <v>80</v>
      </c>
      <c r="C56" s="5">
        <f>SUMIFS(Seminar_Pre!$H$3:$H$518,Seminar_Pre!$D$3:$D$518,$A56)/COUNTIFS(Seminar_Pre!$D$3:$D$518,$A56)</f>
        <v>0</v>
      </c>
      <c r="D56" s="5">
        <f>SUMIFS(Seminar_Post!$H$3:$H$518,Seminar_Post!$D$3:$D$518,$A56)/COUNTIFS(Seminar_Post!$D$3:$D$518,$A56)</f>
        <v>0</v>
      </c>
      <c r="E56" s="6">
        <f>(D56-C56)*100</f>
        <v>0</v>
      </c>
      <c r="F56">
        <f>IF(D56&lt;$B$13,"Misconception remains",IF(E56&gt;=25,"Large gain",""))</f>
        <v>0</v>
      </c>
    </row>
    <row r="57" spans="1:6">
      <c r="A57" t="s">
        <v>87</v>
      </c>
      <c r="B57" t="s">
        <v>88</v>
      </c>
      <c r="C57" s="5">
        <f>SUMIFS(Seminar_Pre!$H$3:$H$518,Seminar_Pre!$D$3:$D$518,$A57)/COUNTIFS(Seminar_Pre!$D$3:$D$518,$A57)</f>
        <v>0</v>
      </c>
      <c r="D57" s="5">
        <f>SUMIFS(Seminar_Post!$H$3:$H$518,Seminar_Post!$D$3:$D$518,$A57)/COUNTIFS(Seminar_Post!$D$3:$D$518,$A57)</f>
        <v>0</v>
      </c>
      <c r="E57" s="6">
        <f>(D57-C57)*100</f>
        <v>0</v>
      </c>
      <c r="F57">
        <f>IF(D57&lt;$B$13,"Misconception remains",IF(E57&gt;=25,"Large gain",""))</f>
        <v>0</v>
      </c>
    </row>
    <row r="58" spans="1:6">
      <c r="A58" t="s">
        <v>95</v>
      </c>
      <c r="B58" t="s">
        <v>97</v>
      </c>
      <c r="C58" s="5">
        <f>SUMIFS(Seminar_Pre!$H$3:$H$518,Seminar_Pre!$D$3:$D$518,$A58)/COUNTIFS(Seminar_Pre!$D$3:$D$518,$A58)</f>
        <v>0</v>
      </c>
      <c r="D58" s="5">
        <f>SUMIFS(Seminar_Post!$H$3:$H$518,Seminar_Post!$D$3:$D$518,$A58)/COUNTIFS(Seminar_Post!$D$3:$D$518,$A58)</f>
        <v>0</v>
      </c>
      <c r="E58" s="6">
        <f>(D58-C58)*100</f>
        <v>0</v>
      </c>
      <c r="F58">
        <f>IF(D58&lt;$B$13,"Misconception remains",IF(E58&gt;=25,"Large gain",""))</f>
        <v>0</v>
      </c>
    </row>
    <row r="59" spans="1:6">
      <c r="A59" t="s">
        <v>104</v>
      </c>
      <c r="B59" t="s">
        <v>105</v>
      </c>
      <c r="C59" s="5">
        <f>SUMIFS(Seminar_Pre!$H$3:$H$518,Seminar_Pre!$D$3:$D$518,$A59)/COUNTIFS(Seminar_Pre!$D$3:$D$518,$A59)</f>
        <v>0</v>
      </c>
      <c r="D59" s="5">
        <f>SUMIFS(Seminar_Post!$H$3:$H$518,Seminar_Post!$D$3:$D$518,$A59)/COUNTIFS(Seminar_Post!$D$3:$D$518,$A59)</f>
        <v>0</v>
      </c>
      <c r="E59" s="6">
        <f>(D59-C59)*100</f>
        <v>0</v>
      </c>
      <c r="F59">
        <f>IF(D59&lt;$B$13,"Misconception remains",IF(E59&gt;=25,"Large gain",""))</f>
        <v>0</v>
      </c>
    </row>
    <row r="60" spans="1:6">
      <c r="A60" t="s">
        <v>112</v>
      </c>
      <c r="B60" t="s">
        <v>113</v>
      </c>
      <c r="C60" s="5">
        <f>SUMIFS(Seminar_Pre!$H$3:$H$518,Seminar_Pre!$D$3:$D$518,$A60)/COUNTIFS(Seminar_Pre!$D$3:$D$518,$A60)</f>
        <v>0</v>
      </c>
      <c r="D60" s="5">
        <f>SUMIFS(Seminar_Post!$H$3:$H$518,Seminar_Post!$D$3:$D$518,$A60)/COUNTIFS(Seminar_Post!$D$3:$D$518,$A60)</f>
        <v>0</v>
      </c>
      <c r="E60" s="6">
        <f>(D60-C60)*100</f>
        <v>0</v>
      </c>
      <c r="F60">
        <f>IF(D60&lt;$B$13,"Misconception remains",IF(E60&gt;=25,"Large gain",""))</f>
        <v>0</v>
      </c>
    </row>
  </sheetData>
  <mergeCells count="1">
    <mergeCell ref="A1:P1"/>
  </mergeCells>
  <conditionalFormatting sqref="N4:N46">
    <cfRule type="colorScale" priority="1">
      <colorScale>
        <cfvo type="min" val="0"/>
        <cfvo type="num" val="0"/>
        <cfvo type="max" val="0"/>
        <color rgb="FFF8B4B4"/>
        <color rgb="FFFFFFFF"/>
        <color rgb="FF86D7A8"/>
      </colorScale>
    </cfRule>
  </conditionalFormatting>
  <conditionalFormatting sqref="D16:D19">
    <cfRule type="colorScale" priority="2">
      <colorScale>
        <cfvo type="min" val="0"/>
        <cfvo type="num" val="0"/>
        <cfvo type="max" val="0"/>
        <color rgb="FFF8B4B4"/>
        <color rgb="FFFFFFFF"/>
        <color rgb="FF86D7A8"/>
      </colorScale>
    </cfRule>
  </conditionalFormatting>
  <conditionalFormatting sqref="E49:E60">
    <cfRule type="colorScale" priority="3">
      <colorScale>
        <cfvo type="min" val="0"/>
        <cfvo type="num" val="0"/>
        <cfvo type="max" val="0"/>
        <color rgb="FFF8B4B4"/>
        <color rgb="FFFFFFFF"/>
        <color rgb="FF86D7A8"/>
      </colorScale>
    </cfRule>
  </conditionalFormatting>
  <conditionalFormatting sqref="C16:C19">
    <cfRule type="cellIs" dxfId="0" priority="4" operator="lessThan">
      <formula>$B$13</formula>
    </cfRule>
  </conditionalFormatting>
  <conditionalFormatting sqref="D49:D60">
    <cfRule type="cellIs" dxfId="0" priority="5" operator="lessThan">
      <formula>$B$13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T64"/>
  <sheetViews>
    <sheetView tabSelected="1" workbookViewId="0"/>
  </sheetViews>
  <sheetFormatPr defaultRowHeight="15"/>
  <cols>
    <col min="1" max="1" width="38.7109375" customWidth="1"/>
    <col min="2" max="2" width="34.7109375" customWidth="1"/>
    <col min="3" max="8" width="16.7109375" customWidth="1"/>
    <col min="9" max="9" width="3.7109375" customWidth="1"/>
  </cols>
  <sheetData>
    <row r="1" spans="1:20">
      <c r="A1" s="1" t="s">
        <v>349</v>
      </c>
      <c r="B1" s="1"/>
      <c r="C1" s="1"/>
      <c r="D1" s="1"/>
      <c r="E1" s="1"/>
      <c r="F1" s="1"/>
      <c r="G1" s="1"/>
      <c r="H1" s="1"/>
      <c r="I1" s="1"/>
      <c r="J1" s="1"/>
      <c r="K1" s="1"/>
      <c r="L1" s="1"/>
      <c r="M1" s="1"/>
      <c r="N1" s="1"/>
      <c r="O1" s="1"/>
      <c r="P1" s="1"/>
      <c r="Q1" s="1"/>
      <c r="R1" s="1"/>
      <c r="S1" s="1"/>
      <c r="T1" s="1"/>
    </row>
    <row r="4" spans="1:20">
      <c r="A4" s="4" t="s">
        <v>236</v>
      </c>
      <c r="B4" s="4" t="s">
        <v>350</v>
      </c>
      <c r="C4" s="4" t="s">
        <v>351</v>
      </c>
      <c r="D4" s="4" t="s">
        <v>352</v>
      </c>
    </row>
    <row r="5" spans="1:20">
      <c r="A5" t="s">
        <v>238</v>
      </c>
      <c r="B5">
        <f>Social_Analysis!B4</f>
        <v>0</v>
      </c>
      <c r="C5">
        <f>Seminar_Analysis!B4</f>
        <v>0</v>
      </c>
      <c r="D5">
        <f>C5-B5</f>
        <v>0</v>
      </c>
    </row>
    <row r="6" spans="1:20">
      <c r="A6" t="s">
        <v>241</v>
      </c>
      <c r="B6" s="5">
        <f>Social_Analysis!B7</f>
        <v>0</v>
      </c>
      <c r="C6" s="5">
        <f>Seminar_Analysis!B7</f>
        <v>0</v>
      </c>
      <c r="D6" s="5">
        <f>C6-B6</f>
        <v>0</v>
      </c>
    </row>
    <row r="7" spans="1:20">
      <c r="A7" t="s">
        <v>242</v>
      </c>
      <c r="B7" s="5">
        <f>Social_Analysis!B8</f>
        <v>0</v>
      </c>
      <c r="C7" s="5">
        <f>Seminar_Analysis!B8</f>
        <v>0</v>
      </c>
      <c r="D7" s="5">
        <f>C7-B7</f>
        <v>0</v>
      </c>
    </row>
    <row r="8" spans="1:20">
      <c r="A8" t="s">
        <v>353</v>
      </c>
      <c r="B8" s="6">
        <f>Social_Analysis!B9</f>
        <v>0</v>
      </c>
      <c r="C8" s="6">
        <f>Seminar_Analysis!B9</f>
        <v>0</v>
      </c>
      <c r="D8" s="6">
        <f>C8-B8</f>
        <v>0</v>
      </c>
    </row>
    <row r="9" spans="1:20">
      <c r="A9" t="s">
        <v>244</v>
      </c>
      <c r="B9" s="5">
        <f>Social_Analysis!B10</f>
        <v>0</v>
      </c>
      <c r="C9" s="5">
        <f>Seminar_Analysis!B10</f>
        <v>0</v>
      </c>
      <c r="D9" s="5">
        <f>C9-B9</f>
        <v>0</v>
      </c>
    </row>
    <row r="10" spans="1:20">
      <c r="A10" t="s">
        <v>245</v>
      </c>
      <c r="B10" s="5">
        <f>Social_Analysis!B11</f>
        <v>0</v>
      </c>
      <c r="C10" s="5">
        <f>Seminar_Analysis!B11</f>
        <v>0</v>
      </c>
      <c r="D10" s="5">
        <f>C10-B10</f>
        <v>0</v>
      </c>
    </row>
    <row r="12" spans="1:20">
      <c r="A12" s="4" t="s">
        <v>2</v>
      </c>
      <c r="B12" s="4" t="s">
        <v>354</v>
      </c>
      <c r="C12" s="4" t="s">
        <v>355</v>
      </c>
      <c r="D12" s="4" t="s">
        <v>356</v>
      </c>
      <c r="E12" s="4" t="s">
        <v>357</v>
      </c>
      <c r="F12" s="4" t="s">
        <v>358</v>
      </c>
      <c r="G12" s="4" t="s">
        <v>359</v>
      </c>
    </row>
    <row r="13" spans="1:20">
      <c r="A13" t="s">
        <v>15</v>
      </c>
      <c r="B13" s="5">
        <f>Social_Analysis!B16</f>
        <v>0</v>
      </c>
      <c r="C13" s="5">
        <f>Social_Analysis!C16</f>
        <v>0</v>
      </c>
      <c r="D13" s="5">
        <f>Seminar_Analysis!B16</f>
        <v>0</v>
      </c>
      <c r="E13" s="5">
        <f>Seminar_Analysis!C16</f>
        <v>0</v>
      </c>
      <c r="F13" s="6">
        <f>(C13-B13)*100</f>
        <v>0</v>
      </c>
      <c r="G13" s="6">
        <f>(E13-D13)*100</f>
        <v>0</v>
      </c>
    </row>
    <row r="14" spans="1:20">
      <c r="A14" t="s">
        <v>46</v>
      </c>
      <c r="B14" s="5">
        <f>Social_Analysis!B17</f>
        <v>0</v>
      </c>
      <c r="C14" s="5">
        <f>Social_Analysis!C17</f>
        <v>0</v>
      </c>
      <c r="D14" s="5">
        <f>Seminar_Analysis!B17</f>
        <v>0</v>
      </c>
      <c r="E14" s="5">
        <f>Seminar_Analysis!C17</f>
        <v>0</v>
      </c>
      <c r="F14" s="6">
        <f>(C14-B14)*100</f>
        <v>0</v>
      </c>
      <c r="G14" s="6">
        <f>(E14-D14)*100</f>
        <v>0</v>
      </c>
    </row>
    <row r="15" spans="1:20">
      <c r="A15" t="s">
        <v>71</v>
      </c>
      <c r="B15" s="5">
        <f>Social_Analysis!B18</f>
        <v>0</v>
      </c>
      <c r="C15" s="5">
        <f>Social_Analysis!C18</f>
        <v>0</v>
      </c>
      <c r="D15" s="5">
        <f>Seminar_Analysis!B18</f>
        <v>0</v>
      </c>
      <c r="E15" s="5">
        <f>Seminar_Analysis!C18</f>
        <v>0</v>
      </c>
      <c r="F15" s="6">
        <f>(C15-B15)*100</f>
        <v>0</v>
      </c>
      <c r="G15" s="6">
        <f>(E15-D15)*100</f>
        <v>0</v>
      </c>
    </row>
    <row r="16" spans="1:20">
      <c r="A16" t="s">
        <v>96</v>
      </c>
      <c r="B16" s="5">
        <f>Social_Analysis!B19</f>
        <v>0</v>
      </c>
      <c r="C16" s="5">
        <f>Social_Analysis!C19</f>
        <v>0</v>
      </c>
      <c r="D16" s="5">
        <f>Seminar_Analysis!B19</f>
        <v>0</v>
      </c>
      <c r="E16" s="5">
        <f>Seminar_Analysis!C19</f>
        <v>0</v>
      </c>
      <c r="F16" s="6">
        <f>(C16-B16)*100</f>
        <v>0</v>
      </c>
      <c r="G16" s="6">
        <f>(E16-D16)*100</f>
        <v>0</v>
      </c>
    </row>
    <row r="17" spans="1:7">
      <c r="A17" t="s">
        <v>360</v>
      </c>
      <c r="B17" s="5">
        <f>Social_Analysis!B7</f>
        <v>0</v>
      </c>
      <c r="C17" s="5">
        <f>Social_Analysis!B8</f>
        <v>0</v>
      </c>
      <c r="D17" s="5">
        <f>Seminar_Analysis!B7</f>
        <v>0</v>
      </c>
      <c r="E17" s="5">
        <f>Seminar_Analysis!B8</f>
        <v>0</v>
      </c>
      <c r="F17" s="6">
        <f>(C17-B17)*100</f>
        <v>0</v>
      </c>
      <c r="G17" s="6">
        <f>(E17-D17)*100</f>
        <v>0</v>
      </c>
    </row>
    <row r="19" spans="1:7">
      <c r="A19" s="4" t="s">
        <v>361</v>
      </c>
      <c r="B19" s="4" t="s">
        <v>362</v>
      </c>
      <c r="C19" s="4" t="s">
        <v>351</v>
      </c>
    </row>
    <row r="20" spans="1:7">
      <c r="A20">
        <f>Social_Analysis!A23</f>
        <v>0</v>
      </c>
      <c r="B20">
        <f>Social_Analysis!C23</f>
        <v>0</v>
      </c>
      <c r="C20">
        <f>Seminar_Analysis!C23</f>
        <v>0</v>
      </c>
    </row>
    <row r="21" spans="1:7">
      <c r="A21">
        <f>Social_Analysis!A24</f>
        <v>0</v>
      </c>
      <c r="B21">
        <f>Social_Analysis!C24</f>
        <v>0</v>
      </c>
      <c r="C21">
        <f>Seminar_Analysis!C24</f>
        <v>0</v>
      </c>
    </row>
    <row r="22" spans="1:7">
      <c r="A22">
        <f>Social_Analysis!A25</f>
        <v>0</v>
      </c>
      <c r="B22">
        <f>Social_Analysis!C25</f>
        <v>0</v>
      </c>
      <c r="C22">
        <f>Seminar_Analysis!C25</f>
        <v>0</v>
      </c>
    </row>
    <row r="23" spans="1:7">
      <c r="A23">
        <f>Social_Analysis!A26</f>
        <v>0</v>
      </c>
      <c r="B23">
        <f>Social_Analysis!C26</f>
        <v>0</v>
      </c>
      <c r="C23">
        <f>Seminar_Analysis!C26</f>
        <v>0</v>
      </c>
    </row>
    <row r="24" spans="1:7">
      <c r="A24" s="4" t="s">
        <v>260</v>
      </c>
      <c r="B24" s="4" t="s">
        <v>362</v>
      </c>
      <c r="C24" s="4" t="s">
        <v>351</v>
      </c>
    </row>
    <row r="25" spans="1:7">
      <c r="A25">
        <f>Social_Analysis!A30</f>
        <v>0</v>
      </c>
      <c r="B25">
        <f>Social_Analysis!B30</f>
        <v>0</v>
      </c>
      <c r="C25">
        <f>Seminar_Analysis!B30</f>
        <v>0</v>
      </c>
    </row>
    <row r="26" spans="1:7">
      <c r="A26">
        <f>Social_Analysis!A31</f>
        <v>0</v>
      </c>
      <c r="B26">
        <f>Social_Analysis!B31</f>
        <v>0</v>
      </c>
      <c r="C26">
        <f>Seminar_Analysis!B31</f>
        <v>0</v>
      </c>
    </row>
    <row r="27" spans="1:7">
      <c r="A27">
        <f>Social_Analysis!A32</f>
        <v>0</v>
      </c>
      <c r="B27">
        <f>Social_Analysis!B32</f>
        <v>0</v>
      </c>
      <c r="C27">
        <f>Seminar_Analysis!B32</f>
        <v>0</v>
      </c>
    </row>
    <row r="28" spans="1:7">
      <c r="A28">
        <f>Social_Analysis!A33</f>
        <v>0</v>
      </c>
      <c r="B28">
        <f>Social_Analysis!B33</f>
        <v>0</v>
      </c>
      <c r="C28">
        <f>Seminar_Analysis!B33</f>
        <v>0</v>
      </c>
    </row>
    <row r="29" spans="1:7">
      <c r="A29">
        <f>Social_Analysis!A34</f>
        <v>0</v>
      </c>
      <c r="B29">
        <f>Social_Analysis!B34</f>
        <v>0</v>
      </c>
      <c r="C29">
        <f>Seminar_Analysis!B34</f>
        <v>0</v>
      </c>
    </row>
    <row r="30" spans="1:7">
      <c r="A30">
        <f>Social_Analysis!A35</f>
        <v>0</v>
      </c>
      <c r="B30">
        <f>Social_Analysis!B35</f>
        <v>0</v>
      </c>
      <c r="C30">
        <f>Seminar_Analysis!B35</f>
        <v>0</v>
      </c>
    </row>
    <row r="31" spans="1:7">
      <c r="A31">
        <f>Social_Analysis!A36</f>
        <v>0</v>
      </c>
      <c r="B31">
        <f>Social_Analysis!B36</f>
        <v>0</v>
      </c>
      <c r="C31">
        <f>Seminar_Analysis!B36</f>
        <v>0</v>
      </c>
    </row>
    <row r="32" spans="1:7">
      <c r="A32">
        <f>Social_Analysis!A37</f>
        <v>0</v>
      </c>
      <c r="B32">
        <f>Social_Analysis!B37</f>
        <v>0</v>
      </c>
      <c r="C32">
        <f>Seminar_Analysis!B37</f>
        <v>0</v>
      </c>
    </row>
    <row r="33" spans="1:8">
      <c r="A33">
        <f>Social_Analysis!A38</f>
        <v>0</v>
      </c>
      <c r="B33">
        <f>Social_Analysis!B38</f>
        <v>0</v>
      </c>
      <c r="C33">
        <f>Seminar_Analysis!B38</f>
        <v>0</v>
      </c>
    </row>
    <row r="34" spans="1:8">
      <c r="A34">
        <f>Social_Analysis!A39</f>
        <v>0</v>
      </c>
      <c r="B34">
        <f>Social_Analysis!B39</f>
        <v>0</v>
      </c>
      <c r="C34">
        <f>Seminar_Analysis!B39</f>
        <v>0</v>
      </c>
    </row>
    <row r="35" spans="1:8">
      <c r="A35">
        <f>Social_Analysis!A40</f>
        <v>0</v>
      </c>
      <c r="B35">
        <f>Social_Analysis!B40</f>
        <v>0</v>
      </c>
      <c r="C35">
        <f>Seminar_Analysis!B40</f>
        <v>0</v>
      </c>
    </row>
    <row r="36" spans="1:8">
      <c r="A36">
        <f>Social_Analysis!A41</f>
        <v>0</v>
      </c>
      <c r="B36">
        <f>Social_Analysis!B41</f>
        <v>0</v>
      </c>
      <c r="C36">
        <f>Seminar_Analysis!B41</f>
        <v>0</v>
      </c>
    </row>
    <row r="37" spans="1:8">
      <c r="A37">
        <f>Social_Analysis!A42</f>
        <v>0</v>
      </c>
      <c r="B37">
        <f>Social_Analysis!B42</f>
        <v>0</v>
      </c>
      <c r="C37">
        <f>Seminar_Analysis!B42</f>
        <v>0</v>
      </c>
    </row>
    <row r="38" spans="1:8">
      <c r="A38">
        <f>Social_Analysis!A43</f>
        <v>0</v>
      </c>
      <c r="B38">
        <f>Social_Analysis!B43</f>
        <v>0</v>
      </c>
      <c r="C38">
        <f>Seminar_Analysis!B43</f>
        <v>0</v>
      </c>
    </row>
    <row r="39" spans="1:8">
      <c r="A39">
        <f>Social_Analysis!A44</f>
        <v>0</v>
      </c>
      <c r="B39">
        <f>Social_Analysis!B44</f>
        <v>0</v>
      </c>
      <c r="C39">
        <f>Seminar_Analysis!B44</f>
        <v>0</v>
      </c>
    </row>
    <row r="40" spans="1:8">
      <c r="A40">
        <f>Social_Analysis!A45</f>
        <v>0</v>
      </c>
      <c r="B40">
        <f>Social_Analysis!B45</f>
        <v>0</v>
      </c>
      <c r="C40">
        <f>Seminar_Analysis!B45</f>
        <v>0</v>
      </c>
    </row>
    <row r="41" spans="1:8">
      <c r="A41">
        <f>Social_Analysis!A46</f>
        <v>0</v>
      </c>
      <c r="B41">
        <f>Social_Analysis!B46</f>
        <v>0</v>
      </c>
      <c r="C41">
        <f>Seminar_Analysis!B46</f>
        <v>0</v>
      </c>
    </row>
    <row r="43" spans="1:8">
      <c r="A43" s="4" t="s">
        <v>261</v>
      </c>
      <c r="B43" s="4" t="s">
        <v>3</v>
      </c>
      <c r="C43" s="4" t="s">
        <v>354</v>
      </c>
      <c r="D43" s="4" t="s">
        <v>355</v>
      </c>
      <c r="E43" s="4" t="s">
        <v>363</v>
      </c>
      <c r="F43" s="4" t="s">
        <v>356</v>
      </c>
      <c r="G43" s="4" t="s">
        <v>357</v>
      </c>
      <c r="H43" s="4" t="s">
        <v>364</v>
      </c>
    </row>
    <row r="44" spans="1:8">
      <c r="A44">
        <f>Social_Analysis!A49</f>
        <v>0</v>
      </c>
      <c r="B44">
        <f>Social_Analysis!B49</f>
        <v>0</v>
      </c>
      <c r="C44" s="5">
        <f>Social_Analysis!C49</f>
        <v>0</v>
      </c>
      <c r="D44" s="5">
        <f>Social_Analysis!D49</f>
        <v>0</v>
      </c>
      <c r="E44" s="6">
        <f>Social_Analysis!E49</f>
        <v>0</v>
      </c>
      <c r="F44" s="5">
        <f>Seminar_Analysis!C49</f>
        <v>0</v>
      </c>
      <c r="G44" s="5">
        <f>Seminar_Analysis!D49</f>
        <v>0</v>
      </c>
      <c r="H44" s="6">
        <f>Seminar_Analysis!E49</f>
        <v>0</v>
      </c>
    </row>
    <row r="45" spans="1:8">
      <c r="A45">
        <f>Social_Analysis!A50</f>
        <v>0</v>
      </c>
      <c r="B45">
        <f>Social_Analysis!B50</f>
        <v>0</v>
      </c>
      <c r="C45" s="5">
        <f>Social_Analysis!C50</f>
        <v>0</v>
      </c>
      <c r="D45" s="5">
        <f>Social_Analysis!D50</f>
        <v>0</v>
      </c>
      <c r="E45" s="6">
        <f>Social_Analysis!E50</f>
        <v>0</v>
      </c>
      <c r="F45" s="5">
        <f>Seminar_Analysis!C50</f>
        <v>0</v>
      </c>
      <c r="G45" s="5">
        <f>Seminar_Analysis!D50</f>
        <v>0</v>
      </c>
      <c r="H45" s="6">
        <f>Seminar_Analysis!E50</f>
        <v>0</v>
      </c>
    </row>
    <row r="46" spans="1:8">
      <c r="A46">
        <f>Social_Analysis!A51</f>
        <v>0</v>
      </c>
      <c r="B46">
        <f>Social_Analysis!B51</f>
        <v>0</v>
      </c>
      <c r="C46" s="5">
        <f>Social_Analysis!C51</f>
        <v>0</v>
      </c>
      <c r="D46" s="5">
        <f>Social_Analysis!D51</f>
        <v>0</v>
      </c>
      <c r="E46" s="6">
        <f>Social_Analysis!E51</f>
        <v>0</v>
      </c>
      <c r="F46" s="5">
        <f>Seminar_Analysis!C51</f>
        <v>0</v>
      </c>
      <c r="G46" s="5">
        <f>Seminar_Analysis!D51</f>
        <v>0</v>
      </c>
      <c r="H46" s="6">
        <f>Seminar_Analysis!E51</f>
        <v>0</v>
      </c>
    </row>
    <row r="47" spans="1:8">
      <c r="A47">
        <f>Social_Analysis!A52</f>
        <v>0</v>
      </c>
      <c r="B47">
        <f>Social_Analysis!B52</f>
        <v>0</v>
      </c>
      <c r="C47" s="5">
        <f>Social_Analysis!C52</f>
        <v>0</v>
      </c>
      <c r="D47" s="5">
        <f>Social_Analysis!D52</f>
        <v>0</v>
      </c>
      <c r="E47" s="6">
        <f>Social_Analysis!E52</f>
        <v>0</v>
      </c>
      <c r="F47" s="5">
        <f>Seminar_Analysis!C52</f>
        <v>0</v>
      </c>
      <c r="G47" s="5">
        <f>Seminar_Analysis!D52</f>
        <v>0</v>
      </c>
      <c r="H47" s="6">
        <f>Seminar_Analysis!E52</f>
        <v>0</v>
      </c>
    </row>
    <row r="48" spans="1:8">
      <c r="A48">
        <f>Social_Analysis!A53</f>
        <v>0</v>
      </c>
      <c r="B48">
        <f>Social_Analysis!B53</f>
        <v>0</v>
      </c>
      <c r="C48" s="5">
        <f>Social_Analysis!C53</f>
        <v>0</v>
      </c>
      <c r="D48" s="5">
        <f>Social_Analysis!D53</f>
        <v>0</v>
      </c>
      <c r="E48" s="6">
        <f>Social_Analysis!E53</f>
        <v>0</v>
      </c>
      <c r="F48" s="5">
        <f>Seminar_Analysis!C53</f>
        <v>0</v>
      </c>
      <c r="G48" s="5">
        <f>Seminar_Analysis!D53</f>
        <v>0</v>
      </c>
      <c r="H48" s="6">
        <f>Seminar_Analysis!E53</f>
        <v>0</v>
      </c>
    </row>
    <row r="49" spans="1:8">
      <c r="A49">
        <f>Social_Analysis!A54</f>
        <v>0</v>
      </c>
      <c r="B49">
        <f>Social_Analysis!B54</f>
        <v>0</v>
      </c>
      <c r="C49" s="5">
        <f>Social_Analysis!C54</f>
        <v>0</v>
      </c>
      <c r="D49" s="5">
        <f>Social_Analysis!D54</f>
        <v>0</v>
      </c>
      <c r="E49" s="6">
        <f>Social_Analysis!E54</f>
        <v>0</v>
      </c>
      <c r="F49" s="5">
        <f>Seminar_Analysis!C54</f>
        <v>0</v>
      </c>
      <c r="G49" s="5">
        <f>Seminar_Analysis!D54</f>
        <v>0</v>
      </c>
      <c r="H49" s="6">
        <f>Seminar_Analysis!E54</f>
        <v>0</v>
      </c>
    </row>
    <row r="50" spans="1:8">
      <c r="A50">
        <f>Social_Analysis!A55</f>
        <v>0</v>
      </c>
      <c r="B50">
        <f>Social_Analysis!B55</f>
        <v>0</v>
      </c>
      <c r="C50" s="5">
        <f>Social_Analysis!C55</f>
        <v>0</v>
      </c>
      <c r="D50" s="5">
        <f>Social_Analysis!D55</f>
        <v>0</v>
      </c>
      <c r="E50" s="6">
        <f>Social_Analysis!E55</f>
        <v>0</v>
      </c>
      <c r="F50" s="5">
        <f>Seminar_Analysis!C55</f>
        <v>0</v>
      </c>
      <c r="G50" s="5">
        <f>Seminar_Analysis!D55</f>
        <v>0</v>
      </c>
      <c r="H50" s="6">
        <f>Seminar_Analysis!E55</f>
        <v>0</v>
      </c>
    </row>
    <row r="51" spans="1:8">
      <c r="A51">
        <f>Social_Analysis!A56</f>
        <v>0</v>
      </c>
      <c r="B51">
        <f>Social_Analysis!B56</f>
        <v>0</v>
      </c>
      <c r="C51" s="5">
        <f>Social_Analysis!C56</f>
        <v>0</v>
      </c>
      <c r="D51" s="5">
        <f>Social_Analysis!D56</f>
        <v>0</v>
      </c>
      <c r="E51" s="6">
        <f>Social_Analysis!E56</f>
        <v>0</v>
      </c>
      <c r="F51" s="5">
        <f>Seminar_Analysis!C56</f>
        <v>0</v>
      </c>
      <c r="G51" s="5">
        <f>Seminar_Analysis!D56</f>
        <v>0</v>
      </c>
      <c r="H51" s="6">
        <f>Seminar_Analysis!E56</f>
        <v>0</v>
      </c>
    </row>
    <row r="52" spans="1:8">
      <c r="A52">
        <f>Social_Analysis!A57</f>
        <v>0</v>
      </c>
      <c r="B52">
        <f>Social_Analysis!B57</f>
        <v>0</v>
      </c>
      <c r="C52" s="5">
        <f>Social_Analysis!C57</f>
        <v>0</v>
      </c>
      <c r="D52" s="5">
        <f>Social_Analysis!D57</f>
        <v>0</v>
      </c>
      <c r="E52" s="6">
        <f>Social_Analysis!E57</f>
        <v>0</v>
      </c>
      <c r="F52" s="5">
        <f>Seminar_Analysis!C57</f>
        <v>0</v>
      </c>
      <c r="G52" s="5">
        <f>Seminar_Analysis!D57</f>
        <v>0</v>
      </c>
      <c r="H52" s="6">
        <f>Seminar_Analysis!E57</f>
        <v>0</v>
      </c>
    </row>
    <row r="53" spans="1:8">
      <c r="A53">
        <f>Social_Analysis!A58</f>
        <v>0</v>
      </c>
      <c r="B53">
        <f>Social_Analysis!B58</f>
        <v>0</v>
      </c>
      <c r="C53" s="5">
        <f>Social_Analysis!C58</f>
        <v>0</v>
      </c>
      <c r="D53" s="5">
        <f>Social_Analysis!D58</f>
        <v>0</v>
      </c>
      <c r="E53" s="6">
        <f>Social_Analysis!E58</f>
        <v>0</v>
      </c>
      <c r="F53" s="5">
        <f>Seminar_Analysis!C58</f>
        <v>0</v>
      </c>
      <c r="G53" s="5">
        <f>Seminar_Analysis!D58</f>
        <v>0</v>
      </c>
      <c r="H53" s="6">
        <f>Seminar_Analysis!E58</f>
        <v>0</v>
      </c>
    </row>
    <row r="54" spans="1:8">
      <c r="A54">
        <f>Social_Analysis!A59</f>
        <v>0</v>
      </c>
      <c r="B54">
        <f>Social_Analysis!B59</f>
        <v>0</v>
      </c>
      <c r="C54" s="5">
        <f>Social_Analysis!C59</f>
        <v>0</v>
      </c>
      <c r="D54" s="5">
        <f>Social_Analysis!D59</f>
        <v>0</v>
      </c>
      <c r="E54" s="6">
        <f>Social_Analysis!E59</f>
        <v>0</v>
      </c>
      <c r="F54" s="5">
        <f>Seminar_Analysis!C59</f>
        <v>0</v>
      </c>
      <c r="G54" s="5">
        <f>Seminar_Analysis!D59</f>
        <v>0</v>
      </c>
      <c r="H54" s="6">
        <f>Seminar_Analysis!E59</f>
        <v>0</v>
      </c>
    </row>
    <row r="55" spans="1:8">
      <c r="A55">
        <f>Social_Analysis!A60</f>
        <v>0</v>
      </c>
      <c r="B55">
        <f>Social_Analysis!B60</f>
        <v>0</v>
      </c>
      <c r="C55" s="5">
        <f>Social_Analysis!C60</f>
        <v>0</v>
      </c>
      <c r="D55" s="5">
        <f>Social_Analysis!D60</f>
        <v>0</v>
      </c>
      <c r="E55" s="6">
        <f>Social_Analysis!E60</f>
        <v>0</v>
      </c>
      <c r="F55" s="5">
        <f>Seminar_Analysis!C60</f>
        <v>0</v>
      </c>
      <c r="G55" s="5">
        <f>Seminar_Analysis!D60</f>
        <v>0</v>
      </c>
      <c r="H55" s="6">
        <f>Seminar_Analysis!E60</f>
        <v>0</v>
      </c>
    </row>
    <row r="58" spans="1:8">
      <c r="A58" s="4" t="s">
        <v>365</v>
      </c>
      <c r="B58" s="4"/>
    </row>
    <row r="59" spans="1:8">
      <c r="A59" t="s">
        <v>366</v>
      </c>
      <c r="B59">
        <f>INDEX($B$44:$B$55,MATCH(MAX(E44:E55),E44:E55,0))</f>
        <v>0</v>
      </c>
    </row>
    <row r="60" spans="1:8">
      <c r="A60" t="s">
        <v>367</v>
      </c>
      <c r="B60">
        <f>INDEX($B$44:$B$55,MATCH(MAX(H44:H55),H44:H55,0))</f>
        <v>0</v>
      </c>
    </row>
    <row r="61" spans="1:8">
      <c r="A61" t="s">
        <v>368</v>
      </c>
      <c r="B61">
        <f>INDEX($B$44:$B$55,MATCH(MIN(D44:D55),D44:D55,0))</f>
        <v>0</v>
      </c>
    </row>
    <row r="62" spans="1:8">
      <c r="A62" t="s">
        <v>369</v>
      </c>
      <c r="B62">
        <f>INDEX($B$44:$B$55,MATCH(MIN(G44:G55),G44:G55,0))</f>
        <v>0</v>
      </c>
    </row>
    <row r="63" spans="1:8">
      <c r="A63" t="s">
        <v>370</v>
      </c>
      <c r="B63">
        <f>INDEX($A$13:$A$16,MATCH(MAX($F$13:$F$16),$F$13:$F$16,0))</f>
        <v>0</v>
      </c>
    </row>
    <row r="64" spans="1:8">
      <c r="A64" t="s">
        <v>371</v>
      </c>
      <c r="B64">
        <f>INDEX($A$13:$A$16,MATCH(MAX($G$13:$G$16),$G$13:$G$16,0))</f>
        <v>0</v>
      </c>
    </row>
  </sheetData>
  <mergeCells count="1">
    <mergeCell ref="A1:T1"/>
  </mergeCells>
  <conditionalFormatting sqref="E44:E55">
    <cfRule type="dataBar" priority="1">
      <dataBar>
        <cfvo type="min" val="0"/>
        <cfvo type="max" val="0"/>
        <color rgb="FF3B82F6"/>
      </dataBar>
    </cfRule>
  </conditionalFormatting>
  <conditionalFormatting sqref="H44:H55">
    <cfRule type="dataBar" priority="2">
      <dataBar>
        <cfvo type="min" val="0"/>
        <cfvo type="max" val="0"/>
        <color rgb="FFF59E0B"/>
      </dataBar>
    </cfRule>
  </conditionalFormatting>
  <conditionalFormatting sqref="D44:D55">
    <cfRule type="cellIs" dxfId="0" priority="3" operator="lessThan">
      <formula>0.6</formula>
    </cfRule>
  </conditionalFormatting>
  <conditionalFormatting sqref="G44:G55">
    <cfRule type="cellIs" dxfId="0" priority="4" operator="lessThan">
      <formula>0.6</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Social_Pre</vt:lpstr>
      <vt:lpstr>Social_Post</vt:lpstr>
      <vt:lpstr>Seminar_Pre</vt:lpstr>
      <vt:lpstr>Seminar_Post</vt:lpstr>
      <vt:lpstr>Question_Bank</vt:lpstr>
      <vt:lpstr>Social_Analysis</vt:lpstr>
      <vt:lpstr>Seminar_Analysis</vt:lpstr>
      <vt:lpstr>Impact_Dashboard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2026-10-29T19:16:26Z</dcterms:created>
  <dcterms:modified xsi:type="dcterms:W3CDTF">2026-10-29T19:16:26Z</dcterms:modified>
</cp:coreProperties>
</file>